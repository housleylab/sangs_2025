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figures/supplemental/Supplementary Figure 5. Internalization/time/"/>
    </mc:Choice>
  </mc:AlternateContent>
  <xr:revisionPtr revIDLastSave="0" documentId="13_ncr:1_{3A492218-BE5C-9C48-ADE8-A1603E98F346}" xr6:coauthVersionLast="36" xr6:coauthVersionMax="36" xr10:uidLastSave="{00000000-0000-0000-0000-000000000000}"/>
  <bookViews>
    <workbookView xWindow="5040" yWindow="800" windowWidth="28560" windowHeight="19340" xr2:uid="{1E17B280-45EC-C24D-A1FE-1251F7C48407}"/>
  </bookViews>
  <sheets>
    <sheet name="Sheet1" sheetId="1" r:id="rId1"/>
    <sheet name="Sheet2" sheetId="2" r:id="rId2"/>
  </sheets>
  <definedNames>
    <definedName name="_xlnm._FilterDatabase" localSheetId="0" hidden="1">Sheet1!$A$1:$AL$127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29" i="1" l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28" i="1"/>
  <c r="AD129" i="1"/>
  <c r="AE129" i="1"/>
  <c r="AF129" i="1"/>
  <c r="AD130" i="1"/>
  <c r="AE130" i="1"/>
  <c r="AF130" i="1"/>
  <c r="AD131" i="1"/>
  <c r="AE131" i="1"/>
  <c r="AF131" i="1"/>
  <c r="AD132" i="1"/>
  <c r="AE132" i="1"/>
  <c r="AF132" i="1"/>
  <c r="AD133" i="1"/>
  <c r="AE133" i="1"/>
  <c r="AF133" i="1"/>
  <c r="AD134" i="1"/>
  <c r="AE134" i="1"/>
  <c r="AF134" i="1"/>
  <c r="AD135" i="1"/>
  <c r="AE135" i="1"/>
  <c r="AF135" i="1"/>
  <c r="AD136" i="1"/>
  <c r="AE136" i="1"/>
  <c r="AF136" i="1"/>
  <c r="AD137" i="1"/>
  <c r="AE137" i="1"/>
  <c r="AF137" i="1"/>
  <c r="AD138" i="1"/>
  <c r="AE138" i="1"/>
  <c r="AF138" i="1"/>
  <c r="AD139" i="1"/>
  <c r="AE139" i="1"/>
  <c r="AF139" i="1"/>
  <c r="AD140" i="1"/>
  <c r="AE140" i="1"/>
  <c r="AF140" i="1"/>
  <c r="AD141" i="1"/>
  <c r="AE141" i="1"/>
  <c r="AF141" i="1"/>
  <c r="AD142" i="1"/>
  <c r="AE142" i="1"/>
  <c r="AF142" i="1"/>
  <c r="AD143" i="1"/>
  <c r="AE143" i="1"/>
  <c r="AF143" i="1"/>
  <c r="AD144" i="1"/>
  <c r="AE144" i="1"/>
  <c r="AF144" i="1"/>
  <c r="AD145" i="1"/>
  <c r="AE145" i="1"/>
  <c r="AF145" i="1"/>
  <c r="AD146" i="1"/>
  <c r="AE146" i="1"/>
  <c r="AF146" i="1"/>
  <c r="AD147" i="1"/>
  <c r="AE147" i="1"/>
  <c r="AF147" i="1"/>
  <c r="AD148" i="1"/>
  <c r="AE148" i="1"/>
  <c r="AF148" i="1"/>
  <c r="AF128" i="1"/>
  <c r="AE128" i="1"/>
  <c r="AD128" i="1"/>
  <c r="AD87" i="1" l="1"/>
  <c r="AD108" i="1" l="1"/>
  <c r="AH108" i="1" s="1"/>
  <c r="AE108" i="1"/>
  <c r="AF108" i="1"/>
  <c r="AD109" i="1"/>
  <c r="AH109" i="1" s="1"/>
  <c r="AE109" i="1"/>
  <c r="AF109" i="1"/>
  <c r="AD110" i="1"/>
  <c r="AH110" i="1" s="1"/>
  <c r="AE110" i="1"/>
  <c r="AF110" i="1"/>
  <c r="AD111" i="1"/>
  <c r="AH111" i="1" s="1"/>
  <c r="AE111" i="1"/>
  <c r="AF111" i="1"/>
  <c r="AD112" i="1"/>
  <c r="AH112" i="1" s="1"/>
  <c r="AE112" i="1"/>
  <c r="AF112" i="1"/>
  <c r="AD113" i="1"/>
  <c r="AH113" i="1" s="1"/>
  <c r="AE113" i="1"/>
  <c r="AF113" i="1"/>
  <c r="AD114" i="1"/>
  <c r="AH114" i="1" s="1"/>
  <c r="AE114" i="1"/>
  <c r="AF114" i="1"/>
  <c r="AD115" i="1"/>
  <c r="AH115" i="1" s="1"/>
  <c r="AE115" i="1"/>
  <c r="AF115" i="1"/>
  <c r="AD116" i="1"/>
  <c r="AH116" i="1" s="1"/>
  <c r="AE116" i="1"/>
  <c r="AF116" i="1"/>
  <c r="AD117" i="1"/>
  <c r="AH117" i="1" s="1"/>
  <c r="AE117" i="1"/>
  <c r="AF117" i="1"/>
  <c r="AD118" i="1"/>
  <c r="AH118" i="1" s="1"/>
  <c r="AE118" i="1"/>
  <c r="AF118" i="1"/>
  <c r="AD119" i="1"/>
  <c r="AH119" i="1" s="1"/>
  <c r="AE119" i="1"/>
  <c r="AF119" i="1"/>
  <c r="AD120" i="1"/>
  <c r="AH120" i="1" s="1"/>
  <c r="AE120" i="1"/>
  <c r="AF120" i="1"/>
  <c r="AD121" i="1"/>
  <c r="AH121" i="1" s="1"/>
  <c r="AE121" i="1"/>
  <c r="AF121" i="1"/>
  <c r="AD122" i="1"/>
  <c r="AH122" i="1" s="1"/>
  <c r="AE122" i="1"/>
  <c r="AF122" i="1"/>
  <c r="AD123" i="1"/>
  <c r="AH123" i="1" s="1"/>
  <c r="AE123" i="1"/>
  <c r="AF123" i="1"/>
  <c r="AD124" i="1"/>
  <c r="AH124" i="1" s="1"/>
  <c r="AE124" i="1"/>
  <c r="AF124" i="1"/>
  <c r="AD125" i="1"/>
  <c r="AH125" i="1" s="1"/>
  <c r="AE125" i="1"/>
  <c r="AF125" i="1"/>
  <c r="AD126" i="1"/>
  <c r="AH126" i="1" s="1"/>
  <c r="AE126" i="1"/>
  <c r="AF126" i="1"/>
  <c r="AF107" i="1"/>
  <c r="AE107" i="1"/>
  <c r="AD107" i="1"/>
  <c r="AF105" i="1"/>
  <c r="AE105" i="1"/>
  <c r="AD105" i="1"/>
  <c r="AH105" i="1" s="1"/>
  <c r="AF104" i="1"/>
  <c r="AE104" i="1"/>
  <c r="AD104" i="1"/>
  <c r="AH104" i="1" s="1"/>
  <c r="AF103" i="1"/>
  <c r="AE103" i="1"/>
  <c r="AD103" i="1"/>
  <c r="AH103" i="1" s="1"/>
  <c r="AF102" i="1"/>
  <c r="AE102" i="1"/>
  <c r="AD102" i="1"/>
  <c r="AH102" i="1" s="1"/>
  <c r="AF101" i="1"/>
  <c r="AE101" i="1"/>
  <c r="AD101" i="1"/>
  <c r="AH101" i="1" s="1"/>
  <c r="AF100" i="1"/>
  <c r="AE100" i="1"/>
  <c r="AD100" i="1"/>
  <c r="AH100" i="1" s="1"/>
  <c r="AF99" i="1"/>
  <c r="AE99" i="1"/>
  <c r="AD99" i="1"/>
  <c r="AH99" i="1" s="1"/>
  <c r="AF98" i="1"/>
  <c r="AE98" i="1"/>
  <c r="AD98" i="1"/>
  <c r="AH98" i="1" s="1"/>
  <c r="AF97" i="1"/>
  <c r="AE97" i="1"/>
  <c r="AD97" i="1"/>
  <c r="AH97" i="1" s="1"/>
  <c r="AF96" i="1"/>
  <c r="AE96" i="1"/>
  <c r="AD96" i="1"/>
  <c r="AH96" i="1" s="1"/>
  <c r="AF95" i="1"/>
  <c r="AE95" i="1"/>
  <c r="AD95" i="1"/>
  <c r="AH95" i="1" s="1"/>
  <c r="AF94" i="1"/>
  <c r="AE94" i="1"/>
  <c r="AD94" i="1"/>
  <c r="AH94" i="1" s="1"/>
  <c r="AF93" i="1"/>
  <c r="AE93" i="1"/>
  <c r="AD93" i="1"/>
  <c r="AH93" i="1" s="1"/>
  <c r="AF92" i="1"/>
  <c r="AE92" i="1"/>
  <c r="AD92" i="1"/>
  <c r="AH92" i="1" s="1"/>
  <c r="AF91" i="1"/>
  <c r="AE91" i="1"/>
  <c r="AD91" i="1"/>
  <c r="AH91" i="1" s="1"/>
  <c r="AF90" i="1"/>
  <c r="AE90" i="1"/>
  <c r="AD90" i="1"/>
  <c r="AH90" i="1" s="1"/>
  <c r="AF89" i="1"/>
  <c r="AE89" i="1"/>
  <c r="AD89" i="1"/>
  <c r="AH89" i="1" s="1"/>
  <c r="AF88" i="1"/>
  <c r="AE88" i="1"/>
  <c r="AD88" i="1"/>
  <c r="AH88" i="1" s="1"/>
  <c r="AF87" i="1"/>
  <c r="AE87" i="1"/>
  <c r="AH87" i="1"/>
  <c r="AF86" i="1"/>
  <c r="AE86" i="1"/>
  <c r="AD86" i="1"/>
  <c r="AF84" i="1"/>
  <c r="AE84" i="1"/>
  <c r="AD84" i="1"/>
  <c r="AH84" i="1" s="1"/>
  <c r="AF83" i="1"/>
  <c r="AE83" i="1"/>
  <c r="AD83" i="1"/>
  <c r="AH83" i="1" s="1"/>
  <c r="AF82" i="1"/>
  <c r="AE82" i="1"/>
  <c r="AD82" i="1"/>
  <c r="AH82" i="1" s="1"/>
  <c r="AF81" i="1"/>
  <c r="AE81" i="1"/>
  <c r="AD81" i="1"/>
  <c r="AH81" i="1" s="1"/>
  <c r="AF80" i="1"/>
  <c r="AE80" i="1"/>
  <c r="AD80" i="1"/>
  <c r="AH80" i="1" s="1"/>
  <c r="AF79" i="1"/>
  <c r="AE79" i="1"/>
  <c r="AD79" i="1"/>
  <c r="AH79" i="1" s="1"/>
  <c r="AF78" i="1"/>
  <c r="AE78" i="1"/>
  <c r="AD78" i="1"/>
  <c r="AH78" i="1" s="1"/>
  <c r="AF77" i="1"/>
  <c r="AE77" i="1"/>
  <c r="AD77" i="1"/>
  <c r="AH77" i="1" s="1"/>
  <c r="AF76" i="1"/>
  <c r="AE76" i="1"/>
  <c r="AD76" i="1"/>
  <c r="AH76" i="1" s="1"/>
  <c r="AF75" i="1"/>
  <c r="AE75" i="1"/>
  <c r="AD75" i="1"/>
  <c r="AH75" i="1" s="1"/>
  <c r="AF74" i="1"/>
  <c r="AE74" i="1"/>
  <c r="AD74" i="1"/>
  <c r="AH74" i="1" s="1"/>
  <c r="AF73" i="1"/>
  <c r="AE73" i="1"/>
  <c r="AD73" i="1"/>
  <c r="AH73" i="1" s="1"/>
  <c r="AF72" i="1"/>
  <c r="AE72" i="1"/>
  <c r="AD72" i="1"/>
  <c r="AH72" i="1" s="1"/>
  <c r="AF71" i="1"/>
  <c r="AE71" i="1"/>
  <c r="AD71" i="1"/>
  <c r="AH71" i="1" s="1"/>
  <c r="AF70" i="1"/>
  <c r="AE70" i="1"/>
  <c r="AD70" i="1"/>
  <c r="AH70" i="1" s="1"/>
  <c r="AF69" i="1"/>
  <c r="AE69" i="1"/>
  <c r="AD69" i="1"/>
  <c r="AH69" i="1" s="1"/>
  <c r="AF68" i="1"/>
  <c r="AE68" i="1"/>
  <c r="AD68" i="1"/>
  <c r="AH68" i="1" s="1"/>
  <c r="AF67" i="1"/>
  <c r="AE67" i="1"/>
  <c r="AD67" i="1"/>
  <c r="AH67" i="1" s="1"/>
  <c r="AF66" i="1"/>
  <c r="AE66" i="1"/>
  <c r="AD66" i="1"/>
  <c r="AH66" i="1" s="1"/>
  <c r="AF65" i="1"/>
  <c r="AE65" i="1"/>
  <c r="AD65" i="1"/>
  <c r="AF63" i="1"/>
  <c r="AE63" i="1"/>
  <c r="AD63" i="1"/>
  <c r="AH63" i="1" s="1"/>
  <c r="AF62" i="1"/>
  <c r="AE62" i="1"/>
  <c r="AD62" i="1"/>
  <c r="AH62" i="1" s="1"/>
  <c r="AF61" i="1"/>
  <c r="AE61" i="1"/>
  <c r="AD61" i="1"/>
  <c r="AH61" i="1" s="1"/>
  <c r="AF60" i="1"/>
  <c r="AE60" i="1"/>
  <c r="AD60" i="1"/>
  <c r="AH60" i="1" s="1"/>
  <c r="AF59" i="1"/>
  <c r="AE59" i="1"/>
  <c r="AD59" i="1"/>
  <c r="AH59" i="1" s="1"/>
  <c r="AF58" i="1"/>
  <c r="AE58" i="1"/>
  <c r="AD58" i="1"/>
  <c r="AH58" i="1" s="1"/>
  <c r="AF57" i="1"/>
  <c r="AE57" i="1"/>
  <c r="AD57" i="1"/>
  <c r="AH57" i="1" s="1"/>
  <c r="AF56" i="1"/>
  <c r="AE56" i="1"/>
  <c r="AD56" i="1"/>
  <c r="AH56" i="1" s="1"/>
  <c r="AF55" i="1"/>
  <c r="AE55" i="1"/>
  <c r="AD55" i="1"/>
  <c r="AH55" i="1" s="1"/>
  <c r="AF54" i="1"/>
  <c r="AE54" i="1"/>
  <c r="AD54" i="1"/>
  <c r="AH54" i="1" s="1"/>
  <c r="AF53" i="1"/>
  <c r="AE53" i="1"/>
  <c r="AD53" i="1"/>
  <c r="AH53" i="1" s="1"/>
  <c r="AF52" i="1"/>
  <c r="AE52" i="1"/>
  <c r="AD52" i="1"/>
  <c r="AH52" i="1" s="1"/>
  <c r="AF51" i="1"/>
  <c r="AE51" i="1"/>
  <c r="AD51" i="1"/>
  <c r="AH51" i="1" s="1"/>
  <c r="AF50" i="1"/>
  <c r="AE50" i="1"/>
  <c r="AD50" i="1"/>
  <c r="AH50" i="1" s="1"/>
  <c r="AF49" i="1"/>
  <c r="AE49" i="1"/>
  <c r="AD49" i="1"/>
  <c r="AH49" i="1" s="1"/>
  <c r="AF48" i="1"/>
  <c r="AE48" i="1"/>
  <c r="AD48" i="1"/>
  <c r="AH48" i="1" s="1"/>
  <c r="AF47" i="1"/>
  <c r="AE47" i="1"/>
  <c r="AD47" i="1"/>
  <c r="AH47" i="1" s="1"/>
  <c r="AF46" i="1"/>
  <c r="AE46" i="1"/>
  <c r="AD46" i="1"/>
  <c r="AH46" i="1" s="1"/>
  <c r="AF45" i="1"/>
  <c r="AE45" i="1"/>
  <c r="AD45" i="1"/>
  <c r="AH45" i="1" s="1"/>
  <c r="AF44" i="1"/>
  <c r="AE44" i="1"/>
  <c r="AD44" i="1"/>
  <c r="AD24" i="1"/>
  <c r="AH24" i="1" s="1"/>
  <c r="AE24" i="1"/>
  <c r="AF24" i="1"/>
  <c r="AD25" i="1"/>
  <c r="AH25" i="1" s="1"/>
  <c r="AE25" i="1"/>
  <c r="AF25" i="1"/>
  <c r="AD26" i="1"/>
  <c r="AH26" i="1" s="1"/>
  <c r="AE26" i="1"/>
  <c r="AF26" i="1"/>
  <c r="AD27" i="1"/>
  <c r="AH27" i="1" s="1"/>
  <c r="AE27" i="1"/>
  <c r="AF27" i="1"/>
  <c r="AD28" i="1"/>
  <c r="AH28" i="1" s="1"/>
  <c r="AE28" i="1"/>
  <c r="AF28" i="1"/>
  <c r="AD29" i="1"/>
  <c r="AH29" i="1" s="1"/>
  <c r="AE29" i="1"/>
  <c r="AF29" i="1"/>
  <c r="AD30" i="1"/>
  <c r="AH30" i="1" s="1"/>
  <c r="AE30" i="1"/>
  <c r="AF30" i="1"/>
  <c r="AD31" i="1"/>
  <c r="AH31" i="1" s="1"/>
  <c r="AE31" i="1"/>
  <c r="AF31" i="1"/>
  <c r="AD32" i="1"/>
  <c r="AH32" i="1" s="1"/>
  <c r="AE32" i="1"/>
  <c r="AF32" i="1"/>
  <c r="AD33" i="1"/>
  <c r="AH33" i="1" s="1"/>
  <c r="AE33" i="1"/>
  <c r="AF33" i="1"/>
  <c r="AD34" i="1"/>
  <c r="AH34" i="1" s="1"/>
  <c r="AE34" i="1"/>
  <c r="AF34" i="1"/>
  <c r="AD35" i="1"/>
  <c r="AH35" i="1" s="1"/>
  <c r="AE35" i="1"/>
  <c r="AF35" i="1"/>
  <c r="AD36" i="1"/>
  <c r="AH36" i="1" s="1"/>
  <c r="AE36" i="1"/>
  <c r="AF36" i="1"/>
  <c r="AD37" i="1"/>
  <c r="AH37" i="1" s="1"/>
  <c r="AE37" i="1"/>
  <c r="AF37" i="1"/>
  <c r="AD38" i="1"/>
  <c r="AH38" i="1" s="1"/>
  <c r="AE38" i="1"/>
  <c r="AF38" i="1"/>
  <c r="AD39" i="1"/>
  <c r="AH39" i="1" s="1"/>
  <c r="AE39" i="1"/>
  <c r="AF39" i="1"/>
  <c r="AD40" i="1"/>
  <c r="AH40" i="1" s="1"/>
  <c r="AE40" i="1"/>
  <c r="AF40" i="1"/>
  <c r="AD41" i="1"/>
  <c r="AH41" i="1" s="1"/>
  <c r="AE41" i="1"/>
  <c r="AF41" i="1"/>
  <c r="AD42" i="1"/>
  <c r="AH42" i="1" s="1"/>
  <c r="AE42" i="1"/>
  <c r="AF42" i="1"/>
  <c r="AF23" i="1"/>
  <c r="AE23" i="1"/>
  <c r="AD23" i="1"/>
  <c r="AD2" i="1"/>
  <c r="AD3" i="1"/>
  <c r="AH3" i="1" s="1"/>
  <c r="AE3" i="1"/>
  <c r="AF3" i="1"/>
  <c r="AD4" i="1"/>
  <c r="AH4" i="1" s="1"/>
  <c r="AE4" i="1"/>
  <c r="AF4" i="1"/>
  <c r="AD5" i="1"/>
  <c r="AH5" i="1" s="1"/>
  <c r="AE5" i="1"/>
  <c r="AF5" i="1"/>
  <c r="AD6" i="1"/>
  <c r="AH6" i="1" s="1"/>
  <c r="AE6" i="1"/>
  <c r="AF6" i="1"/>
  <c r="AD7" i="1"/>
  <c r="AH7" i="1" s="1"/>
  <c r="AE7" i="1"/>
  <c r="AF7" i="1"/>
  <c r="AD8" i="1"/>
  <c r="AH8" i="1" s="1"/>
  <c r="AE8" i="1"/>
  <c r="AF8" i="1"/>
  <c r="AD9" i="1"/>
  <c r="AH9" i="1" s="1"/>
  <c r="AE9" i="1"/>
  <c r="AF9" i="1"/>
  <c r="AD10" i="1"/>
  <c r="AH10" i="1" s="1"/>
  <c r="AE10" i="1"/>
  <c r="AF10" i="1"/>
  <c r="AD11" i="1"/>
  <c r="AH11" i="1" s="1"/>
  <c r="AE11" i="1"/>
  <c r="AF11" i="1"/>
  <c r="AD12" i="1"/>
  <c r="AH12" i="1" s="1"/>
  <c r="AE12" i="1"/>
  <c r="AF12" i="1"/>
  <c r="AD13" i="1"/>
  <c r="AH13" i="1" s="1"/>
  <c r="AE13" i="1"/>
  <c r="AF13" i="1"/>
  <c r="AD14" i="1"/>
  <c r="AH14" i="1" s="1"/>
  <c r="AE14" i="1"/>
  <c r="AF14" i="1"/>
  <c r="AD15" i="1"/>
  <c r="AH15" i="1" s="1"/>
  <c r="AE15" i="1"/>
  <c r="AF15" i="1"/>
  <c r="AD16" i="1"/>
  <c r="AH16" i="1" s="1"/>
  <c r="AE16" i="1"/>
  <c r="AF16" i="1"/>
  <c r="AD17" i="1"/>
  <c r="AH17" i="1" s="1"/>
  <c r="AE17" i="1"/>
  <c r="AF17" i="1"/>
  <c r="AD18" i="1"/>
  <c r="AH18" i="1" s="1"/>
  <c r="AE18" i="1"/>
  <c r="AF18" i="1"/>
  <c r="AD19" i="1"/>
  <c r="AH19" i="1" s="1"/>
  <c r="AE19" i="1"/>
  <c r="AF19" i="1"/>
  <c r="AD20" i="1"/>
  <c r="AH20" i="1" s="1"/>
  <c r="AE20" i="1"/>
  <c r="AF20" i="1"/>
  <c r="AD21" i="1"/>
  <c r="AH21" i="1" s="1"/>
  <c r="AE21" i="1"/>
  <c r="AF21" i="1"/>
  <c r="AF2" i="1"/>
  <c r="AE2" i="1"/>
  <c r="AD22" i="1" l="1"/>
  <c r="AH22" i="1" s="1"/>
  <c r="AH2" i="1"/>
  <c r="AD43" i="1"/>
  <c r="AH43" i="1" s="1"/>
  <c r="AH23" i="1"/>
  <c r="AD85" i="1"/>
  <c r="AH85" i="1" s="1"/>
  <c r="AH65" i="1"/>
  <c r="AH107" i="1"/>
  <c r="AD127" i="1"/>
  <c r="AH127" i="1" s="1"/>
  <c r="AE43" i="1"/>
  <c r="AE85" i="1"/>
  <c r="AE127" i="1"/>
  <c r="AF85" i="1"/>
  <c r="AF127" i="1"/>
  <c r="AE22" i="1"/>
  <c r="AD64" i="1"/>
  <c r="AH64" i="1" s="1"/>
  <c r="AH44" i="1"/>
  <c r="AH86" i="1"/>
  <c r="AD106" i="1"/>
  <c r="AH106" i="1" s="1"/>
  <c r="AF43" i="1"/>
  <c r="AF22" i="1"/>
  <c r="AE64" i="1"/>
  <c r="AE106" i="1"/>
  <c r="AF64" i="1"/>
  <c r="AF106" i="1"/>
  <c r="AL2" i="1" l="1"/>
</calcChain>
</file>

<file path=xl/sharedStrings.xml><?xml version="1.0" encoding="utf-8"?>
<sst xmlns="http://schemas.openxmlformats.org/spreadsheetml/2006/main" count="179" uniqueCount="38">
  <si>
    <t>Area</t>
  </si>
  <si>
    <t>Mean</t>
  </si>
  <si>
    <t>StdDev</t>
  </si>
  <si>
    <t>Mode</t>
  </si>
  <si>
    <t>Min</t>
  </si>
  <si>
    <t>Max</t>
  </si>
  <si>
    <t>XM</t>
  </si>
  <si>
    <t>YM</t>
  </si>
  <si>
    <t>Circ.</t>
  </si>
  <si>
    <t>Feret</t>
  </si>
  <si>
    <t>IntDen</t>
  </si>
  <si>
    <t>Median</t>
  </si>
  <si>
    <t>Skew</t>
  </si>
  <si>
    <t>Kurt</t>
  </si>
  <si>
    <t>%Area</t>
  </si>
  <si>
    <t>RawIntDen</t>
  </si>
  <si>
    <t>FeretX</t>
  </si>
  <si>
    <t>FeretY</t>
  </si>
  <si>
    <t>FeretAngle</t>
  </si>
  <si>
    <t>MinFeret</t>
  </si>
  <si>
    <t>AR</t>
  </si>
  <si>
    <t>Round</t>
  </si>
  <si>
    <t>Solidity</t>
  </si>
  <si>
    <t>MinThr</t>
  </si>
  <si>
    <t>MaxThr</t>
  </si>
  <si>
    <t>2_8</t>
  </si>
  <si>
    <t>5_8</t>
  </si>
  <si>
    <t>background</t>
  </si>
  <si>
    <t>mean</t>
  </si>
  <si>
    <t>7_8</t>
  </si>
  <si>
    <t>8_8</t>
  </si>
  <si>
    <t>6_8</t>
  </si>
  <si>
    <t>3_8</t>
  </si>
  <si>
    <t>standardized</t>
  </si>
  <si>
    <t>incubationTime</t>
  </si>
  <si>
    <t>slideNum</t>
  </si>
  <si>
    <t>num</t>
  </si>
  <si>
    <t>4_8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</si>
</sst>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ont="1" applyFill="1"/>
    <xf numFmtId="0" fontId="0" fillId="3" borderId="0" xfId="0" applyFont="1" applyFill="1"/>
    <xf numFmtId="0" fontId="0" fillId="2" borderId="0" xfId="0" applyFill="1"/>
    <xf numFmtId="0" fontId="0" fillId="4" borderId="0" xfId="0" applyFill="1"/>
    <xf numFmtId="0" fontId="0" fillId="4" borderId="0" xfId="0" applyFont="1" applyFill="1"/>
    <xf numFmtId="0" fontId="0" fillId="5" borderId="0" xfId="0" applyFill="1"/>
    <xf numFmtId="0" fontId="0" fillId="5" borderId="0" xfId="0" applyFont="1" applyFill="1"/>
    <xf numFmtId="0" fontId="0" fillId="6" borderId="0" xfId="0" applyFill="1"/>
    <xf numFmtId="0" fontId="0" fillId="6" borderId="0" xfId="0" applyFont="1" applyFill="1"/>
    <xf numFmtId="0" fontId="0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Sheet2!$C$1:$C$6</c:f>
              <c:numCache>
                <c:formatCode>General</c:formatCode>
                <c:ptCount val="6"/>
                <c:pt idx="0">
                  <c:v>6</c:v>
                </c:pt>
                <c:pt idx="1">
                  <c:v>12</c:v>
                </c:pt>
                <c:pt idx="2">
                  <c:v>1</c:v>
                </c:pt>
                <c:pt idx="3">
                  <c:v>3</c:v>
                </c:pt>
                <c:pt idx="4">
                  <c:v>18</c:v>
                </c:pt>
                <c:pt idx="5">
                  <c:v>24</c:v>
                </c:pt>
              </c:numCache>
            </c:numRef>
          </c:xVal>
          <c:yVal>
            <c:numRef>
              <c:f>Sheet2!$F$1:$F$6</c:f>
              <c:numCache>
                <c:formatCode>General</c:formatCode>
                <c:ptCount val="6"/>
                <c:pt idx="0">
                  <c:v>11.106349999999999</c:v>
                </c:pt>
                <c:pt idx="1">
                  <c:v>13.235299999999999</c:v>
                </c:pt>
                <c:pt idx="2">
                  <c:v>3.8746499999999999</c:v>
                </c:pt>
                <c:pt idx="3">
                  <c:v>7.8615500000000011</c:v>
                </c:pt>
                <c:pt idx="4">
                  <c:v>20.1309</c:v>
                </c:pt>
                <c:pt idx="5">
                  <c:v>15.808749999999998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0-8B44-9211-E8B117466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480783"/>
        <c:axId val="513437599"/>
      </c:scatterChart>
      <c:valAx>
        <c:axId val="51348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37599"/>
        <c:crosses val="autoZero"/>
        <c:crossBetween val="midCat"/>
      </c:valAx>
      <c:valAx>
        <c:axId val="51343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8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</xdr:colOff>
      <xdr:row>15</xdr:row>
      <xdr:rowOff>120650</xdr:rowOff>
    </xdr:from>
    <xdr:to>
      <xdr:col>13</xdr:col>
      <xdr:colOff>476250</xdr:colOff>
      <xdr:row>29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F1B68A-AB02-6947-A690-B25956BD4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6854-FB9F-B84F-B803-1DD02E49258A}">
  <dimension ref="A1:AL150"/>
  <sheetViews>
    <sheetView tabSelected="1" topLeftCell="A118" zoomScale="109" workbookViewId="0">
      <selection activeCell="D141" sqref="D141"/>
    </sheetView>
  </sheetViews>
  <sheetFormatPr baseColWidth="10" defaultRowHeight="16" x14ac:dyDescent="0.2"/>
  <cols>
    <col min="1" max="1" width="7.33203125" bestFit="1" customWidth="1"/>
    <col min="2" max="2" width="11.5" bestFit="1" customWidth="1"/>
    <col min="3" max="3" width="9.6640625" bestFit="1" customWidth="1"/>
    <col min="4" max="4" width="8.33203125" bestFit="1" customWidth="1"/>
    <col min="5" max="5" width="9.33203125" bestFit="1" customWidth="1"/>
    <col min="6" max="6" width="8.33203125" bestFit="1" customWidth="1"/>
    <col min="7" max="7" width="6.83203125" bestFit="1" customWidth="1"/>
    <col min="8" max="8" width="7.1640625" bestFit="1" customWidth="1"/>
    <col min="9" max="10" width="8.5" bestFit="1" customWidth="1"/>
    <col min="11" max="11" width="7.1640625" bestFit="1" customWidth="1"/>
    <col min="12" max="12" width="8.5" bestFit="1" customWidth="1"/>
    <col min="13" max="13" width="10.6640625" bestFit="1" customWidth="1"/>
    <col min="14" max="14" width="9.83203125" bestFit="1" customWidth="1"/>
    <col min="15" max="15" width="8" bestFit="1" customWidth="1"/>
    <col min="16" max="16" width="7.5" bestFit="1" customWidth="1"/>
    <col min="17" max="17" width="9" bestFit="1" customWidth="1"/>
    <col min="18" max="18" width="12.6640625" bestFit="1" customWidth="1"/>
    <col min="19" max="20" width="9" bestFit="1" customWidth="1"/>
    <col min="21" max="21" width="12.6640625" bestFit="1" customWidth="1"/>
    <col min="22" max="22" width="11.1640625" bestFit="1" customWidth="1"/>
    <col min="23" max="23" width="6.5" bestFit="1" customWidth="1"/>
    <col min="24" max="24" width="8.83203125" bestFit="1" customWidth="1"/>
    <col min="25" max="25" width="9.6640625" bestFit="1" customWidth="1"/>
    <col min="26" max="26" width="9.5" bestFit="1" customWidth="1"/>
    <col min="27" max="27" width="9.83203125" bestFit="1" customWidth="1"/>
    <col min="28" max="29" width="0" hidden="1" customWidth="1"/>
    <col min="30" max="30" width="12.83203125" bestFit="1" customWidth="1"/>
    <col min="31" max="31" width="9.6640625" bestFit="1" customWidth="1"/>
    <col min="32" max="32" width="12.83203125" bestFit="1" customWidth="1"/>
    <col min="34" max="34" width="14.1640625" bestFit="1" customWidth="1"/>
    <col min="36" max="36" width="16.33203125" bestFit="1" customWidth="1"/>
    <col min="38" max="38" width="10.6640625" bestFit="1" customWidth="1"/>
  </cols>
  <sheetData>
    <row r="1" spans="1:38" x14ac:dyDescent="0.2">
      <c r="A1" t="s">
        <v>36</v>
      </c>
      <c r="B1" t="s">
        <v>35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D1" s="1" t="s">
        <v>10</v>
      </c>
      <c r="AE1" s="1" t="s">
        <v>28</v>
      </c>
      <c r="AF1" s="1" t="s">
        <v>15</v>
      </c>
      <c r="AH1" s="1" t="s">
        <v>33</v>
      </c>
      <c r="AJ1" t="s">
        <v>34</v>
      </c>
    </row>
    <row r="2" spans="1:38" x14ac:dyDescent="0.2">
      <c r="A2">
        <v>1</v>
      </c>
      <c r="B2" t="s">
        <v>25</v>
      </c>
      <c r="C2">
        <v>497.601</v>
      </c>
      <c r="D2">
        <v>21.244</v>
      </c>
      <c r="E2">
        <v>27.725000000000001</v>
      </c>
      <c r="F2">
        <v>8</v>
      </c>
      <c r="G2">
        <v>0</v>
      </c>
      <c r="H2">
        <v>255</v>
      </c>
      <c r="I2">
        <v>264.10899999999998</v>
      </c>
      <c r="J2">
        <v>309.25400000000002</v>
      </c>
      <c r="K2">
        <v>0.81699999999999995</v>
      </c>
      <c r="L2">
        <v>30.312999999999999</v>
      </c>
      <c r="M2">
        <v>10570.99</v>
      </c>
      <c r="N2">
        <v>11</v>
      </c>
      <c r="O2">
        <v>3.7170000000000001</v>
      </c>
      <c r="P2">
        <v>18.41</v>
      </c>
      <c r="Q2">
        <v>99.804000000000002</v>
      </c>
      <c r="R2">
        <v>108620</v>
      </c>
      <c r="S2">
        <v>816</v>
      </c>
      <c r="T2">
        <v>976</v>
      </c>
      <c r="U2">
        <v>156.33699999999999</v>
      </c>
      <c r="V2">
        <v>23.305</v>
      </c>
      <c r="W2">
        <v>1.1759999999999999</v>
      </c>
      <c r="X2">
        <v>0.85</v>
      </c>
      <c r="Y2">
        <v>1</v>
      </c>
      <c r="Z2">
        <v>0</v>
      </c>
      <c r="AA2">
        <v>255</v>
      </c>
      <c r="AD2">
        <f>M2-M$22</f>
        <v>4423.232</v>
      </c>
      <c r="AE2">
        <f>D2-D$22</f>
        <v>13.266999999999999</v>
      </c>
      <c r="AF2">
        <f>R2-R$22</f>
        <v>45450</v>
      </c>
      <c r="AH2">
        <f>FORECAST(AD2, {0,1}, {0,89000})</f>
        <v>4.9699235955056181E-2</v>
      </c>
      <c r="AJ2">
        <v>6</v>
      </c>
      <c r="AL2">
        <f>MAX(AD2:AD127)</f>
        <v>89985.285999999993</v>
      </c>
    </row>
    <row r="3" spans="1:38" x14ac:dyDescent="0.2">
      <c r="A3">
        <v>2</v>
      </c>
      <c r="B3" t="s">
        <v>25</v>
      </c>
      <c r="C3">
        <v>1003.7670000000001</v>
      </c>
      <c r="D3">
        <v>17.420999999999999</v>
      </c>
      <c r="E3">
        <v>24.875</v>
      </c>
      <c r="F3">
        <v>7</v>
      </c>
      <c r="G3">
        <v>0</v>
      </c>
      <c r="H3">
        <v>235</v>
      </c>
      <c r="I3">
        <v>287.74700000000001</v>
      </c>
      <c r="J3">
        <v>227.44800000000001</v>
      </c>
      <c r="K3">
        <v>0.77300000000000002</v>
      </c>
      <c r="L3">
        <v>49.415999999999997</v>
      </c>
      <c r="M3">
        <v>17486.804</v>
      </c>
      <c r="N3">
        <v>9</v>
      </c>
      <c r="O3">
        <v>3.5</v>
      </c>
      <c r="P3">
        <v>13.75</v>
      </c>
      <c r="Q3">
        <v>99.506</v>
      </c>
      <c r="R3">
        <v>179682</v>
      </c>
      <c r="S3">
        <v>853</v>
      </c>
      <c r="T3">
        <v>713</v>
      </c>
      <c r="U3">
        <v>155.376</v>
      </c>
      <c r="V3">
        <v>33.594000000000001</v>
      </c>
      <c r="W3">
        <v>1.395</v>
      </c>
      <c r="X3">
        <v>0.71699999999999997</v>
      </c>
      <c r="Y3">
        <v>0.97399999999999998</v>
      </c>
      <c r="Z3">
        <v>0</v>
      </c>
      <c r="AA3">
        <v>255</v>
      </c>
      <c r="AD3">
        <f t="shared" ref="AD3:AD21" si="0">M3-M$22</f>
        <v>11339.046</v>
      </c>
      <c r="AE3">
        <f t="shared" ref="AE3:AE21" si="1">D3-D$22</f>
        <v>9.4439999999999991</v>
      </c>
      <c r="AF3">
        <f t="shared" ref="AF3:AF21" si="2">R3-R$22</f>
        <v>116512</v>
      </c>
      <c r="AH3">
        <f>FORECAST(AD3, {0,1}, {0,89000})</f>
        <v>0.12740501123595507</v>
      </c>
      <c r="AJ3">
        <v>6</v>
      </c>
    </row>
    <row r="4" spans="1:38" x14ac:dyDescent="0.2">
      <c r="A4">
        <v>3</v>
      </c>
      <c r="B4" t="s">
        <v>25</v>
      </c>
      <c r="C4">
        <v>1072.3779999999999</v>
      </c>
      <c r="D4">
        <v>13.93</v>
      </c>
      <c r="E4">
        <v>14.851000000000001</v>
      </c>
      <c r="F4">
        <v>7</v>
      </c>
      <c r="G4">
        <v>0</v>
      </c>
      <c r="H4">
        <v>159</v>
      </c>
      <c r="I4">
        <v>196.57599999999999</v>
      </c>
      <c r="J4">
        <v>300.55900000000003</v>
      </c>
      <c r="K4">
        <v>0.67800000000000005</v>
      </c>
      <c r="L4">
        <v>47.506</v>
      </c>
      <c r="M4">
        <v>14938.067999999999</v>
      </c>
      <c r="N4">
        <v>9</v>
      </c>
      <c r="O4">
        <v>3.6629999999999998</v>
      </c>
      <c r="P4">
        <v>17.806000000000001</v>
      </c>
      <c r="Q4">
        <v>99.301000000000002</v>
      </c>
      <c r="R4">
        <v>153493</v>
      </c>
      <c r="S4">
        <v>557</v>
      </c>
      <c r="T4">
        <v>939</v>
      </c>
      <c r="U4">
        <v>158.827</v>
      </c>
      <c r="V4">
        <v>32.531999999999996</v>
      </c>
      <c r="W4">
        <v>1.419</v>
      </c>
      <c r="X4">
        <v>0.70499999999999996</v>
      </c>
      <c r="Y4">
        <v>0.89</v>
      </c>
      <c r="Z4">
        <v>0</v>
      </c>
      <c r="AA4">
        <v>255</v>
      </c>
      <c r="AD4">
        <f t="shared" si="0"/>
        <v>8790.31</v>
      </c>
      <c r="AE4">
        <f t="shared" si="1"/>
        <v>5.9529999999999994</v>
      </c>
      <c r="AF4">
        <f t="shared" si="2"/>
        <v>90323</v>
      </c>
      <c r="AH4">
        <f>FORECAST(AD4, {0,1}, {0,89000})</f>
        <v>9.8767528089887646E-2</v>
      </c>
      <c r="AJ4">
        <v>6</v>
      </c>
    </row>
    <row r="5" spans="1:38" x14ac:dyDescent="0.2">
      <c r="A5">
        <v>4</v>
      </c>
      <c r="B5" t="s">
        <v>25</v>
      </c>
      <c r="C5">
        <v>535.75099999999998</v>
      </c>
      <c r="D5">
        <v>25.593</v>
      </c>
      <c r="E5">
        <v>34.442</v>
      </c>
      <c r="F5">
        <v>7</v>
      </c>
      <c r="G5">
        <v>0</v>
      </c>
      <c r="H5">
        <v>255</v>
      </c>
      <c r="I5">
        <v>155.846</v>
      </c>
      <c r="J5">
        <v>313.60599999999999</v>
      </c>
      <c r="K5">
        <v>0.40300000000000002</v>
      </c>
      <c r="L5">
        <v>57.09</v>
      </c>
      <c r="M5">
        <v>13711.534</v>
      </c>
      <c r="N5">
        <v>11</v>
      </c>
      <c r="O5">
        <v>2.6739999999999999</v>
      </c>
      <c r="P5">
        <v>8.4420000000000002</v>
      </c>
      <c r="Q5">
        <v>99.31</v>
      </c>
      <c r="R5">
        <v>140890</v>
      </c>
      <c r="S5">
        <v>410</v>
      </c>
      <c r="T5">
        <v>1022</v>
      </c>
      <c r="U5">
        <v>0.313</v>
      </c>
      <c r="V5">
        <v>20.364000000000001</v>
      </c>
      <c r="W5">
        <v>2.7450000000000001</v>
      </c>
      <c r="X5">
        <v>0.36399999999999999</v>
      </c>
      <c r="Y5">
        <v>0.91200000000000003</v>
      </c>
      <c r="Z5">
        <v>0</v>
      </c>
      <c r="AA5">
        <v>255</v>
      </c>
      <c r="AD5">
        <f t="shared" si="0"/>
        <v>7563.7759999999998</v>
      </c>
      <c r="AE5">
        <f t="shared" si="1"/>
        <v>17.616</v>
      </c>
      <c r="AF5">
        <f t="shared" si="2"/>
        <v>77720</v>
      </c>
      <c r="AH5">
        <f>FORECAST(AD5, {0,1}, {0,89000})</f>
        <v>8.4986247191011235E-2</v>
      </c>
      <c r="AJ5">
        <v>6</v>
      </c>
    </row>
    <row r="6" spans="1:38" x14ac:dyDescent="0.2">
      <c r="A6">
        <v>5</v>
      </c>
      <c r="B6" t="s">
        <v>25</v>
      </c>
      <c r="C6">
        <v>1033.8389999999999</v>
      </c>
      <c r="D6">
        <v>21.198</v>
      </c>
      <c r="E6">
        <v>30.651</v>
      </c>
      <c r="F6">
        <v>7</v>
      </c>
      <c r="G6">
        <v>0</v>
      </c>
      <c r="H6">
        <v>255</v>
      </c>
      <c r="I6">
        <v>142.94900000000001</v>
      </c>
      <c r="J6">
        <v>298.76900000000001</v>
      </c>
      <c r="K6">
        <v>0.67400000000000004</v>
      </c>
      <c r="L6">
        <v>55.323999999999998</v>
      </c>
      <c r="M6">
        <v>21915.292000000001</v>
      </c>
      <c r="N6">
        <v>10</v>
      </c>
      <c r="O6">
        <v>3.5680000000000001</v>
      </c>
      <c r="P6">
        <v>15.641999999999999</v>
      </c>
      <c r="Q6">
        <v>99.492000000000004</v>
      </c>
      <c r="R6">
        <v>225186</v>
      </c>
      <c r="S6">
        <v>392</v>
      </c>
      <c r="T6">
        <v>1000</v>
      </c>
      <c r="U6">
        <v>40.426000000000002</v>
      </c>
      <c r="V6">
        <v>25.635000000000002</v>
      </c>
      <c r="W6">
        <v>2.2829999999999999</v>
      </c>
      <c r="X6">
        <v>0.438</v>
      </c>
      <c r="Y6">
        <v>0.89300000000000002</v>
      </c>
      <c r="Z6">
        <v>0</v>
      </c>
      <c r="AA6">
        <v>255</v>
      </c>
      <c r="AD6">
        <f t="shared" si="0"/>
        <v>15767.534000000001</v>
      </c>
      <c r="AE6">
        <f t="shared" si="1"/>
        <v>13.221</v>
      </c>
      <c r="AF6">
        <f t="shared" si="2"/>
        <v>162016</v>
      </c>
      <c r="AH6">
        <f>FORECAST(AD6, {0,1}, {0,89000})</f>
        <v>0.17716330337078653</v>
      </c>
      <c r="AJ6">
        <v>6</v>
      </c>
    </row>
    <row r="7" spans="1:38" x14ac:dyDescent="0.2">
      <c r="A7">
        <v>6</v>
      </c>
      <c r="B7" t="s">
        <v>25</v>
      </c>
      <c r="C7">
        <v>2516.62</v>
      </c>
      <c r="D7">
        <v>20.783999999999999</v>
      </c>
      <c r="E7">
        <v>26.968</v>
      </c>
      <c r="F7">
        <v>7</v>
      </c>
      <c r="G7">
        <v>0</v>
      </c>
      <c r="H7">
        <v>255</v>
      </c>
      <c r="I7">
        <v>157.44300000000001</v>
      </c>
      <c r="J7">
        <v>163.035</v>
      </c>
      <c r="K7">
        <v>0.51800000000000002</v>
      </c>
      <c r="L7">
        <v>85.757999999999996</v>
      </c>
      <c r="M7">
        <v>52305.964</v>
      </c>
      <c r="N7">
        <v>10</v>
      </c>
      <c r="O7">
        <v>2.8220000000000001</v>
      </c>
      <c r="P7">
        <v>9.141</v>
      </c>
      <c r="Q7">
        <v>99.78</v>
      </c>
      <c r="R7">
        <v>537459</v>
      </c>
      <c r="S7">
        <v>388</v>
      </c>
      <c r="T7">
        <v>430</v>
      </c>
      <c r="U7">
        <v>129.53899999999999</v>
      </c>
      <c r="V7">
        <v>58.082999999999998</v>
      </c>
      <c r="W7">
        <v>1.3480000000000001</v>
      </c>
      <c r="X7">
        <v>0.74199999999999999</v>
      </c>
      <c r="Y7">
        <v>0.78300000000000003</v>
      </c>
      <c r="Z7">
        <v>0</v>
      </c>
      <c r="AA7">
        <v>255</v>
      </c>
      <c r="AD7">
        <f t="shared" si="0"/>
        <v>46158.205999999998</v>
      </c>
      <c r="AE7">
        <f t="shared" si="1"/>
        <v>12.806999999999999</v>
      </c>
      <c r="AF7">
        <f t="shared" si="2"/>
        <v>474289</v>
      </c>
      <c r="AH7">
        <f>FORECAST(AD7, {0,1}, {0,89000})</f>
        <v>0.51863152808988766</v>
      </c>
      <c r="AJ7">
        <v>6</v>
      </c>
    </row>
    <row r="8" spans="1:38" x14ac:dyDescent="0.2">
      <c r="A8">
        <v>7</v>
      </c>
      <c r="B8" t="s">
        <v>25</v>
      </c>
      <c r="C8">
        <v>1464.289</v>
      </c>
      <c r="D8">
        <v>15.026999999999999</v>
      </c>
      <c r="E8">
        <v>21.623999999999999</v>
      </c>
      <c r="F8">
        <v>7</v>
      </c>
      <c r="G8">
        <v>0</v>
      </c>
      <c r="H8">
        <v>254</v>
      </c>
      <c r="I8">
        <v>257.01499999999999</v>
      </c>
      <c r="J8">
        <v>152.60599999999999</v>
      </c>
      <c r="K8">
        <v>0.69599999999999995</v>
      </c>
      <c r="L8">
        <v>61.555</v>
      </c>
      <c r="M8">
        <v>22004.146000000001</v>
      </c>
      <c r="N8">
        <v>9</v>
      </c>
      <c r="O8">
        <v>4.2039999999999997</v>
      </c>
      <c r="P8">
        <v>21.677</v>
      </c>
      <c r="Q8">
        <v>99.322000000000003</v>
      </c>
      <c r="R8">
        <v>226099</v>
      </c>
      <c r="S8">
        <v>749</v>
      </c>
      <c r="T8">
        <v>544</v>
      </c>
      <c r="U8">
        <v>43.972999999999999</v>
      </c>
      <c r="V8">
        <v>33.582999999999998</v>
      </c>
      <c r="W8">
        <v>1.698</v>
      </c>
      <c r="X8">
        <v>0.58899999999999997</v>
      </c>
      <c r="Y8">
        <v>0.94</v>
      </c>
      <c r="Z8">
        <v>0</v>
      </c>
      <c r="AA8">
        <v>255</v>
      </c>
      <c r="AD8">
        <f t="shared" si="0"/>
        <v>15856.388000000001</v>
      </c>
      <c r="AE8">
        <f t="shared" si="1"/>
        <v>7.0499999999999989</v>
      </c>
      <c r="AF8">
        <f t="shared" si="2"/>
        <v>162929</v>
      </c>
      <c r="AH8">
        <f>FORECAST(AD8, {0,1}, {0,89000})</f>
        <v>0.17816166292134833</v>
      </c>
      <c r="AJ8">
        <v>6</v>
      </c>
    </row>
    <row r="9" spans="1:38" x14ac:dyDescent="0.2">
      <c r="A9">
        <v>8</v>
      </c>
      <c r="B9" t="s">
        <v>25</v>
      </c>
      <c r="C9">
        <v>756.86400000000003</v>
      </c>
      <c r="D9">
        <v>18.224</v>
      </c>
      <c r="E9">
        <v>25.12</v>
      </c>
      <c r="F9">
        <v>7</v>
      </c>
      <c r="G9">
        <v>0</v>
      </c>
      <c r="H9">
        <v>255</v>
      </c>
      <c r="I9">
        <v>243.518</v>
      </c>
      <c r="J9">
        <v>197.45400000000001</v>
      </c>
      <c r="K9">
        <v>0.71599999999999997</v>
      </c>
      <c r="L9">
        <v>44.621000000000002</v>
      </c>
      <c r="M9">
        <v>13793.380999999999</v>
      </c>
      <c r="N9">
        <v>10</v>
      </c>
      <c r="O9">
        <v>3.6</v>
      </c>
      <c r="P9">
        <v>15.907</v>
      </c>
      <c r="Q9">
        <v>99.653000000000006</v>
      </c>
      <c r="R9">
        <v>141731</v>
      </c>
      <c r="S9">
        <v>779</v>
      </c>
      <c r="T9">
        <v>705</v>
      </c>
      <c r="U9">
        <v>88.798000000000002</v>
      </c>
      <c r="V9">
        <v>26.364999999999998</v>
      </c>
      <c r="W9">
        <v>1.7749999999999999</v>
      </c>
      <c r="X9">
        <v>0.56299999999999994</v>
      </c>
      <c r="Y9">
        <v>0.95899999999999996</v>
      </c>
      <c r="Z9">
        <v>0</v>
      </c>
      <c r="AA9">
        <v>255</v>
      </c>
      <c r="AD9">
        <f t="shared" si="0"/>
        <v>7645.6229999999996</v>
      </c>
      <c r="AE9">
        <f t="shared" si="1"/>
        <v>10.247</v>
      </c>
      <c r="AF9">
        <f t="shared" si="2"/>
        <v>78561</v>
      </c>
      <c r="AH9">
        <f>FORECAST(AD9, {0,1}, {0,89000})</f>
        <v>8.5905876404494388E-2</v>
      </c>
      <c r="AJ9">
        <v>6</v>
      </c>
    </row>
    <row r="10" spans="1:38" x14ac:dyDescent="0.2">
      <c r="A10">
        <v>9</v>
      </c>
      <c r="B10" t="s">
        <v>25</v>
      </c>
      <c r="C10">
        <v>860.99800000000005</v>
      </c>
      <c r="D10">
        <v>16.776</v>
      </c>
      <c r="E10">
        <v>23.693000000000001</v>
      </c>
      <c r="F10">
        <v>7</v>
      </c>
      <c r="G10">
        <v>0</v>
      </c>
      <c r="H10">
        <v>240</v>
      </c>
      <c r="I10">
        <v>227.304</v>
      </c>
      <c r="J10">
        <v>190.69399999999999</v>
      </c>
      <c r="K10">
        <v>0.75700000000000001</v>
      </c>
      <c r="L10">
        <v>46.124000000000002</v>
      </c>
      <c r="M10">
        <v>14444.263000000001</v>
      </c>
      <c r="N10">
        <v>9</v>
      </c>
      <c r="O10">
        <v>3.88</v>
      </c>
      <c r="P10">
        <v>18.747</v>
      </c>
      <c r="Q10">
        <v>99.57</v>
      </c>
      <c r="R10">
        <v>148419</v>
      </c>
      <c r="S10">
        <v>708</v>
      </c>
      <c r="T10">
        <v>687</v>
      </c>
      <c r="U10">
        <v>66.903000000000006</v>
      </c>
      <c r="V10">
        <v>22.116</v>
      </c>
      <c r="W10">
        <v>1.99</v>
      </c>
      <c r="X10">
        <v>0.502</v>
      </c>
      <c r="Y10">
        <v>0.98099999999999998</v>
      </c>
      <c r="Z10">
        <v>0</v>
      </c>
      <c r="AA10">
        <v>255</v>
      </c>
      <c r="AD10">
        <f t="shared" si="0"/>
        <v>8296.505000000001</v>
      </c>
      <c r="AE10">
        <f t="shared" si="1"/>
        <v>8.7989999999999995</v>
      </c>
      <c r="AF10">
        <f t="shared" si="2"/>
        <v>85249</v>
      </c>
      <c r="AH10">
        <f>FORECAST(AD10, {0,1}, {0,89000})</f>
        <v>9.3219157303370798E-2</v>
      </c>
      <c r="AJ10">
        <v>6</v>
      </c>
    </row>
    <row r="11" spans="1:38" x14ac:dyDescent="0.2">
      <c r="A11">
        <v>10</v>
      </c>
      <c r="B11" t="s">
        <v>25</v>
      </c>
      <c r="C11">
        <v>1047.27</v>
      </c>
      <c r="D11">
        <v>19.033999999999999</v>
      </c>
      <c r="E11">
        <v>27.004000000000001</v>
      </c>
      <c r="F11">
        <v>7</v>
      </c>
      <c r="G11">
        <v>0</v>
      </c>
      <c r="H11">
        <v>255</v>
      </c>
      <c r="I11">
        <v>198.78100000000001</v>
      </c>
      <c r="J11">
        <v>188.03899999999999</v>
      </c>
      <c r="K11">
        <v>0.81499999999999995</v>
      </c>
      <c r="L11">
        <v>49.290999999999997</v>
      </c>
      <c r="M11">
        <v>19934.034</v>
      </c>
      <c r="N11">
        <v>9</v>
      </c>
      <c r="O11">
        <v>3.3460000000000001</v>
      </c>
      <c r="P11">
        <v>13.122999999999999</v>
      </c>
      <c r="Q11">
        <v>99.545000000000002</v>
      </c>
      <c r="R11">
        <v>204828</v>
      </c>
      <c r="S11">
        <v>571</v>
      </c>
      <c r="T11">
        <v>644</v>
      </c>
      <c r="U11">
        <v>36.506999999999998</v>
      </c>
      <c r="V11">
        <v>31.728000000000002</v>
      </c>
      <c r="W11">
        <v>1.5269999999999999</v>
      </c>
      <c r="X11">
        <v>0.65500000000000003</v>
      </c>
      <c r="Y11">
        <v>0.99199999999999999</v>
      </c>
      <c r="Z11">
        <v>0</v>
      </c>
      <c r="AA11">
        <v>255</v>
      </c>
      <c r="AD11">
        <f t="shared" si="0"/>
        <v>13786.276</v>
      </c>
      <c r="AE11">
        <f t="shared" si="1"/>
        <v>11.056999999999999</v>
      </c>
      <c r="AF11">
        <f t="shared" si="2"/>
        <v>141658</v>
      </c>
      <c r="AH11">
        <f>FORECAST(AD11, {0,1}, {0,89000})</f>
        <v>0.1549019775280899</v>
      </c>
      <c r="AJ11">
        <v>6</v>
      </c>
    </row>
    <row r="12" spans="1:38" x14ac:dyDescent="0.2">
      <c r="A12">
        <v>11</v>
      </c>
      <c r="B12" t="s">
        <v>25</v>
      </c>
      <c r="C12">
        <v>1213.0070000000001</v>
      </c>
      <c r="D12">
        <v>21.268000000000001</v>
      </c>
      <c r="E12">
        <v>33.433</v>
      </c>
      <c r="F12">
        <v>7</v>
      </c>
      <c r="G12">
        <v>0</v>
      </c>
      <c r="H12">
        <v>255</v>
      </c>
      <c r="I12">
        <v>190.37200000000001</v>
      </c>
      <c r="J12">
        <v>156.255</v>
      </c>
      <c r="K12">
        <v>0.73199999999999998</v>
      </c>
      <c r="L12">
        <v>51.216999999999999</v>
      </c>
      <c r="M12">
        <v>25798.394</v>
      </c>
      <c r="N12">
        <v>9</v>
      </c>
      <c r="O12">
        <v>3.4569999999999999</v>
      </c>
      <c r="P12">
        <v>13.856</v>
      </c>
      <c r="Q12">
        <v>99.43</v>
      </c>
      <c r="R12">
        <v>265086</v>
      </c>
      <c r="S12">
        <v>568</v>
      </c>
      <c r="T12">
        <v>428</v>
      </c>
      <c r="U12">
        <v>152.03</v>
      </c>
      <c r="V12">
        <v>35.250999999999998</v>
      </c>
      <c r="W12">
        <v>1.379</v>
      </c>
      <c r="X12">
        <v>0.72499999999999998</v>
      </c>
      <c r="Y12">
        <v>0.92400000000000004</v>
      </c>
      <c r="Z12">
        <v>0</v>
      </c>
      <c r="AA12">
        <v>255</v>
      </c>
      <c r="AD12">
        <f t="shared" si="0"/>
        <v>19650.635999999999</v>
      </c>
      <c r="AE12">
        <f t="shared" si="1"/>
        <v>13.291</v>
      </c>
      <c r="AF12">
        <f t="shared" si="2"/>
        <v>201916</v>
      </c>
      <c r="AH12">
        <f>FORECAST(AD12, {0,1}, {0,89000})</f>
        <v>0.2207936629213483</v>
      </c>
      <c r="AJ12">
        <v>6</v>
      </c>
    </row>
    <row r="13" spans="1:38" x14ac:dyDescent="0.2">
      <c r="A13">
        <v>12</v>
      </c>
      <c r="B13" t="s">
        <v>25</v>
      </c>
      <c r="C13">
        <v>922.40700000000004</v>
      </c>
      <c r="D13">
        <v>21.027999999999999</v>
      </c>
      <c r="E13">
        <v>31.515999999999998</v>
      </c>
      <c r="F13">
        <v>7</v>
      </c>
      <c r="G13">
        <v>0</v>
      </c>
      <c r="H13">
        <v>255</v>
      </c>
      <c r="I13">
        <v>170.95699999999999</v>
      </c>
      <c r="J13">
        <v>36.039000000000001</v>
      </c>
      <c r="K13">
        <v>0.83699999999999997</v>
      </c>
      <c r="L13">
        <v>41.921999999999997</v>
      </c>
      <c r="M13">
        <v>19396.044000000002</v>
      </c>
      <c r="N13">
        <v>10</v>
      </c>
      <c r="O13">
        <v>3.395</v>
      </c>
      <c r="P13">
        <v>13.128</v>
      </c>
      <c r="Q13">
        <v>99.789000000000001</v>
      </c>
      <c r="R13">
        <v>199300</v>
      </c>
      <c r="S13">
        <v>488</v>
      </c>
      <c r="T13">
        <v>75</v>
      </c>
      <c r="U13">
        <v>133.79400000000001</v>
      </c>
      <c r="V13">
        <v>32.956000000000003</v>
      </c>
      <c r="W13">
        <v>1.214</v>
      </c>
      <c r="X13">
        <v>0.82399999999999995</v>
      </c>
      <c r="Y13">
        <v>0.96899999999999997</v>
      </c>
      <c r="Z13">
        <v>0</v>
      </c>
      <c r="AA13">
        <v>255</v>
      </c>
      <c r="AD13">
        <f t="shared" si="0"/>
        <v>13248.286000000002</v>
      </c>
      <c r="AE13">
        <f t="shared" si="1"/>
        <v>13.050999999999998</v>
      </c>
      <c r="AF13">
        <f t="shared" si="2"/>
        <v>136130</v>
      </c>
      <c r="AH13">
        <f>FORECAST(AD13, {0,1}, {0,89000})</f>
        <v>0.14885714606741576</v>
      </c>
      <c r="AJ13">
        <v>6</v>
      </c>
    </row>
    <row r="14" spans="1:38" x14ac:dyDescent="0.2">
      <c r="A14">
        <v>13</v>
      </c>
      <c r="B14" t="s">
        <v>25</v>
      </c>
      <c r="C14">
        <v>923.47699999999998</v>
      </c>
      <c r="D14">
        <v>17.957000000000001</v>
      </c>
      <c r="E14">
        <v>26.126999999999999</v>
      </c>
      <c r="F14">
        <v>7</v>
      </c>
      <c r="G14">
        <v>0</v>
      </c>
      <c r="H14">
        <v>234</v>
      </c>
      <c r="I14">
        <v>62.722000000000001</v>
      </c>
      <c r="J14">
        <v>20.872</v>
      </c>
      <c r="K14">
        <v>0.49099999999999999</v>
      </c>
      <c r="L14">
        <v>54.360999999999997</v>
      </c>
      <c r="M14">
        <v>16582.887999999999</v>
      </c>
      <c r="N14">
        <v>9</v>
      </c>
      <c r="O14">
        <v>3.6850000000000001</v>
      </c>
      <c r="P14">
        <v>15.907</v>
      </c>
      <c r="Q14">
        <v>99.557000000000002</v>
      </c>
      <c r="R14">
        <v>170394</v>
      </c>
      <c r="S14">
        <v>150</v>
      </c>
      <c r="T14">
        <v>115</v>
      </c>
      <c r="U14">
        <v>17.707000000000001</v>
      </c>
      <c r="V14">
        <v>32.619</v>
      </c>
      <c r="W14">
        <v>1.7729999999999999</v>
      </c>
      <c r="X14">
        <v>0.56399999999999995</v>
      </c>
      <c r="Y14">
        <v>0.73</v>
      </c>
      <c r="Z14">
        <v>0</v>
      </c>
      <c r="AA14">
        <v>255</v>
      </c>
      <c r="AD14">
        <f t="shared" si="0"/>
        <v>10435.129999999999</v>
      </c>
      <c r="AE14">
        <f t="shared" si="1"/>
        <v>9.98</v>
      </c>
      <c r="AF14">
        <f t="shared" si="2"/>
        <v>107224</v>
      </c>
      <c r="AH14">
        <f>FORECAST(AD14, {0,1}, {0,89000})</f>
        <v>0.11724865168539325</v>
      </c>
      <c r="AJ14">
        <v>6</v>
      </c>
    </row>
    <row r="15" spans="1:38" x14ac:dyDescent="0.2">
      <c r="A15">
        <v>14</v>
      </c>
      <c r="B15" t="s">
        <v>25</v>
      </c>
      <c r="C15">
        <v>736.62099999999998</v>
      </c>
      <c r="D15">
        <v>16.46</v>
      </c>
      <c r="E15">
        <v>22.533999999999999</v>
      </c>
      <c r="F15">
        <v>7</v>
      </c>
      <c r="G15">
        <v>0</v>
      </c>
      <c r="H15">
        <v>211</v>
      </c>
      <c r="I15">
        <v>67.364999999999995</v>
      </c>
      <c r="J15">
        <v>185.90600000000001</v>
      </c>
      <c r="K15">
        <v>0.38900000000000001</v>
      </c>
      <c r="L15">
        <v>53.860999999999997</v>
      </c>
      <c r="M15">
        <v>12124.912</v>
      </c>
      <c r="N15">
        <v>9</v>
      </c>
      <c r="O15">
        <v>3.7109999999999999</v>
      </c>
      <c r="P15">
        <v>15.699</v>
      </c>
      <c r="Q15">
        <v>99.908000000000001</v>
      </c>
      <c r="R15">
        <v>124587</v>
      </c>
      <c r="S15">
        <v>142</v>
      </c>
      <c r="T15">
        <v>636</v>
      </c>
      <c r="U15">
        <v>27.603999999999999</v>
      </c>
      <c r="V15">
        <v>25.529</v>
      </c>
      <c r="W15">
        <v>1.841</v>
      </c>
      <c r="X15">
        <v>0.54300000000000004</v>
      </c>
      <c r="Y15">
        <v>0.69199999999999995</v>
      </c>
      <c r="Z15">
        <v>0</v>
      </c>
      <c r="AA15">
        <v>255</v>
      </c>
      <c r="AD15">
        <f t="shared" si="0"/>
        <v>5977.1540000000005</v>
      </c>
      <c r="AE15">
        <f t="shared" si="1"/>
        <v>8.4830000000000005</v>
      </c>
      <c r="AF15">
        <f t="shared" si="2"/>
        <v>61417</v>
      </c>
      <c r="AH15">
        <f>FORECAST(AD15, {0,1}, {0,89000})</f>
        <v>6.7159033707865176E-2</v>
      </c>
      <c r="AJ15">
        <v>6</v>
      </c>
    </row>
    <row r="16" spans="1:38" x14ac:dyDescent="0.2">
      <c r="A16">
        <v>15</v>
      </c>
      <c r="B16" t="s">
        <v>25</v>
      </c>
      <c r="C16">
        <v>651.75800000000004</v>
      </c>
      <c r="D16">
        <v>19.414999999999999</v>
      </c>
      <c r="E16">
        <v>24.271999999999998</v>
      </c>
      <c r="F16">
        <v>7</v>
      </c>
      <c r="G16">
        <v>0</v>
      </c>
      <c r="H16">
        <v>212</v>
      </c>
      <c r="I16">
        <v>11.541</v>
      </c>
      <c r="J16">
        <v>249.82400000000001</v>
      </c>
      <c r="K16">
        <v>0.80900000000000005</v>
      </c>
      <c r="L16">
        <v>37.524000000000001</v>
      </c>
      <c r="M16">
        <v>12653.754000000001</v>
      </c>
      <c r="N16">
        <v>10</v>
      </c>
      <c r="O16">
        <v>2.7639999999999998</v>
      </c>
      <c r="P16">
        <v>8.7989999999999995</v>
      </c>
      <c r="Q16">
        <v>99.611999999999995</v>
      </c>
      <c r="R16">
        <v>130021</v>
      </c>
      <c r="S16">
        <v>3</v>
      </c>
      <c r="T16">
        <v>846</v>
      </c>
      <c r="U16">
        <v>42.978999999999999</v>
      </c>
      <c r="V16">
        <v>23.213000000000001</v>
      </c>
      <c r="W16">
        <v>1.696</v>
      </c>
      <c r="X16">
        <v>0.59</v>
      </c>
      <c r="Y16">
        <v>0.97399999999999998</v>
      </c>
      <c r="Z16">
        <v>0</v>
      </c>
      <c r="AA16">
        <v>255</v>
      </c>
      <c r="AD16">
        <f t="shared" si="0"/>
        <v>6505.996000000001</v>
      </c>
      <c r="AE16">
        <f t="shared" si="1"/>
        <v>11.437999999999999</v>
      </c>
      <c r="AF16">
        <f t="shared" si="2"/>
        <v>66851</v>
      </c>
      <c r="AH16">
        <f>FORECAST(AD16, {0,1}, {0,89000})</f>
        <v>7.3101078651685414E-2</v>
      </c>
      <c r="AJ16">
        <v>6</v>
      </c>
    </row>
    <row r="17" spans="1:36" x14ac:dyDescent="0.2">
      <c r="A17">
        <v>16</v>
      </c>
      <c r="B17" t="s">
        <v>25</v>
      </c>
      <c r="C17">
        <v>1003.183</v>
      </c>
      <c r="D17">
        <v>26.734999999999999</v>
      </c>
      <c r="E17">
        <v>40.631999999999998</v>
      </c>
      <c r="F17">
        <v>7</v>
      </c>
      <c r="G17">
        <v>0</v>
      </c>
      <c r="H17">
        <v>255</v>
      </c>
      <c r="I17">
        <v>223.34899999999999</v>
      </c>
      <c r="J17">
        <v>252.3</v>
      </c>
      <c r="K17">
        <v>0.78200000000000003</v>
      </c>
      <c r="L17">
        <v>48.378999999999998</v>
      </c>
      <c r="M17">
        <v>26820.165000000001</v>
      </c>
      <c r="N17">
        <v>12</v>
      </c>
      <c r="O17">
        <v>3.1320000000000001</v>
      </c>
      <c r="P17">
        <v>10.544</v>
      </c>
      <c r="Q17">
        <v>99.893000000000001</v>
      </c>
      <c r="R17">
        <v>275585</v>
      </c>
      <c r="S17">
        <v>715</v>
      </c>
      <c r="T17">
        <v>746</v>
      </c>
      <c r="U17">
        <v>91.847999999999999</v>
      </c>
      <c r="V17">
        <v>32.774999999999999</v>
      </c>
      <c r="W17">
        <v>1.2989999999999999</v>
      </c>
      <c r="X17">
        <v>0.77</v>
      </c>
      <c r="Y17">
        <v>0.93600000000000005</v>
      </c>
      <c r="Z17">
        <v>0</v>
      </c>
      <c r="AA17">
        <v>255</v>
      </c>
      <c r="AD17">
        <f t="shared" si="0"/>
        <v>20672.406999999999</v>
      </c>
      <c r="AE17">
        <f t="shared" si="1"/>
        <v>18.757999999999999</v>
      </c>
      <c r="AF17">
        <f t="shared" si="2"/>
        <v>212415</v>
      </c>
      <c r="AH17">
        <f>FORECAST(AD17, {0,1}, {0,89000})</f>
        <v>0.2322742359550562</v>
      </c>
      <c r="AJ17">
        <v>6</v>
      </c>
    </row>
    <row r="18" spans="1:36" x14ac:dyDescent="0.2">
      <c r="A18">
        <v>17</v>
      </c>
      <c r="B18" t="s">
        <v>25</v>
      </c>
      <c r="C18">
        <v>652.82799999999997</v>
      </c>
      <c r="D18">
        <v>18.492000000000001</v>
      </c>
      <c r="E18">
        <v>24.536999999999999</v>
      </c>
      <c r="F18">
        <v>7</v>
      </c>
      <c r="G18">
        <v>0</v>
      </c>
      <c r="H18">
        <v>233</v>
      </c>
      <c r="I18">
        <v>258.53300000000002</v>
      </c>
      <c r="J18">
        <v>254.31700000000001</v>
      </c>
      <c r="K18">
        <v>0.70199999999999996</v>
      </c>
      <c r="L18">
        <v>42.603000000000002</v>
      </c>
      <c r="M18">
        <v>12072.066999999999</v>
      </c>
      <c r="N18">
        <v>11</v>
      </c>
      <c r="O18">
        <v>3.6930000000000001</v>
      </c>
      <c r="P18">
        <v>16.151</v>
      </c>
      <c r="Q18">
        <v>99.881</v>
      </c>
      <c r="R18">
        <v>124044</v>
      </c>
      <c r="S18">
        <v>781</v>
      </c>
      <c r="T18">
        <v>843</v>
      </c>
      <c r="U18">
        <v>23.748999999999999</v>
      </c>
      <c r="V18">
        <v>23.173999999999999</v>
      </c>
      <c r="W18">
        <v>1.736</v>
      </c>
      <c r="X18">
        <v>0.57599999999999996</v>
      </c>
      <c r="Y18">
        <v>0.91800000000000004</v>
      </c>
      <c r="Z18">
        <v>0</v>
      </c>
      <c r="AA18">
        <v>255</v>
      </c>
      <c r="AD18">
        <f t="shared" si="0"/>
        <v>5924.3089999999993</v>
      </c>
      <c r="AE18">
        <f t="shared" si="1"/>
        <v>10.515000000000001</v>
      </c>
      <c r="AF18">
        <f t="shared" si="2"/>
        <v>60874</v>
      </c>
      <c r="AH18">
        <f>FORECAST(AD18, {0,1}, {0,89000})</f>
        <v>6.6565269662921339E-2</v>
      </c>
      <c r="AJ18">
        <v>6</v>
      </c>
    </row>
    <row r="19" spans="1:36" x14ac:dyDescent="0.2">
      <c r="A19">
        <v>18</v>
      </c>
      <c r="B19" t="s">
        <v>25</v>
      </c>
      <c r="C19">
        <v>746.15899999999999</v>
      </c>
      <c r="D19">
        <v>16.178000000000001</v>
      </c>
      <c r="E19">
        <v>19.591999999999999</v>
      </c>
      <c r="F19">
        <v>8</v>
      </c>
      <c r="G19">
        <v>0</v>
      </c>
      <c r="H19">
        <v>205</v>
      </c>
      <c r="I19">
        <v>80.403999999999996</v>
      </c>
      <c r="J19">
        <v>138.07400000000001</v>
      </c>
      <c r="K19">
        <v>0.42299999999999999</v>
      </c>
      <c r="L19">
        <v>55.981000000000002</v>
      </c>
      <c r="M19">
        <v>12071.58</v>
      </c>
      <c r="N19">
        <v>10</v>
      </c>
      <c r="O19">
        <v>3.887</v>
      </c>
      <c r="P19">
        <v>18.225000000000001</v>
      </c>
      <c r="Q19">
        <v>99.960999999999999</v>
      </c>
      <c r="R19">
        <v>124039</v>
      </c>
      <c r="S19">
        <v>211</v>
      </c>
      <c r="T19">
        <v>522</v>
      </c>
      <c r="U19">
        <v>33.866999999999997</v>
      </c>
      <c r="V19">
        <v>34.384</v>
      </c>
      <c r="W19">
        <v>1.661</v>
      </c>
      <c r="X19">
        <v>0.60199999999999998</v>
      </c>
      <c r="Y19">
        <v>0.71899999999999997</v>
      </c>
      <c r="Z19">
        <v>0</v>
      </c>
      <c r="AA19">
        <v>255</v>
      </c>
      <c r="AD19">
        <f t="shared" si="0"/>
        <v>5923.8220000000001</v>
      </c>
      <c r="AE19">
        <f t="shared" si="1"/>
        <v>8.2010000000000005</v>
      </c>
      <c r="AF19">
        <f t="shared" si="2"/>
        <v>60869</v>
      </c>
      <c r="AH19">
        <f>FORECAST(AD19, {0,1}, {0,89000})</f>
        <v>6.6559797752809E-2</v>
      </c>
      <c r="AJ19">
        <v>6</v>
      </c>
    </row>
    <row r="20" spans="1:36" x14ac:dyDescent="0.2">
      <c r="A20">
        <v>19</v>
      </c>
      <c r="B20" t="s">
        <v>25</v>
      </c>
      <c r="C20">
        <v>1237.6289999999999</v>
      </c>
      <c r="D20">
        <v>20.536999999999999</v>
      </c>
      <c r="E20">
        <v>29.873000000000001</v>
      </c>
      <c r="F20">
        <v>7</v>
      </c>
      <c r="G20">
        <v>0</v>
      </c>
      <c r="H20">
        <v>255</v>
      </c>
      <c r="I20">
        <v>299.95400000000001</v>
      </c>
      <c r="J20">
        <v>71.149000000000001</v>
      </c>
      <c r="K20">
        <v>0.36199999999999999</v>
      </c>
      <c r="L20">
        <v>73.106999999999999</v>
      </c>
      <c r="M20">
        <v>25417.187999999998</v>
      </c>
      <c r="N20">
        <v>11</v>
      </c>
      <c r="O20">
        <v>4.0330000000000004</v>
      </c>
      <c r="P20">
        <v>20.393999999999998</v>
      </c>
      <c r="Q20">
        <v>99.748000000000005</v>
      </c>
      <c r="R20">
        <v>261169</v>
      </c>
      <c r="S20">
        <v>807</v>
      </c>
      <c r="T20">
        <v>248</v>
      </c>
      <c r="U20">
        <v>26.893000000000001</v>
      </c>
      <c r="V20">
        <v>40.340000000000003</v>
      </c>
      <c r="W20">
        <v>1.589</v>
      </c>
      <c r="X20">
        <v>0.629</v>
      </c>
      <c r="Y20">
        <v>0.64100000000000001</v>
      </c>
      <c r="Z20">
        <v>0</v>
      </c>
      <c r="AA20">
        <v>255</v>
      </c>
      <c r="AD20">
        <f t="shared" si="0"/>
        <v>19269.43</v>
      </c>
      <c r="AE20">
        <f t="shared" si="1"/>
        <v>12.559999999999999</v>
      </c>
      <c r="AF20">
        <f t="shared" si="2"/>
        <v>197999</v>
      </c>
      <c r="AH20">
        <f>FORECAST(AD20, {0,1}, {0,89000})</f>
        <v>0.21651044943820227</v>
      </c>
      <c r="AJ20">
        <v>6</v>
      </c>
    </row>
    <row r="21" spans="1:36" x14ac:dyDescent="0.2">
      <c r="A21">
        <v>20</v>
      </c>
      <c r="B21" t="s">
        <v>25</v>
      </c>
      <c r="C21">
        <v>1400.155</v>
      </c>
      <c r="D21">
        <v>14.366</v>
      </c>
      <c r="E21">
        <v>20.216000000000001</v>
      </c>
      <c r="F21">
        <v>7</v>
      </c>
      <c r="G21">
        <v>0</v>
      </c>
      <c r="H21">
        <v>255</v>
      </c>
      <c r="I21">
        <v>32.645000000000003</v>
      </c>
      <c r="J21">
        <v>66.438000000000002</v>
      </c>
      <c r="K21">
        <v>0.45200000000000001</v>
      </c>
      <c r="L21">
        <v>61.823999999999998</v>
      </c>
      <c r="M21">
        <v>20113.98</v>
      </c>
      <c r="N21">
        <v>9</v>
      </c>
      <c r="O21">
        <v>4.5650000000000004</v>
      </c>
      <c r="P21">
        <v>25.326000000000001</v>
      </c>
      <c r="Q21">
        <v>99.625</v>
      </c>
      <c r="R21">
        <v>206677</v>
      </c>
      <c r="S21">
        <v>10</v>
      </c>
      <c r="T21">
        <v>243</v>
      </c>
      <c r="U21">
        <v>27.986999999999998</v>
      </c>
      <c r="V21">
        <v>39.229999999999997</v>
      </c>
      <c r="W21">
        <v>1.617</v>
      </c>
      <c r="X21">
        <v>0.61799999999999999</v>
      </c>
      <c r="Y21">
        <v>0.78900000000000003</v>
      </c>
      <c r="Z21">
        <v>0</v>
      </c>
      <c r="AA21">
        <v>255</v>
      </c>
      <c r="AD21">
        <f t="shared" si="0"/>
        <v>13966.222</v>
      </c>
      <c r="AE21">
        <f t="shared" si="1"/>
        <v>6.3889999999999993</v>
      </c>
      <c r="AF21">
        <f t="shared" si="2"/>
        <v>143507</v>
      </c>
      <c r="AH21">
        <f>FORECAST(AD21, {0,1}, {0,89000})</f>
        <v>0.15692384269662923</v>
      </c>
      <c r="AJ21">
        <v>6</v>
      </c>
    </row>
    <row r="22" spans="1:36" x14ac:dyDescent="0.2">
      <c r="A22">
        <v>21</v>
      </c>
      <c r="B22" t="s">
        <v>27</v>
      </c>
      <c r="C22">
        <v>770.68399999999997</v>
      </c>
      <c r="D22">
        <v>7.9770000000000003</v>
      </c>
      <c r="E22">
        <v>3.726</v>
      </c>
      <c r="F22">
        <v>7</v>
      </c>
      <c r="G22">
        <v>0</v>
      </c>
      <c r="H22">
        <v>36</v>
      </c>
      <c r="I22">
        <v>106.021</v>
      </c>
      <c r="J22">
        <v>81.295000000000002</v>
      </c>
      <c r="K22">
        <v>0.84599999999999997</v>
      </c>
      <c r="L22">
        <v>38.186999999999998</v>
      </c>
      <c r="M22">
        <v>6147.7579999999998</v>
      </c>
      <c r="N22">
        <v>7</v>
      </c>
      <c r="O22">
        <v>0.90200000000000002</v>
      </c>
      <c r="P22">
        <v>1.7809999999999999</v>
      </c>
      <c r="Q22">
        <v>98.850999999999999</v>
      </c>
      <c r="R22">
        <v>63170</v>
      </c>
      <c r="S22">
        <v>281</v>
      </c>
      <c r="T22">
        <v>284</v>
      </c>
      <c r="U22">
        <v>4.6859999999999999</v>
      </c>
      <c r="V22">
        <v>27.135000000000002</v>
      </c>
      <c r="W22">
        <v>1.258</v>
      </c>
      <c r="X22">
        <v>0.79500000000000004</v>
      </c>
      <c r="Y22">
        <v>0.99299999999999999</v>
      </c>
      <c r="Z22">
        <v>0</v>
      </c>
      <c r="AA22">
        <v>255</v>
      </c>
      <c r="AD22">
        <f>AVERAGE(AD2:AD21)</f>
        <v>13060.014400000004</v>
      </c>
      <c r="AE22">
        <f>AVERAGE(AE2:AE21)</f>
        <v>11.106349999999999</v>
      </c>
      <c r="AF22">
        <f>AVERAGE(AF2:AF21)</f>
        <v>134195.45000000001</v>
      </c>
      <c r="AH22">
        <f>FORECAST(AD22, {0,1}, {0,89000})</f>
        <v>0.14674173483146072</v>
      </c>
      <c r="AJ22">
        <v>6</v>
      </c>
    </row>
    <row r="23" spans="1:36" x14ac:dyDescent="0.2">
      <c r="A23" s="3">
        <v>1</v>
      </c>
      <c r="B23" s="3" t="s">
        <v>26</v>
      </c>
      <c r="C23" s="3">
        <v>739.15200000000004</v>
      </c>
      <c r="D23" s="3">
        <v>19.045999999999999</v>
      </c>
      <c r="E23" s="3">
        <v>28.18</v>
      </c>
      <c r="F23" s="3">
        <v>7</v>
      </c>
      <c r="G23" s="3">
        <v>0</v>
      </c>
      <c r="H23" s="3">
        <v>240</v>
      </c>
      <c r="I23" s="3">
        <v>218.726</v>
      </c>
      <c r="J23" s="3">
        <v>184.32400000000001</v>
      </c>
      <c r="K23" s="3">
        <v>0.92100000000000004</v>
      </c>
      <c r="L23" s="3">
        <v>34.209000000000003</v>
      </c>
      <c r="M23" s="3">
        <v>14077.947</v>
      </c>
      <c r="N23" s="3">
        <v>9</v>
      </c>
      <c r="O23" s="3">
        <v>3.27</v>
      </c>
      <c r="P23" s="3">
        <v>12.19</v>
      </c>
      <c r="Q23" s="3">
        <v>98.486000000000004</v>
      </c>
      <c r="R23" s="3">
        <v>144655</v>
      </c>
      <c r="S23" s="3">
        <v>656</v>
      </c>
      <c r="T23" s="3">
        <v>611</v>
      </c>
      <c r="U23" s="3">
        <v>12.641999999999999</v>
      </c>
      <c r="V23" s="3">
        <v>28.876999999999999</v>
      </c>
      <c r="W23" s="3">
        <v>1.135</v>
      </c>
      <c r="X23" s="3">
        <v>0.88100000000000001</v>
      </c>
      <c r="Y23" s="3">
        <v>0.99299999999999999</v>
      </c>
      <c r="Z23" s="3">
        <v>0</v>
      </c>
      <c r="AA23" s="3">
        <v>255</v>
      </c>
      <c r="AB23" s="3"/>
      <c r="AC23" s="3"/>
      <c r="AD23" s="3">
        <f>M23-M$43</f>
        <v>10781.009</v>
      </c>
      <c r="AE23" s="3">
        <f>D23-D$43</f>
        <v>14.277999999999999</v>
      </c>
      <c r="AF23" s="3">
        <f>R23-R$43</f>
        <v>110778</v>
      </c>
      <c r="AH23">
        <f>FORECAST(AD23, {0,1}, {0,89000})</f>
        <v>0.12113493258426968</v>
      </c>
      <c r="AJ23">
        <v>12</v>
      </c>
    </row>
    <row r="24" spans="1:36" x14ac:dyDescent="0.2">
      <c r="A24" s="3">
        <v>2</v>
      </c>
      <c r="B24" s="3" t="s">
        <v>26</v>
      </c>
      <c r="C24" s="3">
        <v>693.41099999999994</v>
      </c>
      <c r="D24" s="3">
        <v>16.478999999999999</v>
      </c>
      <c r="E24" s="3">
        <v>26.673999999999999</v>
      </c>
      <c r="F24" s="3">
        <v>6</v>
      </c>
      <c r="G24" s="3">
        <v>0</v>
      </c>
      <c r="H24" s="3">
        <v>255</v>
      </c>
      <c r="I24" s="3">
        <v>238.589</v>
      </c>
      <c r="J24" s="3">
        <v>164.071</v>
      </c>
      <c r="K24" s="3">
        <v>0.90200000000000002</v>
      </c>
      <c r="L24" s="3">
        <v>36.918999999999997</v>
      </c>
      <c r="M24" s="3">
        <v>11426.927</v>
      </c>
      <c r="N24" s="3">
        <v>7</v>
      </c>
      <c r="O24" s="3">
        <v>3.456</v>
      </c>
      <c r="P24" s="3">
        <v>14.096</v>
      </c>
      <c r="Q24" s="3">
        <v>97.094999999999999</v>
      </c>
      <c r="R24" s="3">
        <v>117415</v>
      </c>
      <c r="S24" s="3">
        <v>765</v>
      </c>
      <c r="T24" s="3">
        <v>591</v>
      </c>
      <c r="U24" s="3">
        <v>85.638000000000005</v>
      </c>
      <c r="V24" s="3">
        <v>25.919</v>
      </c>
      <c r="W24" s="3">
        <v>1.4</v>
      </c>
      <c r="X24" s="3">
        <v>0.71399999999999997</v>
      </c>
      <c r="Y24" s="3">
        <v>1</v>
      </c>
      <c r="Z24" s="3">
        <v>0</v>
      </c>
      <c r="AA24" s="3">
        <v>255</v>
      </c>
      <c r="AB24" s="3"/>
      <c r="AC24" s="3"/>
      <c r="AD24" s="3">
        <f t="shared" ref="AD24:AD42" si="3">M24-M$43</f>
        <v>8129.9889999999996</v>
      </c>
      <c r="AE24" s="3">
        <f t="shared" ref="AE24:AE42" si="4">D24-D$43</f>
        <v>11.710999999999999</v>
      </c>
      <c r="AF24" s="3">
        <f t="shared" ref="AF24:AF42" si="5">R24-R$43</f>
        <v>83538</v>
      </c>
      <c r="AH24">
        <f>FORECAST(AD24, {0,1}, {0,89000})</f>
        <v>9.1348191011235952E-2</v>
      </c>
      <c r="AJ24">
        <v>12</v>
      </c>
    </row>
    <row r="25" spans="1:36" x14ac:dyDescent="0.2">
      <c r="A25" s="3">
        <v>3</v>
      </c>
      <c r="B25" s="3" t="s">
        <v>26</v>
      </c>
      <c r="C25" s="3">
        <v>856.423</v>
      </c>
      <c r="D25" s="3">
        <v>16.065000000000001</v>
      </c>
      <c r="E25" s="3">
        <v>23.257000000000001</v>
      </c>
      <c r="F25" s="3">
        <v>6</v>
      </c>
      <c r="G25" s="3">
        <v>0</v>
      </c>
      <c r="H25" s="3">
        <v>189</v>
      </c>
      <c r="I25" s="3">
        <v>102.271</v>
      </c>
      <c r="J25" s="3">
        <v>222.85499999999999</v>
      </c>
      <c r="K25" s="3">
        <v>0.89</v>
      </c>
      <c r="L25" s="3">
        <v>37.627000000000002</v>
      </c>
      <c r="M25" s="3">
        <v>13758.053</v>
      </c>
      <c r="N25" s="3">
        <v>8</v>
      </c>
      <c r="O25" s="3">
        <v>3.1339999999999999</v>
      </c>
      <c r="P25" s="3">
        <v>11.364000000000001</v>
      </c>
      <c r="Q25" s="3">
        <v>96.272999999999996</v>
      </c>
      <c r="R25" s="3">
        <v>141368</v>
      </c>
      <c r="S25" s="3">
        <v>293</v>
      </c>
      <c r="T25" s="3">
        <v>760</v>
      </c>
      <c r="U25" s="3">
        <v>49.707999999999998</v>
      </c>
      <c r="V25" s="3">
        <v>31.164999999999999</v>
      </c>
      <c r="W25" s="3">
        <v>1.131</v>
      </c>
      <c r="X25" s="3">
        <v>0.88400000000000001</v>
      </c>
      <c r="Y25" s="3">
        <v>0.99199999999999999</v>
      </c>
      <c r="Z25" s="3">
        <v>0</v>
      </c>
      <c r="AA25" s="3">
        <v>255</v>
      </c>
      <c r="AB25" s="3"/>
      <c r="AC25" s="3"/>
      <c r="AD25" s="3">
        <f t="shared" si="3"/>
        <v>10461.115</v>
      </c>
      <c r="AE25" s="3">
        <f t="shared" si="4"/>
        <v>11.297000000000001</v>
      </c>
      <c r="AF25" s="3">
        <f t="shared" si="5"/>
        <v>107491</v>
      </c>
      <c r="AH25">
        <f>FORECAST(AD25, {0,1}, {0,89000})</f>
        <v>0.1175406179775281</v>
      </c>
      <c r="AJ25">
        <v>12</v>
      </c>
    </row>
    <row r="26" spans="1:36" x14ac:dyDescent="0.2">
      <c r="A26" s="3">
        <v>4</v>
      </c>
      <c r="B26" s="3" t="s">
        <v>26</v>
      </c>
      <c r="C26" s="3">
        <v>514.04899999999998</v>
      </c>
      <c r="D26" s="3">
        <v>21.327000000000002</v>
      </c>
      <c r="E26" s="3">
        <v>24.827000000000002</v>
      </c>
      <c r="F26" s="3">
        <v>7</v>
      </c>
      <c r="G26" s="3">
        <v>0</v>
      </c>
      <c r="H26" s="3">
        <v>199</v>
      </c>
      <c r="I26" s="3">
        <v>146.42500000000001</v>
      </c>
      <c r="J26" s="3">
        <v>197.31700000000001</v>
      </c>
      <c r="K26" s="3">
        <v>0.89100000000000001</v>
      </c>
      <c r="L26" s="3">
        <v>30.934999999999999</v>
      </c>
      <c r="M26" s="3">
        <v>10962.901</v>
      </c>
      <c r="N26" s="3">
        <v>11</v>
      </c>
      <c r="O26" s="3">
        <v>2.3109999999999999</v>
      </c>
      <c r="P26" s="3">
        <v>6.1520000000000001</v>
      </c>
      <c r="Q26" s="3">
        <v>99.129000000000005</v>
      </c>
      <c r="R26" s="3">
        <v>112647</v>
      </c>
      <c r="S26" s="3">
        <v>419</v>
      </c>
      <c r="T26" s="3">
        <v>616</v>
      </c>
      <c r="U26" s="3">
        <v>158.09100000000001</v>
      </c>
      <c r="V26" s="3">
        <v>22.896999999999998</v>
      </c>
      <c r="W26" s="3">
        <v>1.2070000000000001</v>
      </c>
      <c r="X26" s="3">
        <v>0.82899999999999996</v>
      </c>
      <c r="Y26" s="3">
        <v>0.996</v>
      </c>
      <c r="Z26" s="3">
        <v>0</v>
      </c>
      <c r="AA26" s="3">
        <v>255</v>
      </c>
      <c r="AB26" s="3"/>
      <c r="AC26" s="3"/>
      <c r="AD26" s="3">
        <f t="shared" si="3"/>
        <v>7665.9629999999997</v>
      </c>
      <c r="AE26" s="3">
        <f t="shared" si="4"/>
        <v>16.559000000000001</v>
      </c>
      <c r="AF26" s="3">
        <f t="shared" si="5"/>
        <v>78770</v>
      </c>
      <c r="AH26">
        <f>FORECAST(AD26, {0,1}, {0,89000})</f>
        <v>8.6134415730337088E-2</v>
      </c>
      <c r="AJ26">
        <v>12</v>
      </c>
    </row>
    <row r="27" spans="1:36" x14ac:dyDescent="0.2">
      <c r="A27" s="3">
        <v>5</v>
      </c>
      <c r="B27" s="3" t="s">
        <v>26</v>
      </c>
      <c r="C27" s="3">
        <v>922.69899999999996</v>
      </c>
      <c r="D27" s="3">
        <v>14.199</v>
      </c>
      <c r="E27" s="3">
        <v>21.942</v>
      </c>
      <c r="F27" s="3">
        <v>6</v>
      </c>
      <c r="G27" s="3">
        <v>0</v>
      </c>
      <c r="H27" s="3">
        <v>231</v>
      </c>
      <c r="I27" s="3">
        <v>169.023</v>
      </c>
      <c r="J27" s="3">
        <v>184.512</v>
      </c>
      <c r="K27" s="3">
        <v>0.84299999999999997</v>
      </c>
      <c r="L27" s="3">
        <v>40.963000000000001</v>
      </c>
      <c r="M27" s="3">
        <v>13101.138000000001</v>
      </c>
      <c r="N27" s="3">
        <v>8</v>
      </c>
      <c r="O27" s="3">
        <v>4.1180000000000003</v>
      </c>
      <c r="P27" s="3">
        <v>21.122</v>
      </c>
      <c r="Q27" s="3">
        <v>97.257999999999996</v>
      </c>
      <c r="R27" s="3">
        <v>134618</v>
      </c>
      <c r="S27" s="3">
        <v>521</v>
      </c>
      <c r="T27" s="3">
        <v>647</v>
      </c>
      <c r="U27" s="3">
        <v>67.144999999999996</v>
      </c>
      <c r="V27" s="3">
        <v>32.878999999999998</v>
      </c>
      <c r="W27" s="3">
        <v>1.147</v>
      </c>
      <c r="X27" s="3">
        <v>0.872</v>
      </c>
      <c r="Y27" s="3">
        <v>0.97899999999999998</v>
      </c>
      <c r="Z27" s="3">
        <v>0</v>
      </c>
      <c r="AA27" s="3">
        <v>255</v>
      </c>
      <c r="AB27" s="3"/>
      <c r="AC27" s="3"/>
      <c r="AD27" s="3">
        <f t="shared" si="3"/>
        <v>9804.2000000000007</v>
      </c>
      <c r="AE27" s="3">
        <f t="shared" si="4"/>
        <v>9.4310000000000009</v>
      </c>
      <c r="AF27" s="3">
        <f t="shared" si="5"/>
        <v>100741</v>
      </c>
      <c r="AH27">
        <f>FORECAST(AD27, {0,1}, {0,89000})</f>
        <v>0.11015955056179777</v>
      </c>
      <c r="AJ27">
        <v>12</v>
      </c>
    </row>
    <row r="28" spans="1:36" x14ac:dyDescent="0.2">
      <c r="A28" s="3">
        <v>6</v>
      </c>
      <c r="B28" s="3" t="s">
        <v>26</v>
      </c>
      <c r="C28" s="3">
        <v>771.07299999999998</v>
      </c>
      <c r="D28" s="3">
        <v>15.3</v>
      </c>
      <c r="E28" s="3">
        <v>23.849</v>
      </c>
      <c r="F28" s="3">
        <v>6</v>
      </c>
      <c r="G28" s="3">
        <v>0</v>
      </c>
      <c r="H28" s="3">
        <v>196</v>
      </c>
      <c r="I28" s="3">
        <v>288.35700000000003</v>
      </c>
      <c r="J28" s="3">
        <v>153.673</v>
      </c>
      <c r="K28" s="3">
        <v>0.92200000000000004</v>
      </c>
      <c r="L28" s="3">
        <v>35.08</v>
      </c>
      <c r="M28" s="3">
        <v>11797.038</v>
      </c>
      <c r="N28" s="3">
        <v>7</v>
      </c>
      <c r="O28" s="3">
        <v>3.3809999999999998</v>
      </c>
      <c r="P28" s="3">
        <v>12.808999999999999</v>
      </c>
      <c r="Q28" s="3">
        <v>96.1</v>
      </c>
      <c r="R28" s="3">
        <v>121218</v>
      </c>
      <c r="S28" s="3">
        <v>867</v>
      </c>
      <c r="T28" s="3">
        <v>503</v>
      </c>
      <c r="U28" s="3">
        <v>9.2110000000000003</v>
      </c>
      <c r="V28" s="3">
        <v>29.213000000000001</v>
      </c>
      <c r="W28" s="3">
        <v>1.113</v>
      </c>
      <c r="X28" s="3">
        <v>0.89800000000000002</v>
      </c>
      <c r="Y28" s="3">
        <v>0.98899999999999999</v>
      </c>
      <c r="Z28" s="3">
        <v>0</v>
      </c>
      <c r="AA28" s="3">
        <v>255</v>
      </c>
      <c r="AB28" s="3"/>
      <c r="AC28" s="3"/>
      <c r="AD28" s="3">
        <f t="shared" si="3"/>
        <v>8500.1</v>
      </c>
      <c r="AE28" s="3">
        <f t="shared" si="4"/>
        <v>10.532</v>
      </c>
      <c r="AF28" s="3">
        <f t="shared" si="5"/>
        <v>87341</v>
      </c>
      <c r="AH28">
        <f>FORECAST(AD28, {0,1}, {0,89000})</f>
        <v>9.5506741573033724E-2</v>
      </c>
      <c r="AJ28">
        <v>12</v>
      </c>
    </row>
    <row r="29" spans="1:36" x14ac:dyDescent="0.2">
      <c r="A29" s="3">
        <v>7</v>
      </c>
      <c r="B29" s="3" t="s">
        <v>26</v>
      </c>
      <c r="C29" s="3">
        <v>271.72000000000003</v>
      </c>
      <c r="D29" s="3">
        <v>42.494</v>
      </c>
      <c r="E29" s="3">
        <v>46.006999999999998</v>
      </c>
      <c r="F29" s="3">
        <v>8</v>
      </c>
      <c r="G29" s="3">
        <v>0</v>
      </c>
      <c r="H29" s="3">
        <v>255</v>
      </c>
      <c r="I29" s="3">
        <v>301.36900000000003</v>
      </c>
      <c r="J29" s="3">
        <v>265.42399999999998</v>
      </c>
      <c r="K29" s="3">
        <v>0.91600000000000004</v>
      </c>
      <c r="L29" s="3">
        <v>21.033999999999999</v>
      </c>
      <c r="M29" s="3">
        <v>11546.437</v>
      </c>
      <c r="N29" s="3">
        <v>23</v>
      </c>
      <c r="O29" s="3">
        <v>2.044</v>
      </c>
      <c r="P29" s="3">
        <v>4.6379999999999999</v>
      </c>
      <c r="Q29" s="3">
        <v>99.893000000000001</v>
      </c>
      <c r="R29" s="3">
        <v>118643</v>
      </c>
      <c r="S29" s="3">
        <v>937</v>
      </c>
      <c r="T29" s="3">
        <v>830</v>
      </c>
      <c r="U29" s="3">
        <v>144.66</v>
      </c>
      <c r="V29" s="3">
        <v>17.443999999999999</v>
      </c>
      <c r="W29" s="3">
        <v>1.1619999999999999</v>
      </c>
      <c r="X29" s="3">
        <v>0.86099999999999999</v>
      </c>
      <c r="Y29" s="3">
        <v>0.997</v>
      </c>
      <c r="Z29" s="3">
        <v>0</v>
      </c>
      <c r="AA29" s="3">
        <v>255</v>
      </c>
      <c r="AB29" s="3"/>
      <c r="AC29" s="3"/>
      <c r="AD29" s="3">
        <f t="shared" si="3"/>
        <v>8249.4989999999998</v>
      </c>
      <c r="AE29" s="3">
        <f t="shared" si="4"/>
        <v>37.725999999999999</v>
      </c>
      <c r="AF29" s="3">
        <f t="shared" si="5"/>
        <v>84766</v>
      </c>
      <c r="AH29">
        <f>FORECAST(AD29, {0,1}, {0,89000})</f>
        <v>9.2691000000000009E-2</v>
      </c>
      <c r="AJ29">
        <v>12</v>
      </c>
    </row>
    <row r="30" spans="1:36" x14ac:dyDescent="0.2">
      <c r="A30" s="3">
        <v>8</v>
      </c>
      <c r="B30" s="3" t="s">
        <v>26</v>
      </c>
      <c r="C30" s="3">
        <v>751.90099999999995</v>
      </c>
      <c r="D30" s="3">
        <v>21.082999999999998</v>
      </c>
      <c r="E30" s="3">
        <v>32.259</v>
      </c>
      <c r="F30" s="3">
        <v>6</v>
      </c>
      <c r="G30" s="3">
        <v>0</v>
      </c>
      <c r="H30" s="3">
        <v>238</v>
      </c>
      <c r="I30" s="3">
        <v>278.75</v>
      </c>
      <c r="J30" s="3">
        <v>268.30500000000001</v>
      </c>
      <c r="K30" s="3">
        <v>0.86099999999999999</v>
      </c>
      <c r="L30" s="3">
        <v>38.89</v>
      </c>
      <c r="M30" s="3">
        <v>15852.009</v>
      </c>
      <c r="N30" s="3">
        <v>9</v>
      </c>
      <c r="O30" s="3">
        <v>3.0539999999999998</v>
      </c>
      <c r="P30" s="3">
        <v>9.9990000000000006</v>
      </c>
      <c r="Q30" s="3">
        <v>98.68</v>
      </c>
      <c r="R30" s="3">
        <v>162884</v>
      </c>
      <c r="S30" s="3">
        <v>828</v>
      </c>
      <c r="T30" s="3">
        <v>856</v>
      </c>
      <c r="U30" s="3">
        <v>166.07499999999999</v>
      </c>
      <c r="V30" s="3">
        <v>28.268000000000001</v>
      </c>
      <c r="W30" s="3">
        <v>1.347</v>
      </c>
      <c r="X30" s="3">
        <v>0.74199999999999999</v>
      </c>
      <c r="Y30" s="3">
        <v>0.96499999999999997</v>
      </c>
      <c r="Z30" s="3">
        <v>0</v>
      </c>
      <c r="AA30" s="3">
        <v>255</v>
      </c>
      <c r="AB30" s="3"/>
      <c r="AC30" s="3"/>
      <c r="AD30" s="3">
        <f t="shared" si="3"/>
        <v>12555.071</v>
      </c>
      <c r="AE30" s="3">
        <f t="shared" si="4"/>
        <v>16.314999999999998</v>
      </c>
      <c r="AF30" s="3">
        <f t="shared" si="5"/>
        <v>129007</v>
      </c>
      <c r="AH30">
        <f>FORECAST(AD30, {0,1}, {0,89000})</f>
        <v>0.14106821348314608</v>
      </c>
      <c r="AJ30">
        <v>12</v>
      </c>
    </row>
    <row r="31" spans="1:36" x14ac:dyDescent="0.2">
      <c r="A31" s="3">
        <v>9</v>
      </c>
      <c r="B31" s="3" t="s">
        <v>26</v>
      </c>
      <c r="C31" s="3">
        <v>727.86300000000006</v>
      </c>
      <c r="D31" s="3">
        <v>20.021000000000001</v>
      </c>
      <c r="E31" s="3">
        <v>24.844000000000001</v>
      </c>
      <c r="F31" s="3">
        <v>6</v>
      </c>
      <c r="G31" s="3">
        <v>0</v>
      </c>
      <c r="H31" s="3">
        <v>255</v>
      </c>
      <c r="I31" s="3">
        <v>258.084</v>
      </c>
      <c r="J31" s="3">
        <v>33.466000000000001</v>
      </c>
      <c r="K31" s="3">
        <v>0.873</v>
      </c>
      <c r="L31" s="3">
        <v>35.732999999999997</v>
      </c>
      <c r="M31" s="3">
        <v>14572.337</v>
      </c>
      <c r="N31" s="3">
        <v>10</v>
      </c>
      <c r="O31" s="3">
        <v>2.6579999999999999</v>
      </c>
      <c r="P31" s="3">
        <v>9.7210000000000001</v>
      </c>
      <c r="Q31" s="3">
        <v>97.472999999999999</v>
      </c>
      <c r="R31" s="3">
        <v>149735</v>
      </c>
      <c r="S31" s="3">
        <v>812</v>
      </c>
      <c r="T31" s="3">
        <v>42</v>
      </c>
      <c r="U31" s="3">
        <v>114.77500000000001</v>
      </c>
      <c r="V31" s="3">
        <v>28.439</v>
      </c>
      <c r="W31" s="3">
        <v>1.1080000000000001</v>
      </c>
      <c r="X31" s="3">
        <v>0.90300000000000002</v>
      </c>
      <c r="Y31" s="3">
        <v>0.96799999999999997</v>
      </c>
      <c r="Z31" s="3">
        <v>0</v>
      </c>
      <c r="AA31" s="3">
        <v>255</v>
      </c>
      <c r="AB31" s="3"/>
      <c r="AC31" s="3"/>
      <c r="AD31" s="3">
        <f t="shared" si="3"/>
        <v>11275.398999999999</v>
      </c>
      <c r="AE31" s="3">
        <f t="shared" si="4"/>
        <v>15.253</v>
      </c>
      <c r="AF31" s="3">
        <f t="shared" si="5"/>
        <v>115858</v>
      </c>
      <c r="AH31">
        <f>FORECAST(AD31, {0,1}, {0,89000})</f>
        <v>0.12668987640449439</v>
      </c>
      <c r="AJ31">
        <v>12</v>
      </c>
    </row>
    <row r="32" spans="1:36" x14ac:dyDescent="0.2">
      <c r="A32" s="3">
        <v>10</v>
      </c>
      <c r="B32" s="3" t="s">
        <v>26</v>
      </c>
      <c r="C32" s="3">
        <v>996.66300000000001</v>
      </c>
      <c r="D32" s="3">
        <v>13.826000000000001</v>
      </c>
      <c r="E32" s="3">
        <v>26.893999999999998</v>
      </c>
      <c r="F32" s="3">
        <v>6</v>
      </c>
      <c r="G32" s="3">
        <v>0</v>
      </c>
      <c r="H32" s="3">
        <v>243</v>
      </c>
      <c r="I32" s="3">
        <v>286.98700000000002</v>
      </c>
      <c r="J32" s="3">
        <v>54.225000000000001</v>
      </c>
      <c r="K32" s="3">
        <v>0.71699999999999997</v>
      </c>
      <c r="L32" s="3">
        <v>50.85</v>
      </c>
      <c r="M32" s="3">
        <v>13779.852999999999</v>
      </c>
      <c r="N32" s="3">
        <v>7</v>
      </c>
      <c r="O32" s="3">
        <v>4.4139999999999997</v>
      </c>
      <c r="P32" s="3">
        <v>21.797000000000001</v>
      </c>
      <c r="Q32" s="3">
        <v>94.335999999999999</v>
      </c>
      <c r="R32" s="3">
        <v>141592</v>
      </c>
      <c r="S32" s="3">
        <v>917</v>
      </c>
      <c r="T32" s="3">
        <v>91</v>
      </c>
      <c r="U32" s="3">
        <v>90</v>
      </c>
      <c r="V32" s="3">
        <v>30.739000000000001</v>
      </c>
      <c r="W32" s="3">
        <v>1.42</v>
      </c>
      <c r="X32" s="3">
        <v>0.70399999999999996</v>
      </c>
      <c r="Y32" s="3">
        <v>0.92200000000000004</v>
      </c>
      <c r="Z32" s="3">
        <v>0</v>
      </c>
      <c r="AA32" s="3">
        <v>255</v>
      </c>
      <c r="AB32" s="3"/>
      <c r="AC32" s="3"/>
      <c r="AD32" s="3">
        <f t="shared" si="3"/>
        <v>10482.914999999999</v>
      </c>
      <c r="AE32" s="3">
        <f t="shared" si="4"/>
        <v>9.0579999999999998</v>
      </c>
      <c r="AF32" s="3">
        <f t="shared" si="5"/>
        <v>107715</v>
      </c>
      <c r="AH32">
        <f>FORECAST(AD32, {0,1}, {0,89000})</f>
        <v>0.11778556179775281</v>
      </c>
      <c r="AJ32">
        <v>12</v>
      </c>
    </row>
    <row r="33" spans="1:36" x14ac:dyDescent="0.2">
      <c r="A33" s="3">
        <v>11</v>
      </c>
      <c r="B33" s="3" t="s">
        <v>26</v>
      </c>
      <c r="C33" s="3">
        <v>593.07299999999998</v>
      </c>
      <c r="D33" s="3">
        <v>18.542999999999999</v>
      </c>
      <c r="E33" s="3">
        <v>25.052</v>
      </c>
      <c r="F33" s="3">
        <v>6</v>
      </c>
      <c r="G33" s="3">
        <v>0</v>
      </c>
      <c r="H33" s="3">
        <v>202</v>
      </c>
      <c r="I33" s="3">
        <v>270.63600000000002</v>
      </c>
      <c r="J33" s="3">
        <v>79.596000000000004</v>
      </c>
      <c r="K33" s="3">
        <v>0.80200000000000005</v>
      </c>
      <c r="L33" s="3">
        <v>34.677</v>
      </c>
      <c r="M33" s="3">
        <v>10997.645</v>
      </c>
      <c r="N33" s="3">
        <v>9</v>
      </c>
      <c r="O33" s="3">
        <v>2.8650000000000002</v>
      </c>
      <c r="P33" s="3">
        <v>9.5719999999999992</v>
      </c>
      <c r="Q33" s="3">
        <v>98.703999999999994</v>
      </c>
      <c r="R33" s="3">
        <v>113004</v>
      </c>
      <c r="S33" s="3">
        <v>858</v>
      </c>
      <c r="T33" s="3">
        <v>307</v>
      </c>
      <c r="U33" s="3">
        <v>81.724000000000004</v>
      </c>
      <c r="V33" s="3">
        <v>25.178000000000001</v>
      </c>
      <c r="W33" s="3">
        <v>1.1240000000000001</v>
      </c>
      <c r="X33" s="3">
        <v>0.89</v>
      </c>
      <c r="Y33" s="3">
        <v>0.96699999999999997</v>
      </c>
      <c r="Z33" s="3">
        <v>0</v>
      </c>
      <c r="AA33" s="3">
        <v>255</v>
      </c>
      <c r="AB33" s="3"/>
      <c r="AC33" s="3"/>
      <c r="AD33" s="3">
        <f t="shared" si="3"/>
        <v>7700.7070000000003</v>
      </c>
      <c r="AE33" s="3">
        <f t="shared" si="4"/>
        <v>13.774999999999999</v>
      </c>
      <c r="AF33" s="3">
        <f t="shared" si="5"/>
        <v>79127</v>
      </c>
      <c r="AH33">
        <f>FORECAST(AD33, {0,1}, {0,89000})</f>
        <v>8.6524797752808996E-2</v>
      </c>
      <c r="AJ33">
        <v>12</v>
      </c>
    </row>
    <row r="34" spans="1:36" x14ac:dyDescent="0.2">
      <c r="A34" s="3">
        <v>12</v>
      </c>
      <c r="B34" s="3" t="s">
        <v>26</v>
      </c>
      <c r="C34" s="3">
        <v>930.58199999999999</v>
      </c>
      <c r="D34" s="3">
        <v>14.481999999999999</v>
      </c>
      <c r="E34" s="3">
        <v>27.042999999999999</v>
      </c>
      <c r="F34" s="3">
        <v>6</v>
      </c>
      <c r="G34" s="3">
        <v>0</v>
      </c>
      <c r="H34" s="3">
        <v>255</v>
      </c>
      <c r="I34" s="3">
        <v>279.98099999999999</v>
      </c>
      <c r="J34" s="3">
        <v>244.745</v>
      </c>
      <c r="K34" s="3">
        <v>0.72699999999999998</v>
      </c>
      <c r="L34" s="3">
        <v>50.95</v>
      </c>
      <c r="M34" s="3">
        <v>13476.601000000001</v>
      </c>
      <c r="N34" s="3">
        <v>7</v>
      </c>
      <c r="O34" s="3">
        <v>4.4039999999999999</v>
      </c>
      <c r="P34" s="3">
        <v>21.503</v>
      </c>
      <c r="Q34" s="3">
        <v>97.176000000000002</v>
      </c>
      <c r="R34" s="3">
        <v>138476</v>
      </c>
      <c r="S34" s="3">
        <v>828</v>
      </c>
      <c r="T34" s="3">
        <v>776</v>
      </c>
      <c r="U34" s="3">
        <v>164.006</v>
      </c>
      <c r="V34" s="3">
        <v>30.26</v>
      </c>
      <c r="W34" s="3">
        <v>1.542</v>
      </c>
      <c r="X34" s="3">
        <v>0.64800000000000002</v>
      </c>
      <c r="Y34" s="3">
        <v>0.97199999999999998</v>
      </c>
      <c r="Z34" s="3">
        <v>0</v>
      </c>
      <c r="AA34" s="3">
        <v>255</v>
      </c>
      <c r="AB34" s="3"/>
      <c r="AC34" s="3"/>
      <c r="AD34" s="3">
        <f t="shared" si="3"/>
        <v>10179.663</v>
      </c>
      <c r="AE34" s="3">
        <f t="shared" si="4"/>
        <v>9.7139999999999986</v>
      </c>
      <c r="AF34" s="3">
        <f t="shared" si="5"/>
        <v>104599</v>
      </c>
      <c r="AH34">
        <f>FORECAST(AD34, {0,1}, {0,89000})</f>
        <v>0.1143782359550562</v>
      </c>
      <c r="AJ34">
        <v>12</v>
      </c>
    </row>
    <row r="35" spans="1:36" x14ac:dyDescent="0.2">
      <c r="A35" s="3">
        <v>13</v>
      </c>
      <c r="B35" s="3" t="s">
        <v>26</v>
      </c>
      <c r="C35" s="3">
        <v>549.08399999999995</v>
      </c>
      <c r="D35" s="3">
        <v>13.994999999999999</v>
      </c>
      <c r="E35" s="3">
        <v>22.343</v>
      </c>
      <c r="F35" s="3">
        <v>6</v>
      </c>
      <c r="G35" s="3">
        <v>0</v>
      </c>
      <c r="H35" s="3">
        <v>211</v>
      </c>
      <c r="I35" s="3">
        <v>184.58799999999999</v>
      </c>
      <c r="J35" s="3">
        <v>75.302999999999997</v>
      </c>
      <c r="K35" s="3">
        <v>0.77500000000000002</v>
      </c>
      <c r="L35" s="3">
        <v>37.253999999999998</v>
      </c>
      <c r="M35" s="3">
        <v>7684.259</v>
      </c>
      <c r="N35" s="3">
        <v>7</v>
      </c>
      <c r="O35" s="3">
        <v>4.0019999999999998</v>
      </c>
      <c r="P35" s="3">
        <v>19.128</v>
      </c>
      <c r="Q35" s="3">
        <v>96.968999999999994</v>
      </c>
      <c r="R35" s="3">
        <v>78958</v>
      </c>
      <c r="S35" s="3">
        <v>538</v>
      </c>
      <c r="T35" s="3">
        <v>201</v>
      </c>
      <c r="U35" s="3">
        <v>152.577</v>
      </c>
      <c r="V35" s="3">
        <v>20.992999999999999</v>
      </c>
      <c r="W35" s="3">
        <v>1.4450000000000001</v>
      </c>
      <c r="X35" s="3">
        <v>0.69199999999999995</v>
      </c>
      <c r="Y35" s="3">
        <v>1</v>
      </c>
      <c r="Z35" s="3">
        <v>0</v>
      </c>
      <c r="AA35" s="3">
        <v>255</v>
      </c>
      <c r="AB35" s="3"/>
      <c r="AC35" s="3"/>
      <c r="AD35" s="3">
        <f t="shared" si="3"/>
        <v>4387.3209999999999</v>
      </c>
      <c r="AE35" s="3">
        <f t="shared" si="4"/>
        <v>9.2270000000000003</v>
      </c>
      <c r="AF35" s="3">
        <f t="shared" si="5"/>
        <v>45081</v>
      </c>
      <c r="AH35">
        <f>FORECAST(AD35, {0,1}, {0,89000})</f>
        <v>4.9295741573033708E-2</v>
      </c>
      <c r="AJ35">
        <v>12</v>
      </c>
    </row>
    <row r="36" spans="1:36" x14ac:dyDescent="0.2">
      <c r="A36" s="3">
        <v>14</v>
      </c>
      <c r="B36" s="3" t="s">
        <v>26</v>
      </c>
      <c r="C36" s="3">
        <v>644.94500000000005</v>
      </c>
      <c r="D36" s="3">
        <v>18.718</v>
      </c>
      <c r="E36" s="3">
        <v>31.434000000000001</v>
      </c>
      <c r="F36" s="3">
        <v>6</v>
      </c>
      <c r="G36" s="3">
        <v>0</v>
      </c>
      <c r="H36" s="3">
        <v>255</v>
      </c>
      <c r="I36" s="3">
        <v>103.66800000000001</v>
      </c>
      <c r="J36" s="3">
        <v>139.84</v>
      </c>
      <c r="K36" s="3">
        <v>0.81399999999999995</v>
      </c>
      <c r="L36" s="3">
        <v>40.773000000000003</v>
      </c>
      <c r="M36" s="3">
        <v>12072.164000000001</v>
      </c>
      <c r="N36" s="3">
        <v>8</v>
      </c>
      <c r="O36" s="3">
        <v>3.5710000000000002</v>
      </c>
      <c r="P36" s="3">
        <v>14.647</v>
      </c>
      <c r="Q36" s="3">
        <v>97.721000000000004</v>
      </c>
      <c r="R36" s="3">
        <v>124045</v>
      </c>
      <c r="S36" s="3">
        <v>273</v>
      </c>
      <c r="T36" s="3">
        <v>483</v>
      </c>
      <c r="U36" s="3">
        <v>31.866</v>
      </c>
      <c r="V36" s="3">
        <v>24.645</v>
      </c>
      <c r="W36" s="3">
        <v>1.488</v>
      </c>
      <c r="X36" s="3">
        <v>0.67200000000000004</v>
      </c>
      <c r="Y36" s="3">
        <v>1</v>
      </c>
      <c r="Z36" s="3">
        <v>0</v>
      </c>
      <c r="AA36" s="3">
        <v>255</v>
      </c>
      <c r="AB36" s="3"/>
      <c r="AC36" s="3"/>
      <c r="AD36" s="3">
        <f t="shared" si="3"/>
        <v>8775.2260000000006</v>
      </c>
      <c r="AE36" s="3">
        <f t="shared" si="4"/>
        <v>13.95</v>
      </c>
      <c r="AF36" s="3">
        <f t="shared" si="5"/>
        <v>90168</v>
      </c>
      <c r="AH36">
        <f>FORECAST(AD36, {0,1}, {0,89000})</f>
        <v>9.859804494382024E-2</v>
      </c>
      <c r="AJ36">
        <v>12</v>
      </c>
    </row>
    <row r="37" spans="1:36" x14ac:dyDescent="0.2">
      <c r="A37" s="3">
        <v>15</v>
      </c>
      <c r="B37" s="3" t="s">
        <v>26</v>
      </c>
      <c r="C37" s="3">
        <v>1269.94</v>
      </c>
      <c r="D37" s="3">
        <v>16.428000000000001</v>
      </c>
      <c r="E37" s="3">
        <v>17.68</v>
      </c>
      <c r="F37" s="3">
        <v>6</v>
      </c>
      <c r="G37" s="3">
        <v>0</v>
      </c>
      <c r="H37" s="3">
        <v>255</v>
      </c>
      <c r="I37" s="3">
        <v>79.319000000000003</v>
      </c>
      <c r="J37" s="3">
        <v>126.92100000000001</v>
      </c>
      <c r="K37" s="3">
        <v>0.72499999999999998</v>
      </c>
      <c r="L37" s="3">
        <v>51.567999999999998</v>
      </c>
      <c r="M37" s="3">
        <v>20863.155999999999</v>
      </c>
      <c r="N37" s="3">
        <v>10</v>
      </c>
      <c r="O37" s="3">
        <v>3.206</v>
      </c>
      <c r="P37" s="3">
        <v>18.335000000000001</v>
      </c>
      <c r="Q37" s="3">
        <v>98.069000000000003</v>
      </c>
      <c r="R37" s="3">
        <v>214375</v>
      </c>
      <c r="S37" s="3">
        <v>185</v>
      </c>
      <c r="T37" s="3">
        <v>457</v>
      </c>
      <c r="U37" s="3">
        <v>33.402000000000001</v>
      </c>
      <c r="V37" s="3">
        <v>38.936999999999998</v>
      </c>
      <c r="W37" s="3">
        <v>1.405</v>
      </c>
      <c r="X37" s="3">
        <v>0.71199999999999997</v>
      </c>
      <c r="Y37" s="3">
        <v>0.89</v>
      </c>
      <c r="Z37" s="3">
        <v>0</v>
      </c>
      <c r="AA37" s="3">
        <v>255</v>
      </c>
      <c r="AB37" s="3"/>
      <c r="AC37" s="3"/>
      <c r="AD37" s="3">
        <f t="shared" si="3"/>
        <v>17566.218000000001</v>
      </c>
      <c r="AE37" s="3">
        <f t="shared" si="4"/>
        <v>11.66</v>
      </c>
      <c r="AF37" s="3">
        <f t="shared" si="5"/>
        <v>180498</v>
      </c>
      <c r="AH37">
        <f>FORECAST(AD37, {0,1}, {0,89000})</f>
        <v>0.19737323595505621</v>
      </c>
      <c r="AJ37">
        <v>12</v>
      </c>
    </row>
    <row r="38" spans="1:36" x14ac:dyDescent="0.2">
      <c r="A38" s="3">
        <v>16</v>
      </c>
      <c r="B38" s="3" t="s">
        <v>26</v>
      </c>
      <c r="C38" s="3">
        <v>947.80799999999999</v>
      </c>
      <c r="D38" s="3">
        <v>14.041</v>
      </c>
      <c r="E38" s="3">
        <v>23.779</v>
      </c>
      <c r="F38" s="3">
        <v>6</v>
      </c>
      <c r="G38" s="3">
        <v>0</v>
      </c>
      <c r="H38" s="3">
        <v>255</v>
      </c>
      <c r="I38" s="3">
        <v>265.774</v>
      </c>
      <c r="J38" s="3">
        <v>180.44800000000001</v>
      </c>
      <c r="K38" s="3">
        <v>0.82899999999999996</v>
      </c>
      <c r="L38" s="3">
        <v>41.692</v>
      </c>
      <c r="M38" s="3">
        <v>13307.847</v>
      </c>
      <c r="N38" s="3">
        <v>7</v>
      </c>
      <c r="O38" s="3">
        <v>4.306</v>
      </c>
      <c r="P38" s="3">
        <v>22.545000000000002</v>
      </c>
      <c r="Q38" s="3">
        <v>95.861999999999995</v>
      </c>
      <c r="R38" s="3">
        <v>136742</v>
      </c>
      <c r="S38" s="3">
        <v>853</v>
      </c>
      <c r="T38" s="3">
        <v>503</v>
      </c>
      <c r="U38" s="3">
        <v>103.41200000000001</v>
      </c>
      <c r="V38" s="3">
        <v>31.832999999999998</v>
      </c>
      <c r="W38" s="3">
        <v>1.258</v>
      </c>
      <c r="X38" s="3">
        <v>0.79500000000000004</v>
      </c>
      <c r="Y38" s="3">
        <v>0.98199999999999998</v>
      </c>
      <c r="Z38" s="3">
        <v>0</v>
      </c>
      <c r="AA38" s="3">
        <v>255</v>
      </c>
      <c r="AB38" s="3"/>
      <c r="AC38" s="3"/>
      <c r="AD38" s="3">
        <f t="shared" si="3"/>
        <v>10010.909</v>
      </c>
      <c r="AE38" s="3">
        <f t="shared" si="4"/>
        <v>9.2729999999999997</v>
      </c>
      <c r="AF38" s="3">
        <f t="shared" si="5"/>
        <v>102865</v>
      </c>
      <c r="AH38">
        <f>FORECAST(AD38, {0,1}, {0,89000})</f>
        <v>0.11248212359550562</v>
      </c>
      <c r="AJ38">
        <v>12</v>
      </c>
    </row>
    <row r="39" spans="1:36" x14ac:dyDescent="0.2">
      <c r="A39" s="3">
        <v>17</v>
      </c>
      <c r="B39" s="3" t="s">
        <v>26</v>
      </c>
      <c r="C39" s="3">
        <v>2157.895</v>
      </c>
      <c r="D39" s="3">
        <v>13.904999999999999</v>
      </c>
      <c r="E39" s="3">
        <v>19.506</v>
      </c>
      <c r="F39" s="3">
        <v>6</v>
      </c>
      <c r="G39" s="3">
        <v>0</v>
      </c>
      <c r="H39" s="3">
        <v>227</v>
      </c>
      <c r="I39" s="3">
        <v>48.243000000000002</v>
      </c>
      <c r="J39" s="3">
        <v>175.37100000000001</v>
      </c>
      <c r="K39" s="3">
        <v>0.69899999999999995</v>
      </c>
      <c r="L39" s="3">
        <v>67.856999999999999</v>
      </c>
      <c r="M39" s="3">
        <v>30005.379000000001</v>
      </c>
      <c r="N39" s="3">
        <v>7</v>
      </c>
      <c r="O39" s="3">
        <v>3.4420000000000002</v>
      </c>
      <c r="P39" s="3">
        <v>14.875</v>
      </c>
      <c r="Q39" s="3">
        <v>96.093999999999994</v>
      </c>
      <c r="R39" s="3">
        <v>308314</v>
      </c>
      <c r="S39" s="3">
        <v>51</v>
      </c>
      <c r="T39" s="3">
        <v>609</v>
      </c>
      <c r="U39" s="3">
        <v>8.7260000000000009</v>
      </c>
      <c r="V39" s="3">
        <v>54.192999999999998</v>
      </c>
      <c r="W39" s="3">
        <v>1.169</v>
      </c>
      <c r="X39" s="3">
        <v>0.85499999999999998</v>
      </c>
      <c r="Y39" s="3">
        <v>0.879</v>
      </c>
      <c r="Z39" s="3">
        <v>0</v>
      </c>
      <c r="AA39" s="3">
        <v>255</v>
      </c>
      <c r="AB39" s="3"/>
      <c r="AC39" s="3"/>
      <c r="AD39" s="3">
        <f t="shared" si="3"/>
        <v>26708.440999999999</v>
      </c>
      <c r="AE39" s="3">
        <f t="shared" si="4"/>
        <v>9.1370000000000005</v>
      </c>
      <c r="AF39" s="3">
        <f t="shared" si="5"/>
        <v>274437</v>
      </c>
      <c r="AH39">
        <f>FORECAST(AD39, {0,1}, {0,89000})</f>
        <v>0.30009484269662923</v>
      </c>
      <c r="AJ39">
        <v>12</v>
      </c>
    </row>
    <row r="40" spans="1:36" x14ac:dyDescent="0.2">
      <c r="A40" s="3">
        <v>18</v>
      </c>
      <c r="B40" s="3" t="s">
        <v>26</v>
      </c>
      <c r="C40" s="3">
        <v>1618.251</v>
      </c>
      <c r="D40" s="3">
        <v>10.496</v>
      </c>
      <c r="E40" s="3">
        <v>15.826000000000001</v>
      </c>
      <c r="F40" s="3">
        <v>6</v>
      </c>
      <c r="G40" s="3">
        <v>0</v>
      </c>
      <c r="H40" s="3">
        <v>210</v>
      </c>
      <c r="I40" s="3">
        <v>80.006</v>
      </c>
      <c r="J40" s="3">
        <v>257.62200000000001</v>
      </c>
      <c r="K40" s="3">
        <v>0.89200000000000002</v>
      </c>
      <c r="L40" s="3">
        <v>55.488</v>
      </c>
      <c r="M40" s="3">
        <v>16984.725999999999</v>
      </c>
      <c r="N40" s="3">
        <v>7</v>
      </c>
      <c r="O40" s="3">
        <v>5.2130000000000001</v>
      </c>
      <c r="P40" s="3">
        <v>34.314</v>
      </c>
      <c r="Q40" s="3">
        <v>95.917000000000002</v>
      </c>
      <c r="R40" s="3">
        <v>174523</v>
      </c>
      <c r="S40" s="3">
        <v>193</v>
      </c>
      <c r="T40" s="3">
        <v>873</v>
      </c>
      <c r="U40" s="3">
        <v>30.024999999999999</v>
      </c>
      <c r="V40" s="3">
        <v>42.655000000000001</v>
      </c>
      <c r="W40" s="3">
        <v>1.2729999999999999</v>
      </c>
      <c r="X40" s="3">
        <v>0.78600000000000003</v>
      </c>
      <c r="Y40" s="3">
        <v>0.995</v>
      </c>
      <c r="Z40" s="3">
        <v>0</v>
      </c>
      <c r="AA40" s="3">
        <v>255</v>
      </c>
      <c r="AB40" s="3"/>
      <c r="AC40" s="3"/>
      <c r="AD40" s="3">
        <f t="shared" si="3"/>
        <v>13687.787999999999</v>
      </c>
      <c r="AE40" s="3">
        <f t="shared" si="4"/>
        <v>5.7280000000000006</v>
      </c>
      <c r="AF40" s="3">
        <f t="shared" si="5"/>
        <v>140646</v>
      </c>
      <c r="AH40">
        <f>FORECAST(AD40, {0,1}, {0,89000})</f>
        <v>0.15379537078651684</v>
      </c>
      <c r="AJ40">
        <v>12</v>
      </c>
    </row>
    <row r="41" spans="1:36" x14ac:dyDescent="0.2">
      <c r="A41" s="3">
        <v>19</v>
      </c>
      <c r="B41" s="3" t="s">
        <v>26</v>
      </c>
      <c r="C41" s="3">
        <v>1324.1469999999999</v>
      </c>
      <c r="D41" s="3">
        <v>15.913</v>
      </c>
      <c r="E41" s="3">
        <v>23.803999999999998</v>
      </c>
      <c r="F41" s="3">
        <v>6</v>
      </c>
      <c r="G41" s="3">
        <v>0</v>
      </c>
      <c r="H41" s="3">
        <v>237</v>
      </c>
      <c r="I41" s="3">
        <v>171.34100000000001</v>
      </c>
      <c r="J41" s="3">
        <v>14.366</v>
      </c>
      <c r="K41" s="3">
        <v>0.56299999999999994</v>
      </c>
      <c r="L41" s="3">
        <v>66.679000000000002</v>
      </c>
      <c r="M41" s="3">
        <v>21071.032999999999</v>
      </c>
      <c r="N41" s="3">
        <v>8</v>
      </c>
      <c r="O41" s="3">
        <v>3.3149999999999999</v>
      </c>
      <c r="P41" s="3">
        <v>13.031000000000001</v>
      </c>
      <c r="Q41" s="3">
        <v>96.23</v>
      </c>
      <c r="R41" s="3">
        <v>216511</v>
      </c>
      <c r="S41" s="3">
        <v>460</v>
      </c>
      <c r="T41" s="3">
        <v>105</v>
      </c>
      <c r="U41" s="3">
        <v>15.467000000000001</v>
      </c>
      <c r="V41" s="3">
        <v>28.498000000000001</v>
      </c>
      <c r="W41" s="3">
        <v>2.3149999999999999</v>
      </c>
      <c r="X41" s="3">
        <v>0.432</v>
      </c>
      <c r="Y41" s="3">
        <v>0.88200000000000001</v>
      </c>
      <c r="Z41" s="3">
        <v>0</v>
      </c>
      <c r="AA41" s="3">
        <v>255</v>
      </c>
      <c r="AB41" s="3"/>
      <c r="AC41" s="3"/>
      <c r="AD41" s="3">
        <f t="shared" si="3"/>
        <v>17774.095000000001</v>
      </c>
      <c r="AE41" s="3">
        <f t="shared" si="4"/>
        <v>11.145</v>
      </c>
      <c r="AF41" s="3">
        <f t="shared" si="5"/>
        <v>182634</v>
      </c>
      <c r="AH41">
        <f>FORECAST(AD41, {0,1}, {0,89000})</f>
        <v>0.19970893258426969</v>
      </c>
      <c r="AJ41">
        <v>12</v>
      </c>
    </row>
    <row r="42" spans="1:36" x14ac:dyDescent="0.2">
      <c r="A42" s="3">
        <v>20</v>
      </c>
      <c r="B42" s="3" t="s">
        <v>26</v>
      </c>
      <c r="C42" s="3">
        <v>690.58900000000006</v>
      </c>
      <c r="D42" s="3">
        <v>23.704999999999998</v>
      </c>
      <c r="E42" s="3">
        <v>30.631</v>
      </c>
      <c r="F42" s="3">
        <v>6</v>
      </c>
      <c r="G42" s="3">
        <v>0</v>
      </c>
      <c r="H42" s="3">
        <v>195</v>
      </c>
      <c r="I42" s="3">
        <v>286.15100000000001</v>
      </c>
      <c r="J42" s="3">
        <v>305.40699999999998</v>
      </c>
      <c r="K42" s="3">
        <v>0.65600000000000003</v>
      </c>
      <c r="L42" s="3">
        <v>41.298000000000002</v>
      </c>
      <c r="M42" s="3">
        <v>16370.242</v>
      </c>
      <c r="N42" s="3">
        <v>10</v>
      </c>
      <c r="O42" s="3">
        <v>2.1059999999999999</v>
      </c>
      <c r="P42" s="3">
        <v>4.1890000000000001</v>
      </c>
      <c r="Q42" s="3">
        <v>97.561999999999998</v>
      </c>
      <c r="R42" s="3">
        <v>168209</v>
      </c>
      <c r="S42" s="3">
        <v>891</v>
      </c>
      <c r="T42" s="3">
        <v>1018</v>
      </c>
      <c r="U42" s="3">
        <v>47.755000000000003</v>
      </c>
      <c r="V42" s="3">
        <v>26.687000000000001</v>
      </c>
      <c r="W42" s="3">
        <v>1.5049999999999999</v>
      </c>
      <c r="X42" s="3">
        <v>0.66400000000000003</v>
      </c>
      <c r="Y42" s="3">
        <v>0.94399999999999995</v>
      </c>
      <c r="Z42" s="3">
        <v>0</v>
      </c>
      <c r="AA42" s="3">
        <v>255</v>
      </c>
      <c r="AB42" s="3"/>
      <c r="AC42" s="3"/>
      <c r="AD42" s="3">
        <f t="shared" si="3"/>
        <v>13073.304</v>
      </c>
      <c r="AE42" s="3">
        <f t="shared" si="4"/>
        <v>18.936999999999998</v>
      </c>
      <c r="AF42" s="3">
        <f t="shared" si="5"/>
        <v>134332</v>
      </c>
      <c r="AH42">
        <f>FORECAST(AD42, {0,1}, {0,89000})</f>
        <v>0.1468910561797753</v>
      </c>
      <c r="AJ42">
        <v>12</v>
      </c>
    </row>
    <row r="43" spans="1:36" x14ac:dyDescent="0.2">
      <c r="A43" s="3">
        <v>21</v>
      </c>
      <c r="B43" s="3" t="s">
        <v>27</v>
      </c>
      <c r="C43" s="3">
        <v>691.46500000000003</v>
      </c>
      <c r="D43" s="3">
        <v>4.7679999999999998</v>
      </c>
      <c r="E43" s="3">
        <v>3.3540000000000001</v>
      </c>
      <c r="F43" s="3">
        <v>0</v>
      </c>
      <c r="G43" s="3">
        <v>0</v>
      </c>
      <c r="H43" s="3">
        <v>33</v>
      </c>
      <c r="I43" s="3">
        <v>176.03</v>
      </c>
      <c r="J43" s="3">
        <v>250.97200000000001</v>
      </c>
      <c r="K43" s="3">
        <v>0.74299999999999999</v>
      </c>
      <c r="L43" s="3">
        <v>40.436</v>
      </c>
      <c r="M43" s="3">
        <v>3296.9380000000001</v>
      </c>
      <c r="N43" s="3">
        <v>5</v>
      </c>
      <c r="O43" s="3">
        <v>0.747</v>
      </c>
      <c r="P43" s="3">
        <v>2.0230000000000001</v>
      </c>
      <c r="Q43" s="3">
        <v>85.405000000000001</v>
      </c>
      <c r="R43" s="3">
        <v>33877</v>
      </c>
      <c r="S43" s="3">
        <v>501</v>
      </c>
      <c r="T43" s="3">
        <v>781</v>
      </c>
      <c r="U43" s="3">
        <v>157.78800000000001</v>
      </c>
      <c r="V43" s="3">
        <v>20.786999999999999</v>
      </c>
      <c r="W43" s="3">
        <v>1.6930000000000001</v>
      </c>
      <c r="X43" s="3">
        <v>0.59099999999999997</v>
      </c>
      <c r="Y43" s="3">
        <v>1</v>
      </c>
      <c r="Z43" s="3">
        <v>0</v>
      </c>
      <c r="AA43" s="3">
        <v>255</v>
      </c>
      <c r="AB43" s="3"/>
      <c r="AC43" s="3"/>
      <c r="AD43">
        <f>AVERAGE(AD23:AD42)</f>
        <v>11388.446599999999</v>
      </c>
      <c r="AE43">
        <f>AVERAGE(AE23:AE42)</f>
        <v>13.235299999999999</v>
      </c>
      <c r="AF43">
        <f>AVERAGE(AF23:AF42)</f>
        <v>117019.6</v>
      </c>
      <c r="AH43">
        <f>FORECAST(AD43, {0,1}, {0,89000})</f>
        <v>0.12796007415730337</v>
      </c>
      <c r="AJ43">
        <v>12</v>
      </c>
    </row>
    <row r="44" spans="1:36" x14ac:dyDescent="0.2">
      <c r="A44" s="4">
        <v>1</v>
      </c>
      <c r="B44" s="4" t="s">
        <v>29</v>
      </c>
      <c r="C44" s="4">
        <v>845.71799999999996</v>
      </c>
      <c r="D44" s="4">
        <v>4.9340000000000002</v>
      </c>
      <c r="E44" s="4">
        <v>5.7539999999999996</v>
      </c>
      <c r="F44" s="4">
        <v>0</v>
      </c>
      <c r="G44" s="4">
        <v>0</v>
      </c>
      <c r="H44" s="4">
        <v>59</v>
      </c>
      <c r="I44" s="4">
        <v>237.54599999999999</v>
      </c>
      <c r="J44" s="4">
        <v>256.291</v>
      </c>
      <c r="K44" s="4">
        <v>0.55400000000000005</v>
      </c>
      <c r="L44" s="4">
        <v>57.432000000000002</v>
      </c>
      <c r="M44" s="4">
        <v>4172.4369999999999</v>
      </c>
      <c r="N44" s="4">
        <v>4</v>
      </c>
      <c r="O44" s="4">
        <v>2.6970000000000001</v>
      </c>
      <c r="P44" s="4">
        <v>11.513</v>
      </c>
      <c r="Q44" s="4">
        <v>73.89</v>
      </c>
      <c r="R44" s="4">
        <v>42873</v>
      </c>
      <c r="S44" s="4">
        <v>776</v>
      </c>
      <c r="T44" s="4">
        <v>743</v>
      </c>
      <c r="U44" s="4">
        <v>91.867999999999995</v>
      </c>
      <c r="V44" s="4">
        <v>23.056999999999999</v>
      </c>
      <c r="W44" s="4">
        <v>2.6960000000000002</v>
      </c>
      <c r="X44" s="4">
        <v>0.371</v>
      </c>
      <c r="Y44" s="4">
        <v>0.872</v>
      </c>
      <c r="Z44" s="4">
        <v>0</v>
      </c>
      <c r="AA44" s="4">
        <v>255</v>
      </c>
      <c r="AB44" s="4"/>
      <c r="AC44" s="4"/>
      <c r="AD44" s="2">
        <f>M44-M$64</f>
        <v>3337.23</v>
      </c>
      <c r="AE44" s="2">
        <f>D44-D$64</f>
        <v>3.0390000000000001</v>
      </c>
      <c r="AF44" s="2">
        <f>R44-R$64</f>
        <v>34291</v>
      </c>
      <c r="AH44">
        <f>FORECAST(AD44, {0,1}, {0,89000})</f>
        <v>3.7496966292134837E-2</v>
      </c>
      <c r="AJ44">
        <v>1</v>
      </c>
    </row>
    <row r="45" spans="1:36" x14ac:dyDescent="0.2">
      <c r="A45" s="4">
        <v>2</v>
      </c>
      <c r="B45" s="4" t="s">
        <v>29</v>
      </c>
      <c r="C45" s="4">
        <v>907.22500000000002</v>
      </c>
      <c r="D45" s="4">
        <v>3.52</v>
      </c>
      <c r="E45" s="4">
        <v>4.9649999999999999</v>
      </c>
      <c r="F45" s="4">
        <v>0</v>
      </c>
      <c r="G45" s="4">
        <v>0</v>
      </c>
      <c r="H45" s="4">
        <v>69</v>
      </c>
      <c r="I45" s="4">
        <v>276.608</v>
      </c>
      <c r="J45" s="4">
        <v>139.04900000000001</v>
      </c>
      <c r="K45" s="4">
        <v>0.59399999999999997</v>
      </c>
      <c r="L45" s="4">
        <v>56.212000000000003</v>
      </c>
      <c r="M45" s="4">
        <v>3193.0970000000002</v>
      </c>
      <c r="N45" s="4">
        <v>2</v>
      </c>
      <c r="O45" s="4">
        <v>3.3690000000000002</v>
      </c>
      <c r="P45" s="4">
        <v>19.067</v>
      </c>
      <c r="Q45" s="4">
        <v>60.286999999999999</v>
      </c>
      <c r="R45" s="4">
        <v>32810</v>
      </c>
      <c r="S45" s="4">
        <v>878</v>
      </c>
      <c r="T45" s="4">
        <v>554</v>
      </c>
      <c r="U45" s="4">
        <v>81.06</v>
      </c>
      <c r="V45" s="4">
        <v>26.370999999999999</v>
      </c>
      <c r="W45" s="4">
        <v>2.036</v>
      </c>
      <c r="X45" s="4">
        <v>0.49099999999999999</v>
      </c>
      <c r="Y45" s="4">
        <v>0.93100000000000005</v>
      </c>
      <c r="Z45" s="4">
        <v>0</v>
      </c>
      <c r="AA45" s="4">
        <v>255</v>
      </c>
      <c r="AB45" s="4"/>
      <c r="AC45" s="4"/>
      <c r="AD45" s="2">
        <f t="shared" ref="AD45:AD63" si="6">M45-M$64</f>
        <v>2357.8900000000003</v>
      </c>
      <c r="AE45" s="2">
        <f t="shared" ref="AE45:AE63" si="7">D45-D$64</f>
        <v>1.625</v>
      </c>
      <c r="AF45" s="2">
        <f t="shared" ref="AF45:AF63" si="8">R45-R$64</f>
        <v>24228</v>
      </c>
      <c r="AH45">
        <f>FORECAST(AD45, {0,1}, {0,89000})</f>
        <v>2.6493146067415735E-2</v>
      </c>
      <c r="AJ45">
        <v>1</v>
      </c>
    </row>
    <row r="46" spans="1:36" x14ac:dyDescent="0.2">
      <c r="A46" s="4">
        <v>3</v>
      </c>
      <c r="B46" s="4" t="s">
        <v>29</v>
      </c>
      <c r="C46" s="4">
        <v>797.54399999999998</v>
      </c>
      <c r="D46" s="4">
        <v>5.1849999999999996</v>
      </c>
      <c r="E46" s="4">
        <v>7.0030000000000001</v>
      </c>
      <c r="F46" s="4">
        <v>0</v>
      </c>
      <c r="G46" s="4">
        <v>0</v>
      </c>
      <c r="H46" s="4">
        <v>58</v>
      </c>
      <c r="I46" s="4">
        <v>256.23500000000001</v>
      </c>
      <c r="J46" s="4">
        <v>118.59</v>
      </c>
      <c r="K46" s="4">
        <v>0.71399999999999997</v>
      </c>
      <c r="L46" s="4">
        <v>47.575000000000003</v>
      </c>
      <c r="M46" s="4">
        <v>4134.8710000000001</v>
      </c>
      <c r="N46" s="4">
        <v>4</v>
      </c>
      <c r="O46" s="4">
        <v>2.819</v>
      </c>
      <c r="P46" s="4">
        <v>10.475</v>
      </c>
      <c r="Q46" s="4">
        <v>69.200999999999993</v>
      </c>
      <c r="R46" s="4">
        <v>42487</v>
      </c>
      <c r="S46" s="4">
        <v>755</v>
      </c>
      <c r="T46" s="4">
        <v>443</v>
      </c>
      <c r="U46" s="4">
        <v>40.478999999999999</v>
      </c>
      <c r="V46" s="4">
        <v>27.584</v>
      </c>
      <c r="W46" s="4">
        <v>1.514</v>
      </c>
      <c r="X46" s="4">
        <v>0.66</v>
      </c>
      <c r="Y46" s="4">
        <v>0.93200000000000005</v>
      </c>
      <c r="Z46" s="4">
        <v>0</v>
      </c>
      <c r="AA46" s="4">
        <v>255</v>
      </c>
      <c r="AB46" s="4"/>
      <c r="AC46" s="4"/>
      <c r="AD46" s="2">
        <f t="shared" si="6"/>
        <v>3299.6640000000002</v>
      </c>
      <c r="AE46" s="2">
        <f t="shared" si="7"/>
        <v>3.2899999999999996</v>
      </c>
      <c r="AF46" s="2">
        <f t="shared" si="8"/>
        <v>33905</v>
      </c>
      <c r="AH46">
        <f>FORECAST(AD46, {0,1}, {0,89000})</f>
        <v>3.7074876404494389E-2</v>
      </c>
      <c r="AJ46">
        <v>1</v>
      </c>
    </row>
    <row r="47" spans="1:36" x14ac:dyDescent="0.2">
      <c r="A47" s="4">
        <v>4</v>
      </c>
      <c r="B47" s="4" t="s">
        <v>29</v>
      </c>
      <c r="C47" s="4">
        <v>760.46500000000003</v>
      </c>
      <c r="D47" s="4">
        <v>5.851</v>
      </c>
      <c r="E47" s="4">
        <v>8.3469999999999995</v>
      </c>
      <c r="F47" s="4">
        <v>0</v>
      </c>
      <c r="G47" s="4">
        <v>0</v>
      </c>
      <c r="H47" s="4">
        <v>100</v>
      </c>
      <c r="I47" s="4">
        <v>163.363</v>
      </c>
      <c r="J47" s="4">
        <v>227.893</v>
      </c>
      <c r="K47" s="4">
        <v>0.55800000000000005</v>
      </c>
      <c r="L47" s="4">
        <v>55.256</v>
      </c>
      <c r="M47" s="4">
        <v>4449.8010000000004</v>
      </c>
      <c r="N47" s="4">
        <v>4</v>
      </c>
      <c r="O47" s="4">
        <v>3.9969999999999999</v>
      </c>
      <c r="P47" s="4">
        <v>22.582000000000001</v>
      </c>
      <c r="Q47" s="4">
        <v>77.552999999999997</v>
      </c>
      <c r="R47" s="4">
        <v>45723</v>
      </c>
      <c r="S47" s="4">
        <v>456</v>
      </c>
      <c r="T47" s="4">
        <v>757</v>
      </c>
      <c r="U47" s="4">
        <v>12.388</v>
      </c>
      <c r="V47" s="4">
        <v>22.693999999999999</v>
      </c>
      <c r="W47" s="4">
        <v>2.94</v>
      </c>
      <c r="X47" s="4">
        <v>0.34</v>
      </c>
      <c r="Y47" s="4">
        <v>0.90400000000000003</v>
      </c>
      <c r="Z47" s="4">
        <v>0</v>
      </c>
      <c r="AA47" s="4">
        <v>255</v>
      </c>
      <c r="AB47" s="4"/>
      <c r="AC47" s="4"/>
      <c r="AD47" s="2">
        <f t="shared" si="6"/>
        <v>3614.5940000000005</v>
      </c>
      <c r="AE47" s="2">
        <f t="shared" si="7"/>
        <v>3.956</v>
      </c>
      <c r="AF47" s="2">
        <f t="shared" si="8"/>
        <v>37141</v>
      </c>
      <c r="AH47">
        <f>FORECAST(AD47, {0,1}, {0,89000})</f>
        <v>4.0613415730337089E-2</v>
      </c>
      <c r="AJ47">
        <v>1</v>
      </c>
    </row>
    <row r="48" spans="1:36" x14ac:dyDescent="0.2">
      <c r="A48" s="4">
        <v>5</v>
      </c>
      <c r="B48" s="4" t="s">
        <v>29</v>
      </c>
      <c r="C48" s="4">
        <v>676.38</v>
      </c>
      <c r="D48" s="4">
        <v>5.1269999999999998</v>
      </c>
      <c r="E48" s="4">
        <v>6.4640000000000004</v>
      </c>
      <c r="F48" s="4">
        <v>0</v>
      </c>
      <c r="G48" s="4">
        <v>0</v>
      </c>
      <c r="H48" s="4">
        <v>68</v>
      </c>
      <c r="I48" s="4">
        <v>167.51</v>
      </c>
      <c r="J48" s="4">
        <v>210.18799999999999</v>
      </c>
      <c r="K48" s="4">
        <v>0.76700000000000002</v>
      </c>
      <c r="L48" s="4">
        <v>43.887999999999998</v>
      </c>
      <c r="M48" s="4">
        <v>3468.0279999999998</v>
      </c>
      <c r="N48" s="4">
        <v>4</v>
      </c>
      <c r="O48" s="4">
        <v>3.238</v>
      </c>
      <c r="P48" s="4">
        <v>15.893000000000001</v>
      </c>
      <c r="Q48" s="4">
        <v>74.603999999999999</v>
      </c>
      <c r="R48" s="4">
        <v>35635</v>
      </c>
      <c r="S48" s="4">
        <v>476</v>
      </c>
      <c r="T48" s="4">
        <v>694</v>
      </c>
      <c r="U48" s="4">
        <v>14.826000000000001</v>
      </c>
      <c r="V48" s="4">
        <v>21.853999999999999</v>
      </c>
      <c r="W48" s="4">
        <v>1.9039999999999999</v>
      </c>
      <c r="X48" s="4">
        <v>0.52500000000000002</v>
      </c>
      <c r="Y48" s="4">
        <v>0.98399999999999999</v>
      </c>
      <c r="Z48" s="4">
        <v>0</v>
      </c>
      <c r="AA48" s="4">
        <v>255</v>
      </c>
      <c r="AB48" s="4"/>
      <c r="AC48" s="4"/>
      <c r="AD48" s="2">
        <f t="shared" si="6"/>
        <v>2632.8209999999999</v>
      </c>
      <c r="AE48" s="2">
        <f t="shared" si="7"/>
        <v>3.2319999999999998</v>
      </c>
      <c r="AF48" s="2">
        <f t="shared" si="8"/>
        <v>27053</v>
      </c>
      <c r="AH48">
        <f>FORECAST(AD48, {0,1}, {0,89000})</f>
        <v>2.9582258426966292E-2</v>
      </c>
      <c r="AJ48">
        <v>1</v>
      </c>
    </row>
    <row r="49" spans="1:36" x14ac:dyDescent="0.2">
      <c r="A49" s="4">
        <v>6</v>
      </c>
      <c r="B49" s="4" t="s">
        <v>29</v>
      </c>
      <c r="C49" s="4">
        <v>900.899</v>
      </c>
      <c r="D49" s="4">
        <v>6.1230000000000002</v>
      </c>
      <c r="E49" s="4">
        <v>7.4690000000000003</v>
      </c>
      <c r="F49" s="4">
        <v>0</v>
      </c>
      <c r="G49" s="4">
        <v>0</v>
      </c>
      <c r="H49" s="4">
        <v>72</v>
      </c>
      <c r="I49" s="4">
        <v>156.40199999999999</v>
      </c>
      <c r="J49" s="4">
        <v>95.605000000000004</v>
      </c>
      <c r="K49" s="4">
        <v>0.74199999999999999</v>
      </c>
      <c r="L49" s="4">
        <v>47.338000000000001</v>
      </c>
      <c r="M49" s="4">
        <v>5516.0479999999998</v>
      </c>
      <c r="N49" s="4">
        <v>5</v>
      </c>
      <c r="O49" s="4">
        <v>2.8519999999999999</v>
      </c>
      <c r="P49" s="4">
        <v>11.627000000000001</v>
      </c>
      <c r="Q49" s="4">
        <v>78.406000000000006</v>
      </c>
      <c r="R49" s="4">
        <v>56679</v>
      </c>
      <c r="S49" s="4">
        <v>449</v>
      </c>
      <c r="T49" s="4">
        <v>280</v>
      </c>
      <c r="U49" s="4">
        <v>139.27600000000001</v>
      </c>
      <c r="V49" s="4">
        <v>30.885999999999999</v>
      </c>
      <c r="W49" s="4">
        <v>1.4870000000000001</v>
      </c>
      <c r="X49" s="4">
        <v>0.67300000000000004</v>
      </c>
      <c r="Y49" s="4">
        <v>0.92100000000000004</v>
      </c>
      <c r="Z49" s="4">
        <v>0</v>
      </c>
      <c r="AA49" s="4">
        <v>255</v>
      </c>
      <c r="AB49" s="4"/>
      <c r="AC49" s="4"/>
      <c r="AD49" s="2">
        <f t="shared" si="6"/>
        <v>4680.8409999999994</v>
      </c>
      <c r="AE49" s="2">
        <f t="shared" si="7"/>
        <v>4.2279999999999998</v>
      </c>
      <c r="AF49" s="2">
        <f t="shared" si="8"/>
        <v>48097</v>
      </c>
      <c r="AH49">
        <f>FORECAST(AD49, {0,1}, {0,89000})</f>
        <v>5.2593719101123593E-2</v>
      </c>
      <c r="AJ49">
        <v>1</v>
      </c>
    </row>
    <row r="50" spans="1:36" x14ac:dyDescent="0.2">
      <c r="A50" s="4">
        <v>7</v>
      </c>
      <c r="B50" s="4" t="s">
        <v>29</v>
      </c>
      <c r="C50" s="4">
        <v>835.20699999999999</v>
      </c>
      <c r="D50" s="4">
        <v>6.5359999999999996</v>
      </c>
      <c r="E50" s="4">
        <v>6.5890000000000004</v>
      </c>
      <c r="F50" s="4">
        <v>0</v>
      </c>
      <c r="G50" s="4">
        <v>0</v>
      </c>
      <c r="H50" s="4">
        <v>63</v>
      </c>
      <c r="I50" s="4">
        <v>120.977</v>
      </c>
      <c r="J50" s="4">
        <v>104.883</v>
      </c>
      <c r="K50" s="4">
        <v>0.8</v>
      </c>
      <c r="L50" s="4">
        <v>41.738999999999997</v>
      </c>
      <c r="M50" s="4">
        <v>5458.6289999999999</v>
      </c>
      <c r="N50" s="4">
        <v>5</v>
      </c>
      <c r="O50" s="4">
        <v>2.286</v>
      </c>
      <c r="P50" s="4">
        <v>8.1210000000000004</v>
      </c>
      <c r="Q50" s="4">
        <v>82.778000000000006</v>
      </c>
      <c r="R50" s="4">
        <v>56089</v>
      </c>
      <c r="S50" s="4">
        <v>379</v>
      </c>
      <c r="T50" s="4">
        <v>275</v>
      </c>
      <c r="U50" s="4">
        <v>109.654</v>
      </c>
      <c r="V50" s="4">
        <v>30.221</v>
      </c>
      <c r="W50" s="4">
        <v>1.2989999999999999</v>
      </c>
      <c r="X50" s="4">
        <v>0.77</v>
      </c>
      <c r="Y50" s="4">
        <v>0.95</v>
      </c>
      <c r="Z50" s="4">
        <v>0</v>
      </c>
      <c r="AA50" s="4">
        <v>255</v>
      </c>
      <c r="AB50" s="4"/>
      <c r="AC50" s="4"/>
      <c r="AD50" s="2">
        <f t="shared" si="6"/>
        <v>4623.4219999999996</v>
      </c>
      <c r="AE50" s="2">
        <f t="shared" si="7"/>
        <v>4.641</v>
      </c>
      <c r="AF50" s="2">
        <f t="shared" si="8"/>
        <v>47507</v>
      </c>
      <c r="AH50">
        <f>FORECAST(AD50, {0,1}, {0,89000})</f>
        <v>5.1948561797752806E-2</v>
      </c>
      <c r="AJ50">
        <v>1</v>
      </c>
    </row>
    <row r="51" spans="1:36" x14ac:dyDescent="0.2">
      <c r="A51" s="4">
        <v>8</v>
      </c>
      <c r="B51" s="4" t="s">
        <v>29</v>
      </c>
      <c r="C51" s="4">
        <v>785.18499999999995</v>
      </c>
      <c r="D51" s="4">
        <v>5.7270000000000003</v>
      </c>
      <c r="E51" s="4">
        <v>6.3209999999999997</v>
      </c>
      <c r="F51" s="4">
        <v>0</v>
      </c>
      <c r="G51" s="4">
        <v>0</v>
      </c>
      <c r="H51" s="4">
        <v>106</v>
      </c>
      <c r="I51" s="4">
        <v>132.958</v>
      </c>
      <c r="J51" s="4">
        <v>55.750999999999998</v>
      </c>
      <c r="K51" s="4">
        <v>0.52700000000000002</v>
      </c>
      <c r="L51" s="4">
        <v>54.084000000000003</v>
      </c>
      <c r="M51" s="4">
        <v>4496.6120000000001</v>
      </c>
      <c r="N51" s="4">
        <v>5</v>
      </c>
      <c r="O51" s="4">
        <v>4.7930000000000001</v>
      </c>
      <c r="P51" s="4">
        <v>45.56</v>
      </c>
      <c r="Q51" s="4">
        <v>82.585999999999999</v>
      </c>
      <c r="R51" s="4">
        <v>46204</v>
      </c>
      <c r="S51" s="4">
        <v>383</v>
      </c>
      <c r="T51" s="4">
        <v>120</v>
      </c>
      <c r="U51" s="4">
        <v>129.38200000000001</v>
      </c>
      <c r="V51" s="4">
        <v>21.978999999999999</v>
      </c>
      <c r="W51" s="4">
        <v>3.101</v>
      </c>
      <c r="X51" s="4">
        <v>0.32200000000000001</v>
      </c>
      <c r="Y51" s="4">
        <v>0.78100000000000003</v>
      </c>
      <c r="Z51" s="4">
        <v>0</v>
      </c>
      <c r="AA51" s="4">
        <v>255</v>
      </c>
      <c r="AB51" s="4"/>
      <c r="AC51" s="4"/>
      <c r="AD51" s="2">
        <f t="shared" si="6"/>
        <v>3661.4050000000002</v>
      </c>
      <c r="AE51" s="2">
        <f t="shared" si="7"/>
        <v>3.8320000000000003</v>
      </c>
      <c r="AF51" s="2">
        <f t="shared" si="8"/>
        <v>37622</v>
      </c>
      <c r="AH51">
        <f>FORECAST(AD51, {0,1}, {0,89000})</f>
        <v>4.1139382022471915E-2</v>
      </c>
      <c r="AJ51">
        <v>1</v>
      </c>
    </row>
    <row r="52" spans="1:36" x14ac:dyDescent="0.2">
      <c r="A52" s="4">
        <v>9</v>
      </c>
      <c r="B52" s="4" t="s">
        <v>29</v>
      </c>
      <c r="C52" s="4">
        <v>670.24900000000002</v>
      </c>
      <c r="D52" s="4">
        <v>7.2160000000000002</v>
      </c>
      <c r="E52" s="4">
        <v>10.753</v>
      </c>
      <c r="F52" s="4">
        <v>0</v>
      </c>
      <c r="G52" s="4">
        <v>0</v>
      </c>
      <c r="H52" s="4">
        <v>175</v>
      </c>
      <c r="I52" s="4">
        <v>118.34099999999999</v>
      </c>
      <c r="J52" s="4">
        <v>65.706999999999994</v>
      </c>
      <c r="K52" s="4">
        <v>0.82299999999999995</v>
      </c>
      <c r="L52" s="4">
        <v>33.973999999999997</v>
      </c>
      <c r="M52" s="4">
        <v>4836.3590000000004</v>
      </c>
      <c r="N52" s="4">
        <v>5</v>
      </c>
      <c r="O52" s="4">
        <v>5.8280000000000003</v>
      </c>
      <c r="P52" s="4">
        <v>56.036999999999999</v>
      </c>
      <c r="Q52" s="4">
        <v>81.326999999999998</v>
      </c>
      <c r="R52" s="4">
        <v>49695</v>
      </c>
      <c r="S52" s="4">
        <v>341</v>
      </c>
      <c r="T52" s="4">
        <v>166</v>
      </c>
      <c r="U52" s="4">
        <v>134.256</v>
      </c>
      <c r="V52" s="4">
        <v>29.67</v>
      </c>
      <c r="W52" s="4">
        <v>1.0920000000000001</v>
      </c>
      <c r="X52" s="4">
        <v>0.91600000000000004</v>
      </c>
      <c r="Y52" s="4">
        <v>0.96799999999999997</v>
      </c>
      <c r="Z52" s="4">
        <v>0</v>
      </c>
      <c r="AA52" s="4">
        <v>255</v>
      </c>
      <c r="AB52" s="4"/>
      <c r="AC52" s="4"/>
      <c r="AD52" s="2">
        <f t="shared" si="6"/>
        <v>4001.1520000000005</v>
      </c>
      <c r="AE52" s="2">
        <f t="shared" si="7"/>
        <v>5.3209999999999997</v>
      </c>
      <c r="AF52" s="2">
        <f t="shared" si="8"/>
        <v>41113</v>
      </c>
      <c r="AH52">
        <f>FORECAST(AD52, {0,1}, {0,89000})</f>
        <v>4.495676404494383E-2</v>
      </c>
      <c r="AJ52">
        <v>1</v>
      </c>
    </row>
    <row r="53" spans="1:36" x14ac:dyDescent="0.2">
      <c r="A53" s="4">
        <v>10</v>
      </c>
      <c r="B53" s="4" t="s">
        <v>29</v>
      </c>
      <c r="C53" s="4">
        <v>868.58900000000006</v>
      </c>
      <c r="D53" s="4">
        <v>8.4139999999999997</v>
      </c>
      <c r="E53" s="4">
        <v>7.2670000000000003</v>
      </c>
      <c r="F53" s="4">
        <v>6</v>
      </c>
      <c r="G53" s="4">
        <v>0</v>
      </c>
      <c r="H53" s="4">
        <v>72</v>
      </c>
      <c r="I53" s="4">
        <v>223.755</v>
      </c>
      <c r="J53" s="4">
        <v>57.661999999999999</v>
      </c>
      <c r="K53" s="4">
        <v>0.52700000000000002</v>
      </c>
      <c r="L53" s="4">
        <v>64.554000000000002</v>
      </c>
      <c r="M53" s="4">
        <v>7308.6009999999997</v>
      </c>
      <c r="N53" s="4">
        <v>7</v>
      </c>
      <c r="O53" s="4">
        <v>1.968</v>
      </c>
      <c r="P53" s="4">
        <v>6.0940000000000003</v>
      </c>
      <c r="Q53" s="4">
        <v>90.587999999999994</v>
      </c>
      <c r="R53" s="4">
        <v>75098</v>
      </c>
      <c r="S53" s="4">
        <v>668</v>
      </c>
      <c r="T53" s="4">
        <v>102</v>
      </c>
      <c r="U53" s="4">
        <v>122.768</v>
      </c>
      <c r="V53" s="4">
        <v>18.920999999999999</v>
      </c>
      <c r="W53" s="4">
        <v>3.5619999999999998</v>
      </c>
      <c r="X53" s="4">
        <v>0.28100000000000003</v>
      </c>
      <c r="Y53" s="4">
        <v>0.95499999999999996</v>
      </c>
      <c r="Z53" s="4">
        <v>0</v>
      </c>
      <c r="AA53" s="4">
        <v>255</v>
      </c>
      <c r="AB53" s="4"/>
      <c r="AC53" s="4"/>
      <c r="AD53" s="2">
        <f t="shared" si="6"/>
        <v>6473.3939999999993</v>
      </c>
      <c r="AE53" s="2">
        <f t="shared" si="7"/>
        <v>6.5190000000000001</v>
      </c>
      <c r="AF53" s="2">
        <f t="shared" si="8"/>
        <v>66516</v>
      </c>
      <c r="AH53">
        <f>FORECAST(AD53, {0,1}, {0,89000})</f>
        <v>7.273476404494382E-2</v>
      </c>
      <c r="AJ53">
        <v>1</v>
      </c>
    </row>
    <row r="54" spans="1:36" x14ac:dyDescent="0.2">
      <c r="A54" s="4">
        <v>11</v>
      </c>
      <c r="B54" s="4" t="s">
        <v>29</v>
      </c>
      <c r="C54" s="4">
        <v>1016.516</v>
      </c>
      <c r="D54" s="4">
        <v>6.1769999999999996</v>
      </c>
      <c r="E54" s="4">
        <v>8.1329999999999991</v>
      </c>
      <c r="F54" s="4">
        <v>0</v>
      </c>
      <c r="G54" s="4">
        <v>0</v>
      </c>
      <c r="H54" s="4">
        <v>100</v>
      </c>
      <c r="I54" s="4">
        <v>246.89</v>
      </c>
      <c r="J54" s="4">
        <v>212.679</v>
      </c>
      <c r="K54" s="4">
        <v>0.63800000000000001</v>
      </c>
      <c r="L54" s="4">
        <v>51.058999999999997</v>
      </c>
      <c r="M54" s="4">
        <v>6278.6540000000005</v>
      </c>
      <c r="N54" s="4">
        <v>5</v>
      </c>
      <c r="O54" s="4">
        <v>3.85</v>
      </c>
      <c r="P54" s="4">
        <v>20.984999999999999</v>
      </c>
      <c r="Q54" s="4">
        <v>80.393000000000001</v>
      </c>
      <c r="R54" s="4">
        <v>64515</v>
      </c>
      <c r="S54" s="4">
        <v>769</v>
      </c>
      <c r="T54" s="4">
        <v>742</v>
      </c>
      <c r="U54" s="4">
        <v>57.475000000000001</v>
      </c>
      <c r="V54" s="4">
        <v>34.823999999999998</v>
      </c>
      <c r="W54" s="4">
        <v>1.333</v>
      </c>
      <c r="X54" s="4">
        <v>0.75</v>
      </c>
      <c r="Y54" s="4">
        <v>0.86199999999999999</v>
      </c>
      <c r="Z54" s="4">
        <v>0</v>
      </c>
      <c r="AA54" s="4">
        <v>255</v>
      </c>
      <c r="AB54" s="4"/>
      <c r="AC54" s="4"/>
      <c r="AD54" s="2">
        <f t="shared" si="6"/>
        <v>5443.4470000000001</v>
      </c>
      <c r="AE54" s="2">
        <f t="shared" si="7"/>
        <v>4.282</v>
      </c>
      <c r="AF54" s="2">
        <f t="shared" si="8"/>
        <v>55933</v>
      </c>
      <c r="AH54">
        <f>FORECAST(AD54, {0,1}, {0,89000})</f>
        <v>6.1162325842696638E-2</v>
      </c>
      <c r="AJ54">
        <v>1</v>
      </c>
    </row>
    <row r="55" spans="1:36" x14ac:dyDescent="0.2">
      <c r="A55" s="4">
        <v>12</v>
      </c>
      <c r="B55" s="4" t="s">
        <v>29</v>
      </c>
      <c r="C55" s="4">
        <v>1039.095</v>
      </c>
      <c r="D55" s="4">
        <v>4.4980000000000002</v>
      </c>
      <c r="E55" s="4">
        <v>6.2560000000000002</v>
      </c>
      <c r="F55" s="4">
        <v>0</v>
      </c>
      <c r="G55" s="4">
        <v>0</v>
      </c>
      <c r="H55" s="4">
        <v>94</v>
      </c>
      <c r="I55" s="4">
        <v>219.53899999999999</v>
      </c>
      <c r="J55" s="4">
        <v>219.82499999999999</v>
      </c>
      <c r="K55" s="4">
        <v>0.70899999999999996</v>
      </c>
      <c r="L55" s="4">
        <v>49.365000000000002</v>
      </c>
      <c r="M55" s="4">
        <v>4674.32</v>
      </c>
      <c r="N55" s="4">
        <v>4</v>
      </c>
      <c r="O55" s="4">
        <v>4.7939999999999996</v>
      </c>
      <c r="P55" s="4">
        <v>36.143999999999998</v>
      </c>
      <c r="Q55" s="4">
        <v>71.668000000000006</v>
      </c>
      <c r="R55" s="4">
        <v>48030</v>
      </c>
      <c r="S55" s="4">
        <v>620</v>
      </c>
      <c r="T55" s="4">
        <v>702</v>
      </c>
      <c r="U55" s="4">
        <v>163.85599999999999</v>
      </c>
      <c r="V55" s="4">
        <v>35.677999999999997</v>
      </c>
      <c r="W55" s="4">
        <v>1.466</v>
      </c>
      <c r="X55" s="4">
        <v>0.68200000000000005</v>
      </c>
      <c r="Y55" s="4">
        <v>0.88800000000000001</v>
      </c>
      <c r="Z55" s="4">
        <v>0</v>
      </c>
      <c r="AA55" s="4">
        <v>255</v>
      </c>
      <c r="AB55" s="4"/>
      <c r="AC55" s="4"/>
      <c r="AD55" s="2">
        <f t="shared" si="6"/>
        <v>3839.1129999999998</v>
      </c>
      <c r="AE55" s="2">
        <f t="shared" si="7"/>
        <v>2.6030000000000002</v>
      </c>
      <c r="AF55" s="2">
        <f t="shared" si="8"/>
        <v>39448</v>
      </c>
      <c r="AH55">
        <f>FORECAST(AD55, {0,1}, {0,89000})</f>
        <v>4.3136101123595505E-2</v>
      </c>
      <c r="AJ55">
        <v>1</v>
      </c>
    </row>
    <row r="56" spans="1:36" x14ac:dyDescent="0.2">
      <c r="A56" s="4">
        <v>13</v>
      </c>
      <c r="B56" s="4" t="s">
        <v>29</v>
      </c>
      <c r="C56" s="4">
        <v>644.55600000000004</v>
      </c>
      <c r="D56" s="4">
        <v>6.32</v>
      </c>
      <c r="E56" s="4">
        <v>7.1470000000000002</v>
      </c>
      <c r="F56" s="4">
        <v>0</v>
      </c>
      <c r="G56" s="4">
        <v>0</v>
      </c>
      <c r="H56" s="4">
        <v>76</v>
      </c>
      <c r="I56" s="4">
        <v>124.952</v>
      </c>
      <c r="J56" s="4">
        <v>229.69800000000001</v>
      </c>
      <c r="K56" s="4">
        <v>0.71099999999999997</v>
      </c>
      <c r="L56" s="4">
        <v>41.41</v>
      </c>
      <c r="M56" s="4">
        <v>4073.8510000000001</v>
      </c>
      <c r="N56" s="4">
        <v>5</v>
      </c>
      <c r="O56" s="4">
        <v>2.6989999999999998</v>
      </c>
      <c r="P56" s="4">
        <v>10.555999999999999</v>
      </c>
      <c r="Q56" s="4">
        <v>81.912000000000006</v>
      </c>
      <c r="R56" s="4">
        <v>41860</v>
      </c>
      <c r="S56" s="4">
        <v>343</v>
      </c>
      <c r="T56" s="4">
        <v>783</v>
      </c>
      <c r="U56" s="4">
        <v>30.815999999999999</v>
      </c>
      <c r="V56" s="4">
        <v>23.254000000000001</v>
      </c>
      <c r="W56" s="4">
        <v>1.431</v>
      </c>
      <c r="X56" s="4">
        <v>0.69899999999999995</v>
      </c>
      <c r="Y56" s="4">
        <v>0.92600000000000005</v>
      </c>
      <c r="Z56" s="4">
        <v>0</v>
      </c>
      <c r="AA56" s="4">
        <v>255</v>
      </c>
      <c r="AB56" s="4"/>
      <c r="AC56" s="4"/>
      <c r="AD56" s="2">
        <f t="shared" si="6"/>
        <v>3238.6440000000002</v>
      </c>
      <c r="AE56" s="2">
        <f t="shared" si="7"/>
        <v>4.4250000000000007</v>
      </c>
      <c r="AF56" s="2">
        <f t="shared" si="8"/>
        <v>33278</v>
      </c>
      <c r="AH56">
        <f>FORECAST(AD56, {0,1}, {0,89000})</f>
        <v>3.6389258426966296E-2</v>
      </c>
      <c r="AJ56">
        <v>1</v>
      </c>
    </row>
    <row r="57" spans="1:36" x14ac:dyDescent="0.2">
      <c r="A57" s="4">
        <v>14</v>
      </c>
      <c r="B57" s="4" t="s">
        <v>29</v>
      </c>
      <c r="C57" s="4">
        <v>839.49</v>
      </c>
      <c r="D57" s="4">
        <v>5.9820000000000002</v>
      </c>
      <c r="E57" s="4">
        <v>6.9880000000000004</v>
      </c>
      <c r="F57" s="4">
        <v>0</v>
      </c>
      <c r="G57" s="4">
        <v>0</v>
      </c>
      <c r="H57" s="4">
        <v>66</v>
      </c>
      <c r="I57" s="4">
        <v>101.715</v>
      </c>
      <c r="J57" s="4">
        <v>226.21600000000001</v>
      </c>
      <c r="K57" s="4">
        <v>0.57499999999999996</v>
      </c>
      <c r="L57" s="4">
        <v>54.768000000000001</v>
      </c>
      <c r="M57" s="4">
        <v>5021.8530000000001</v>
      </c>
      <c r="N57" s="4">
        <v>5</v>
      </c>
      <c r="O57" s="4">
        <v>2.77</v>
      </c>
      <c r="P57" s="4">
        <v>11.307</v>
      </c>
      <c r="Q57" s="4">
        <v>78.575999999999993</v>
      </c>
      <c r="R57" s="4">
        <v>51601</v>
      </c>
      <c r="S57" s="4">
        <v>312</v>
      </c>
      <c r="T57" s="4">
        <v>818</v>
      </c>
      <c r="U57" s="4">
        <v>85.426000000000002</v>
      </c>
      <c r="V57" s="4">
        <v>24.135000000000002</v>
      </c>
      <c r="W57" s="4">
        <v>2.4209999999999998</v>
      </c>
      <c r="X57" s="4">
        <v>0.41299999999999998</v>
      </c>
      <c r="Y57" s="4">
        <v>0.873</v>
      </c>
      <c r="Z57" s="4">
        <v>0</v>
      </c>
      <c r="AA57" s="4">
        <v>255</v>
      </c>
      <c r="AB57" s="4"/>
      <c r="AC57" s="4"/>
      <c r="AD57" s="2">
        <f t="shared" si="6"/>
        <v>4186.6459999999997</v>
      </c>
      <c r="AE57" s="2">
        <f t="shared" si="7"/>
        <v>4.0869999999999997</v>
      </c>
      <c r="AF57" s="2">
        <f t="shared" si="8"/>
        <v>43019</v>
      </c>
      <c r="AH57">
        <f>FORECAST(AD57, {0,1}, {0,89000})</f>
        <v>4.7040966292134834E-2</v>
      </c>
      <c r="AJ57">
        <v>1</v>
      </c>
    </row>
    <row r="58" spans="1:36" x14ac:dyDescent="0.2">
      <c r="A58" s="4">
        <v>15</v>
      </c>
      <c r="B58" s="4" t="s">
        <v>29</v>
      </c>
      <c r="C58" s="4">
        <v>496.92</v>
      </c>
      <c r="D58" s="4">
        <v>5.0780000000000003</v>
      </c>
      <c r="E58" s="4">
        <v>5.548</v>
      </c>
      <c r="F58" s="4">
        <v>0</v>
      </c>
      <c r="G58" s="4">
        <v>0</v>
      </c>
      <c r="H58" s="4">
        <v>61</v>
      </c>
      <c r="I58" s="4">
        <v>72.781999999999996</v>
      </c>
      <c r="J58" s="4">
        <v>126.074</v>
      </c>
      <c r="K58" s="4">
        <v>0.65</v>
      </c>
      <c r="L58" s="4">
        <v>41.921999999999997</v>
      </c>
      <c r="M58" s="4">
        <v>2523.14</v>
      </c>
      <c r="N58" s="4">
        <v>4</v>
      </c>
      <c r="O58" s="4">
        <v>2.1789999999999998</v>
      </c>
      <c r="P58" s="4">
        <v>8.3490000000000002</v>
      </c>
      <c r="Q58" s="4">
        <v>74.441999999999993</v>
      </c>
      <c r="R58" s="4">
        <v>25926</v>
      </c>
      <c r="S58" s="4">
        <v>198</v>
      </c>
      <c r="T58" s="4">
        <v>451</v>
      </c>
      <c r="U58" s="4">
        <v>43.793999999999997</v>
      </c>
      <c r="V58" s="4">
        <v>16.416</v>
      </c>
      <c r="W58" s="4">
        <v>2.6509999999999998</v>
      </c>
      <c r="X58" s="4">
        <v>0.377</v>
      </c>
      <c r="Y58" s="4">
        <v>0.97199999999999998</v>
      </c>
      <c r="Z58" s="4">
        <v>0</v>
      </c>
      <c r="AA58" s="4">
        <v>255</v>
      </c>
      <c r="AB58" s="4"/>
      <c r="AC58" s="4"/>
      <c r="AD58" s="2">
        <f t="shared" si="6"/>
        <v>1687.933</v>
      </c>
      <c r="AE58" s="2">
        <f t="shared" si="7"/>
        <v>3.1830000000000003</v>
      </c>
      <c r="AF58" s="2">
        <f t="shared" si="8"/>
        <v>17344</v>
      </c>
      <c r="AH58">
        <f>FORECAST(AD58, {0,1}, {0,89000})</f>
        <v>1.8965539325842697E-2</v>
      </c>
      <c r="AJ58">
        <v>1</v>
      </c>
    </row>
    <row r="59" spans="1:36" x14ac:dyDescent="0.2">
      <c r="A59" s="4">
        <v>16</v>
      </c>
      <c r="B59" s="4" t="s">
        <v>29</v>
      </c>
      <c r="C59" s="4">
        <v>598.91200000000003</v>
      </c>
      <c r="D59" s="4">
        <v>6.7939999999999996</v>
      </c>
      <c r="E59" s="4">
        <v>8.67</v>
      </c>
      <c r="F59" s="4">
        <v>0</v>
      </c>
      <c r="G59" s="4">
        <v>0</v>
      </c>
      <c r="H59" s="4">
        <v>99</v>
      </c>
      <c r="I59" s="4">
        <v>287.39299999999997</v>
      </c>
      <c r="J59" s="4">
        <v>183.62100000000001</v>
      </c>
      <c r="K59" s="4">
        <v>0.68300000000000005</v>
      </c>
      <c r="L59" s="4">
        <v>44.975999999999999</v>
      </c>
      <c r="M59" s="4">
        <v>4069.0819999999999</v>
      </c>
      <c r="N59" s="4">
        <v>5</v>
      </c>
      <c r="O59" s="4">
        <v>3.4529999999999998</v>
      </c>
      <c r="P59" s="4">
        <v>15.718</v>
      </c>
      <c r="Q59" s="4">
        <v>82.938000000000002</v>
      </c>
      <c r="R59" s="4">
        <v>41811</v>
      </c>
      <c r="S59" s="4">
        <v>869</v>
      </c>
      <c r="T59" s="4">
        <v>638</v>
      </c>
      <c r="U59" s="4">
        <v>39.652999999999999</v>
      </c>
      <c r="V59" s="4">
        <v>18.623999999999999</v>
      </c>
      <c r="W59" s="4">
        <v>2.3679999999999999</v>
      </c>
      <c r="X59" s="4">
        <v>0.42199999999999999</v>
      </c>
      <c r="Y59" s="4">
        <v>0.97499999999999998</v>
      </c>
      <c r="Z59" s="4">
        <v>0</v>
      </c>
      <c r="AA59" s="4">
        <v>255</v>
      </c>
      <c r="AB59" s="4"/>
      <c r="AC59" s="4"/>
      <c r="AD59" s="2">
        <f t="shared" si="6"/>
        <v>3233.875</v>
      </c>
      <c r="AE59" s="2">
        <f t="shared" si="7"/>
        <v>4.8989999999999991</v>
      </c>
      <c r="AF59" s="2">
        <f t="shared" si="8"/>
        <v>33229</v>
      </c>
      <c r="AH59">
        <f>FORECAST(AD59, {0,1}, {0,89000})</f>
        <v>3.633567415730337E-2</v>
      </c>
      <c r="AJ59">
        <v>1</v>
      </c>
    </row>
    <row r="60" spans="1:36" x14ac:dyDescent="0.2">
      <c r="A60" s="4">
        <v>17</v>
      </c>
      <c r="B60" s="4" t="s">
        <v>29</v>
      </c>
      <c r="C60" s="4">
        <v>1099.1420000000001</v>
      </c>
      <c r="D60" s="4">
        <v>5.5279999999999996</v>
      </c>
      <c r="E60" s="4">
        <v>6.9539999999999997</v>
      </c>
      <c r="F60" s="4">
        <v>0</v>
      </c>
      <c r="G60" s="4">
        <v>0</v>
      </c>
      <c r="H60" s="4">
        <v>83</v>
      </c>
      <c r="I60" s="4">
        <v>78.813999999999993</v>
      </c>
      <c r="J60" s="4">
        <v>39.697000000000003</v>
      </c>
      <c r="K60" s="4">
        <v>0.77200000000000002</v>
      </c>
      <c r="L60" s="4">
        <v>53.215000000000003</v>
      </c>
      <c r="M60" s="4">
        <v>6075.5460000000003</v>
      </c>
      <c r="N60" s="4">
        <v>4</v>
      </c>
      <c r="O60" s="4">
        <v>3.52</v>
      </c>
      <c r="P60" s="4">
        <v>18.559999999999999</v>
      </c>
      <c r="Q60" s="4">
        <v>77.209000000000003</v>
      </c>
      <c r="R60" s="4">
        <v>62428</v>
      </c>
      <c r="S60" s="4">
        <v>198</v>
      </c>
      <c r="T60" s="4">
        <v>198</v>
      </c>
      <c r="U60" s="4">
        <v>56.962000000000003</v>
      </c>
      <c r="V60" s="4">
        <v>30.933</v>
      </c>
      <c r="W60" s="4">
        <v>1.6679999999999999</v>
      </c>
      <c r="X60" s="4">
        <v>0.59899999999999998</v>
      </c>
      <c r="Y60" s="4">
        <v>0.95099999999999996</v>
      </c>
      <c r="Z60" s="4">
        <v>0</v>
      </c>
      <c r="AA60" s="4">
        <v>255</v>
      </c>
      <c r="AB60" s="4"/>
      <c r="AC60" s="4"/>
      <c r="AD60" s="2">
        <f t="shared" si="6"/>
        <v>5240.3389999999999</v>
      </c>
      <c r="AE60" s="2">
        <f t="shared" si="7"/>
        <v>3.6329999999999996</v>
      </c>
      <c r="AF60" s="2">
        <f t="shared" si="8"/>
        <v>53846</v>
      </c>
      <c r="AH60">
        <f>FORECAST(AD60, {0,1}, {0,89000})</f>
        <v>5.8880213483146072E-2</v>
      </c>
      <c r="AJ60">
        <v>1</v>
      </c>
    </row>
    <row r="61" spans="1:36" x14ac:dyDescent="0.2">
      <c r="A61" s="4">
        <v>18</v>
      </c>
      <c r="B61" s="4" t="s">
        <v>29</v>
      </c>
      <c r="C61" s="4">
        <v>1138.557</v>
      </c>
      <c r="D61" s="4">
        <v>5.1150000000000002</v>
      </c>
      <c r="E61" s="4">
        <v>7.1210000000000004</v>
      </c>
      <c r="F61" s="4">
        <v>0</v>
      </c>
      <c r="G61" s="4">
        <v>0</v>
      </c>
      <c r="H61" s="4">
        <v>86</v>
      </c>
      <c r="I61" s="4">
        <v>224.952</v>
      </c>
      <c r="J61" s="4">
        <v>30.824000000000002</v>
      </c>
      <c r="K61" s="4">
        <v>0.434</v>
      </c>
      <c r="L61" s="4">
        <v>80.933999999999997</v>
      </c>
      <c r="M61" s="4">
        <v>5823.4849999999997</v>
      </c>
      <c r="N61" s="4">
        <v>4</v>
      </c>
      <c r="O61" s="4">
        <v>3.6080000000000001</v>
      </c>
      <c r="P61" s="4">
        <v>18.347999999999999</v>
      </c>
      <c r="Q61" s="4">
        <v>72.69</v>
      </c>
      <c r="R61" s="4">
        <v>59838</v>
      </c>
      <c r="S61" s="4">
        <v>624</v>
      </c>
      <c r="T61" s="4">
        <v>24</v>
      </c>
      <c r="U61" s="4">
        <v>142.202</v>
      </c>
      <c r="V61" s="4">
        <v>21.509</v>
      </c>
      <c r="W61" s="4">
        <v>4.117</v>
      </c>
      <c r="X61" s="4">
        <v>0.24299999999999999</v>
      </c>
      <c r="Y61" s="4">
        <v>0.84</v>
      </c>
      <c r="Z61" s="4">
        <v>0</v>
      </c>
      <c r="AA61" s="4">
        <v>255</v>
      </c>
      <c r="AB61" s="4"/>
      <c r="AC61" s="4"/>
      <c r="AD61" s="2">
        <f t="shared" si="6"/>
        <v>4988.2779999999993</v>
      </c>
      <c r="AE61" s="2">
        <f t="shared" si="7"/>
        <v>3.22</v>
      </c>
      <c r="AF61" s="2">
        <f t="shared" si="8"/>
        <v>51256</v>
      </c>
      <c r="AH61">
        <f>FORECAST(AD61, {0,1}, {0,89000})</f>
        <v>5.6048067415730332E-2</v>
      </c>
      <c r="AJ61">
        <v>1</v>
      </c>
    </row>
    <row r="62" spans="1:36" x14ac:dyDescent="0.2">
      <c r="A62" s="4">
        <v>19</v>
      </c>
      <c r="B62" s="4" t="s">
        <v>29</v>
      </c>
      <c r="C62" s="4">
        <v>844.55</v>
      </c>
      <c r="D62" s="4">
        <v>4.6900000000000004</v>
      </c>
      <c r="E62" s="4">
        <v>7.0339999999999998</v>
      </c>
      <c r="F62" s="4">
        <v>0</v>
      </c>
      <c r="G62" s="4">
        <v>0</v>
      </c>
      <c r="H62" s="4">
        <v>90</v>
      </c>
      <c r="I62" s="4">
        <v>271.98599999999999</v>
      </c>
      <c r="J62" s="4">
        <v>66.48</v>
      </c>
      <c r="K62" s="4">
        <v>0.78300000000000003</v>
      </c>
      <c r="L62" s="4">
        <v>44.353000000000002</v>
      </c>
      <c r="M62" s="4">
        <v>3961.25</v>
      </c>
      <c r="N62" s="4">
        <v>3</v>
      </c>
      <c r="O62" s="4">
        <v>4.117</v>
      </c>
      <c r="P62" s="4">
        <v>25.045000000000002</v>
      </c>
      <c r="Q62" s="4">
        <v>68.218000000000004</v>
      </c>
      <c r="R62" s="4">
        <v>40703</v>
      </c>
      <c r="S62" s="4">
        <v>864</v>
      </c>
      <c r="T62" s="4">
        <v>284</v>
      </c>
      <c r="U62" s="4">
        <v>74.497</v>
      </c>
      <c r="V62" s="4">
        <v>25.116</v>
      </c>
      <c r="W62" s="4">
        <v>1.881</v>
      </c>
      <c r="X62" s="4">
        <v>0.53200000000000003</v>
      </c>
      <c r="Y62" s="4">
        <v>0.95399999999999996</v>
      </c>
      <c r="Z62" s="4">
        <v>0</v>
      </c>
      <c r="AA62" s="4">
        <v>255</v>
      </c>
      <c r="AB62" s="4"/>
      <c r="AC62" s="4"/>
      <c r="AD62" s="2">
        <f t="shared" si="6"/>
        <v>3126.0430000000001</v>
      </c>
      <c r="AE62" s="2">
        <f t="shared" si="7"/>
        <v>2.7950000000000004</v>
      </c>
      <c r="AF62" s="2">
        <f t="shared" si="8"/>
        <v>32121</v>
      </c>
      <c r="AH62">
        <f>FORECAST(AD62, {0,1}, {0,89000})</f>
        <v>3.5124078651685396E-2</v>
      </c>
      <c r="AJ62">
        <v>1</v>
      </c>
    </row>
    <row r="63" spans="1:36" x14ac:dyDescent="0.2">
      <c r="A63" s="4">
        <v>20</v>
      </c>
      <c r="B63" s="4" t="s">
        <v>29</v>
      </c>
      <c r="C63" s="4">
        <v>992.08900000000006</v>
      </c>
      <c r="D63" s="4">
        <v>6.5780000000000003</v>
      </c>
      <c r="E63" s="4">
        <v>6.7779999999999996</v>
      </c>
      <c r="F63" s="4">
        <v>0</v>
      </c>
      <c r="G63" s="4">
        <v>0</v>
      </c>
      <c r="H63" s="4">
        <v>93</v>
      </c>
      <c r="I63" s="4">
        <v>212.23400000000001</v>
      </c>
      <c r="J63" s="4">
        <v>192.27600000000001</v>
      </c>
      <c r="K63" s="4">
        <v>0.36299999999999999</v>
      </c>
      <c r="L63" s="4">
        <v>79.001000000000005</v>
      </c>
      <c r="M63" s="4">
        <v>6526.2389999999996</v>
      </c>
      <c r="N63" s="4">
        <v>5</v>
      </c>
      <c r="O63" s="4">
        <v>3.2290000000000001</v>
      </c>
      <c r="P63" s="4">
        <v>17.902000000000001</v>
      </c>
      <c r="Q63" s="4">
        <v>85.629000000000005</v>
      </c>
      <c r="R63" s="4">
        <v>67059</v>
      </c>
      <c r="S63" s="4">
        <v>587</v>
      </c>
      <c r="T63" s="4">
        <v>694</v>
      </c>
      <c r="U63" s="4">
        <v>55.62</v>
      </c>
      <c r="V63" s="4">
        <v>27.224</v>
      </c>
      <c r="W63" s="4">
        <v>2.4849999999999999</v>
      </c>
      <c r="X63" s="4">
        <v>0.40200000000000002</v>
      </c>
      <c r="Y63" s="4">
        <v>0.74099999999999999</v>
      </c>
      <c r="Z63" s="4">
        <v>0</v>
      </c>
      <c r="AA63" s="4">
        <v>255</v>
      </c>
      <c r="AB63" s="4"/>
      <c r="AC63" s="4"/>
      <c r="AD63" s="2">
        <f t="shared" si="6"/>
        <v>5691.0319999999992</v>
      </c>
      <c r="AE63" s="2">
        <f t="shared" si="7"/>
        <v>4.6829999999999998</v>
      </c>
      <c r="AF63" s="2">
        <f t="shared" si="8"/>
        <v>58477</v>
      </c>
      <c r="AH63">
        <f>FORECAST(AD63, {0,1}, {0,89000})</f>
        <v>6.3944179775280899E-2</v>
      </c>
      <c r="AJ63">
        <v>1</v>
      </c>
    </row>
    <row r="64" spans="1:36" x14ac:dyDescent="0.2">
      <c r="A64" s="4">
        <v>21</v>
      </c>
      <c r="B64" s="4" t="s">
        <v>27</v>
      </c>
      <c r="C64" s="4">
        <v>440.76600000000002</v>
      </c>
      <c r="D64" s="4">
        <v>1.895</v>
      </c>
      <c r="E64" s="4">
        <v>2.5819999999999999</v>
      </c>
      <c r="F64" s="4">
        <v>0</v>
      </c>
      <c r="G64" s="4">
        <v>0</v>
      </c>
      <c r="H64" s="4">
        <v>15</v>
      </c>
      <c r="I64" s="4">
        <v>161.845</v>
      </c>
      <c r="J64" s="4">
        <v>156.97900000000001</v>
      </c>
      <c r="K64" s="4">
        <v>0.81599999999999995</v>
      </c>
      <c r="L64" s="4">
        <v>28.95</v>
      </c>
      <c r="M64" s="4">
        <v>835.20699999999999</v>
      </c>
      <c r="N64" s="4">
        <v>0</v>
      </c>
      <c r="O64" s="4">
        <v>1.2170000000000001</v>
      </c>
      <c r="P64" s="4">
        <v>0.69199999999999995</v>
      </c>
      <c r="Q64" s="4">
        <v>45.286000000000001</v>
      </c>
      <c r="R64" s="4">
        <v>8582</v>
      </c>
      <c r="S64" s="4">
        <v>499</v>
      </c>
      <c r="T64" s="4">
        <v>545</v>
      </c>
      <c r="U64" s="4">
        <v>52.883000000000003</v>
      </c>
      <c r="V64" s="4">
        <v>21.521999999999998</v>
      </c>
      <c r="W64" s="4">
        <v>1.0569999999999999</v>
      </c>
      <c r="X64" s="4">
        <v>0.94599999999999995</v>
      </c>
      <c r="Y64" s="4">
        <v>1</v>
      </c>
      <c r="Z64" s="4">
        <v>0</v>
      </c>
      <c r="AA64" s="4">
        <v>255</v>
      </c>
      <c r="AB64" s="4"/>
      <c r="AC64" s="4"/>
      <c r="AD64">
        <f>AVERAGE(AD44:AD63)</f>
        <v>3967.8881500000002</v>
      </c>
      <c r="AE64">
        <f>AVERAGE(AE44:AE63)</f>
        <v>3.8746499999999999</v>
      </c>
      <c r="AF64">
        <f>AVERAGE(AF44:AF63)</f>
        <v>40771.199999999997</v>
      </c>
      <c r="AH64">
        <f>FORECAST(AD64, {0,1}, {0,89000})</f>
        <v>4.4583012921348322E-2</v>
      </c>
      <c r="AJ64">
        <v>1</v>
      </c>
    </row>
    <row r="65" spans="1:36" x14ac:dyDescent="0.2">
      <c r="A65" s="5">
        <v>1</v>
      </c>
      <c r="B65" s="5" t="s">
        <v>30</v>
      </c>
      <c r="C65" s="5">
        <v>2165.194</v>
      </c>
      <c r="D65" s="5">
        <v>10.983000000000001</v>
      </c>
      <c r="E65" s="5">
        <v>15.445</v>
      </c>
      <c r="F65" s="5">
        <v>6</v>
      </c>
      <c r="G65" s="5">
        <v>0</v>
      </c>
      <c r="H65" s="5">
        <v>240</v>
      </c>
      <c r="I65" s="5">
        <v>224.501</v>
      </c>
      <c r="J65" s="5">
        <v>222.97200000000001</v>
      </c>
      <c r="K65" s="5">
        <v>0.71499999999999997</v>
      </c>
      <c r="L65" s="5">
        <v>68.093999999999994</v>
      </c>
      <c r="M65" s="5">
        <v>23780.348999999998</v>
      </c>
      <c r="N65" s="5">
        <v>8</v>
      </c>
      <c r="O65" s="5">
        <v>6.2350000000000003</v>
      </c>
      <c r="P65" s="5">
        <v>50.014000000000003</v>
      </c>
      <c r="Q65" s="5">
        <v>98.494</v>
      </c>
      <c r="R65" s="5">
        <v>244350</v>
      </c>
      <c r="S65" s="5">
        <v>633</v>
      </c>
      <c r="T65" s="5">
        <v>802</v>
      </c>
      <c r="U65" s="5">
        <v>33.981000000000002</v>
      </c>
      <c r="V65" s="5">
        <v>51.128</v>
      </c>
      <c r="W65" s="5">
        <v>1.27</v>
      </c>
      <c r="X65" s="5">
        <v>0.78700000000000003</v>
      </c>
      <c r="Y65" s="5">
        <v>0.91500000000000004</v>
      </c>
      <c r="Z65" s="5">
        <v>0</v>
      </c>
      <c r="AA65" s="5">
        <v>255</v>
      </c>
      <c r="AB65" s="5"/>
      <c r="AC65" s="5"/>
      <c r="AD65" s="6">
        <f>M65-M$85</f>
        <v>21983.221999999998</v>
      </c>
      <c r="AE65" s="6">
        <f>D65-D$85</f>
        <v>4.4320000000000004</v>
      </c>
      <c r="AF65" s="6">
        <f>R65-R$85</f>
        <v>225884</v>
      </c>
      <c r="AH65">
        <f>FORECAST(AD65, {0,1}, {0,89000})</f>
        <v>0.24700249438202246</v>
      </c>
      <c r="AJ65">
        <v>3</v>
      </c>
    </row>
    <row r="66" spans="1:36" x14ac:dyDescent="0.2">
      <c r="A66" s="5">
        <v>2</v>
      </c>
      <c r="B66" s="5" t="s">
        <v>30</v>
      </c>
      <c r="C66" s="5">
        <v>1343.806</v>
      </c>
      <c r="D66" s="5">
        <v>11.308999999999999</v>
      </c>
      <c r="E66" s="5">
        <v>14.087999999999999</v>
      </c>
      <c r="F66" s="5">
        <v>7</v>
      </c>
      <c r="G66" s="5">
        <v>0</v>
      </c>
      <c r="H66" s="5">
        <v>255</v>
      </c>
      <c r="I66" s="5">
        <v>173.00299999999999</v>
      </c>
      <c r="J66" s="5">
        <v>225.78299999999999</v>
      </c>
      <c r="K66" s="5">
        <v>0.72599999999999998</v>
      </c>
      <c r="L66" s="5">
        <v>52.127000000000002</v>
      </c>
      <c r="M66" s="5">
        <v>15197.623</v>
      </c>
      <c r="N66" s="5">
        <v>8</v>
      </c>
      <c r="O66" s="5">
        <v>5.7229999999999999</v>
      </c>
      <c r="P66" s="5">
        <v>49.28</v>
      </c>
      <c r="Q66" s="5">
        <v>98.515000000000001</v>
      </c>
      <c r="R66" s="5">
        <v>156160</v>
      </c>
      <c r="S66" s="5">
        <v>476</v>
      </c>
      <c r="T66" s="5">
        <v>723</v>
      </c>
      <c r="U66" s="5">
        <v>168.959</v>
      </c>
      <c r="V66" s="5">
        <v>41.762</v>
      </c>
      <c r="W66" s="5">
        <v>1.0680000000000001</v>
      </c>
      <c r="X66" s="5">
        <v>0.93700000000000006</v>
      </c>
      <c r="Y66" s="5">
        <v>0.88</v>
      </c>
      <c r="Z66" s="5">
        <v>0</v>
      </c>
      <c r="AA66" s="5">
        <v>255</v>
      </c>
      <c r="AB66" s="5"/>
      <c r="AC66" s="5"/>
      <c r="AD66" s="6">
        <f t="shared" ref="AD66:AD84" si="9">M66-M$85</f>
        <v>13400.495999999999</v>
      </c>
      <c r="AE66" s="6">
        <f t="shared" ref="AE66:AE84" si="10">D66-D$85</f>
        <v>4.7579999999999991</v>
      </c>
      <c r="AF66" s="6">
        <f t="shared" ref="AF66:AF84" si="11">R66-R$85</f>
        <v>137694</v>
      </c>
      <c r="AH66">
        <f>FORECAST(AD66, {0,1}, {0,89000})</f>
        <v>0.15056737078651686</v>
      </c>
      <c r="AJ66">
        <v>3</v>
      </c>
    </row>
    <row r="67" spans="1:36" x14ac:dyDescent="0.2">
      <c r="A67" s="5">
        <v>3</v>
      </c>
      <c r="B67" s="5" t="s">
        <v>30</v>
      </c>
      <c r="C67" s="5">
        <v>2128.6990000000001</v>
      </c>
      <c r="D67" s="5">
        <v>10.946</v>
      </c>
      <c r="E67" s="5">
        <v>18.2</v>
      </c>
      <c r="F67" s="5">
        <v>6</v>
      </c>
      <c r="G67" s="5">
        <v>0</v>
      </c>
      <c r="H67" s="5">
        <v>255</v>
      </c>
      <c r="I67" s="5">
        <v>171.18299999999999</v>
      </c>
      <c r="J67" s="5">
        <v>153.572</v>
      </c>
      <c r="K67" s="5">
        <v>0.51300000000000001</v>
      </c>
      <c r="L67" s="5">
        <v>79.456999999999994</v>
      </c>
      <c r="M67" s="5">
        <v>23300.946</v>
      </c>
      <c r="N67" s="5">
        <v>7</v>
      </c>
      <c r="O67" s="5">
        <v>7.7249999999999996</v>
      </c>
      <c r="P67" s="5">
        <v>73.606999999999999</v>
      </c>
      <c r="Q67" s="5">
        <v>98.519000000000005</v>
      </c>
      <c r="R67" s="5">
        <v>239424</v>
      </c>
      <c r="S67" s="5">
        <v>512</v>
      </c>
      <c r="T67" s="5">
        <v>398</v>
      </c>
      <c r="U67" s="5">
        <v>105.018</v>
      </c>
      <c r="V67" s="5">
        <v>42.374000000000002</v>
      </c>
      <c r="W67" s="5">
        <v>2.0489999999999999</v>
      </c>
      <c r="X67" s="5">
        <v>0.48799999999999999</v>
      </c>
      <c r="Y67" s="5">
        <v>0.75900000000000001</v>
      </c>
      <c r="Z67" s="5">
        <v>0</v>
      </c>
      <c r="AA67" s="5">
        <v>255</v>
      </c>
      <c r="AB67" s="5"/>
      <c r="AC67" s="5"/>
      <c r="AD67" s="6">
        <f t="shared" si="9"/>
        <v>21503.819</v>
      </c>
      <c r="AE67" s="6">
        <f t="shared" si="10"/>
        <v>4.3949999999999996</v>
      </c>
      <c r="AF67" s="6">
        <f t="shared" si="11"/>
        <v>220958</v>
      </c>
      <c r="AH67">
        <f>FORECAST(AD67, {0,1}, {0,89000})</f>
        <v>0.24161594382022472</v>
      </c>
      <c r="AJ67">
        <v>3</v>
      </c>
    </row>
    <row r="68" spans="1:36" x14ac:dyDescent="0.2">
      <c r="A68" s="5">
        <v>4</v>
      </c>
      <c r="B68" s="5" t="s">
        <v>30</v>
      </c>
      <c r="C68" s="5">
        <v>1151.6949999999999</v>
      </c>
      <c r="D68" s="5">
        <v>13.446</v>
      </c>
      <c r="E68" s="5">
        <v>18.637</v>
      </c>
      <c r="F68" s="5">
        <v>6</v>
      </c>
      <c r="G68" s="5">
        <v>0</v>
      </c>
      <c r="H68" s="5">
        <v>192</v>
      </c>
      <c r="I68" s="5">
        <v>109.23099999999999</v>
      </c>
      <c r="J68" s="5">
        <v>212.25800000000001</v>
      </c>
      <c r="K68" s="5">
        <v>0.47899999999999998</v>
      </c>
      <c r="L68" s="5">
        <v>60.841999999999999</v>
      </c>
      <c r="M68" s="5">
        <v>15485.985000000001</v>
      </c>
      <c r="N68" s="5">
        <v>8</v>
      </c>
      <c r="O68" s="5">
        <v>4.2889999999999997</v>
      </c>
      <c r="P68" s="5">
        <v>22.286999999999999</v>
      </c>
      <c r="Q68" s="5">
        <v>98.927000000000007</v>
      </c>
      <c r="R68" s="5">
        <v>159123</v>
      </c>
      <c r="S68" s="5">
        <v>376</v>
      </c>
      <c r="T68" s="5">
        <v>573</v>
      </c>
      <c r="U68" s="5">
        <v>103.039</v>
      </c>
      <c r="V68" s="5">
        <v>39.704999999999998</v>
      </c>
      <c r="W68" s="5">
        <v>1.4379999999999999</v>
      </c>
      <c r="X68" s="5">
        <v>0.69499999999999995</v>
      </c>
      <c r="Y68" s="5">
        <v>0.72699999999999998</v>
      </c>
      <c r="Z68" s="5">
        <v>0</v>
      </c>
      <c r="AA68" s="5">
        <v>255</v>
      </c>
      <c r="AB68" s="5"/>
      <c r="AC68" s="5"/>
      <c r="AD68" s="6">
        <f t="shared" si="9"/>
        <v>13688.858</v>
      </c>
      <c r="AE68" s="6">
        <f t="shared" si="10"/>
        <v>6.8949999999999996</v>
      </c>
      <c r="AF68" s="6">
        <f t="shared" si="11"/>
        <v>140657</v>
      </c>
      <c r="AH68">
        <f>FORECAST(AD68, {0,1}, {0,89000})</f>
        <v>0.15380739325842699</v>
      </c>
      <c r="AJ68">
        <v>3</v>
      </c>
    </row>
    <row r="69" spans="1:36" x14ac:dyDescent="0.2">
      <c r="A69" s="5">
        <v>5</v>
      </c>
      <c r="B69" s="5" t="s">
        <v>30</v>
      </c>
      <c r="C69" s="5">
        <v>1072.086</v>
      </c>
      <c r="D69" s="5">
        <v>13.901</v>
      </c>
      <c r="E69" s="5">
        <v>21.277000000000001</v>
      </c>
      <c r="F69" s="5">
        <v>6</v>
      </c>
      <c r="G69" s="5">
        <v>0</v>
      </c>
      <c r="H69" s="5">
        <v>252</v>
      </c>
      <c r="I69" s="5">
        <v>91.007000000000005</v>
      </c>
      <c r="J69" s="5">
        <v>105.276</v>
      </c>
      <c r="K69" s="5">
        <v>0.66700000000000004</v>
      </c>
      <c r="L69" s="5">
        <v>50.62</v>
      </c>
      <c r="M69" s="5">
        <v>14903.032999999999</v>
      </c>
      <c r="N69" s="5">
        <v>8</v>
      </c>
      <c r="O69" s="5">
        <v>5.1429999999999998</v>
      </c>
      <c r="P69" s="5">
        <v>33.600999999999999</v>
      </c>
      <c r="Q69" s="5">
        <v>98.855999999999995</v>
      </c>
      <c r="R69" s="5">
        <v>153133</v>
      </c>
      <c r="S69" s="5">
        <v>215</v>
      </c>
      <c r="T69" s="5">
        <v>299</v>
      </c>
      <c r="U69" s="5">
        <v>170.422</v>
      </c>
      <c r="V69" s="5">
        <v>32.515000000000001</v>
      </c>
      <c r="W69" s="5">
        <v>1.6679999999999999</v>
      </c>
      <c r="X69" s="5">
        <v>0.59899999999999998</v>
      </c>
      <c r="Y69" s="5">
        <v>0.86399999999999999</v>
      </c>
      <c r="Z69" s="5">
        <v>0</v>
      </c>
      <c r="AA69" s="5">
        <v>255</v>
      </c>
      <c r="AB69" s="5"/>
      <c r="AC69" s="5"/>
      <c r="AD69" s="6">
        <f t="shared" si="9"/>
        <v>13105.905999999999</v>
      </c>
      <c r="AE69" s="6">
        <f t="shared" si="10"/>
        <v>7.35</v>
      </c>
      <c r="AF69" s="6">
        <f t="shared" si="11"/>
        <v>134667</v>
      </c>
      <c r="AH69">
        <f>FORECAST(AD69, {0,1}, {0,89000})</f>
        <v>0.14725737078651685</v>
      </c>
      <c r="AJ69">
        <v>3</v>
      </c>
    </row>
    <row r="70" spans="1:36" x14ac:dyDescent="0.2">
      <c r="A70" s="5">
        <v>6</v>
      </c>
      <c r="B70" s="5" t="s">
        <v>30</v>
      </c>
      <c r="C70" s="5">
        <v>1268.9659999999999</v>
      </c>
      <c r="D70" s="5">
        <v>15.736000000000001</v>
      </c>
      <c r="E70" s="5">
        <v>24.46</v>
      </c>
      <c r="F70" s="5">
        <v>7</v>
      </c>
      <c r="G70" s="5">
        <v>0</v>
      </c>
      <c r="H70" s="5">
        <v>255</v>
      </c>
      <c r="I70" s="5">
        <v>180.857</v>
      </c>
      <c r="J70" s="5">
        <v>287.98</v>
      </c>
      <c r="K70" s="5">
        <v>0.57299999999999995</v>
      </c>
      <c r="L70" s="5">
        <v>67.88</v>
      </c>
      <c r="M70" s="5">
        <v>19967.901999999998</v>
      </c>
      <c r="N70" s="5">
        <v>9</v>
      </c>
      <c r="O70" s="5">
        <v>5.3319999999999999</v>
      </c>
      <c r="P70" s="5">
        <v>34.557000000000002</v>
      </c>
      <c r="Q70" s="5">
        <v>99.171999999999997</v>
      </c>
      <c r="R70" s="5">
        <v>205176</v>
      </c>
      <c r="S70" s="5">
        <v>502</v>
      </c>
      <c r="T70" s="5">
        <v>895</v>
      </c>
      <c r="U70" s="5">
        <v>175.78299999999999</v>
      </c>
      <c r="V70" s="5">
        <v>31.004000000000001</v>
      </c>
      <c r="W70" s="5">
        <v>2.5230000000000001</v>
      </c>
      <c r="X70" s="5">
        <v>0.39600000000000002</v>
      </c>
      <c r="Y70" s="5">
        <v>0.875</v>
      </c>
      <c r="Z70" s="5">
        <v>0</v>
      </c>
      <c r="AA70" s="5">
        <v>255</v>
      </c>
      <c r="AB70" s="5"/>
      <c r="AC70" s="5"/>
      <c r="AD70" s="6">
        <f t="shared" si="9"/>
        <v>18170.774999999998</v>
      </c>
      <c r="AE70" s="6">
        <f t="shared" si="10"/>
        <v>9.1850000000000005</v>
      </c>
      <c r="AF70" s="6">
        <f t="shared" si="11"/>
        <v>186710</v>
      </c>
      <c r="AH70">
        <f>FORECAST(AD70, {0,1}, {0,89000})</f>
        <v>0.20416601123595504</v>
      </c>
      <c r="AJ70">
        <v>3</v>
      </c>
    </row>
    <row r="71" spans="1:36" x14ac:dyDescent="0.2">
      <c r="A71" s="5">
        <v>7</v>
      </c>
      <c r="B71" s="5" t="s">
        <v>30</v>
      </c>
      <c r="C71" s="5">
        <v>609.81200000000001</v>
      </c>
      <c r="D71" s="5">
        <v>17.803999999999998</v>
      </c>
      <c r="E71" s="5">
        <v>24.15</v>
      </c>
      <c r="F71" s="5">
        <v>8</v>
      </c>
      <c r="G71" s="5">
        <v>0</v>
      </c>
      <c r="H71" s="5">
        <v>255</v>
      </c>
      <c r="I71" s="5">
        <v>118.72199999999999</v>
      </c>
      <c r="J71" s="5">
        <v>264.44400000000002</v>
      </c>
      <c r="K71" s="5">
        <v>0.41599999999999998</v>
      </c>
      <c r="L71" s="5">
        <v>62.073999999999998</v>
      </c>
      <c r="M71" s="5">
        <v>10857.016</v>
      </c>
      <c r="N71" s="5">
        <v>11</v>
      </c>
      <c r="O71" s="5">
        <v>4.4950000000000001</v>
      </c>
      <c r="P71" s="5">
        <v>26.765000000000001</v>
      </c>
      <c r="Q71" s="5">
        <v>99.441000000000003</v>
      </c>
      <c r="R71" s="5">
        <v>111559</v>
      </c>
      <c r="S71" s="5">
        <v>331</v>
      </c>
      <c r="T71" s="5">
        <v>761</v>
      </c>
      <c r="U71" s="5">
        <v>129.28899999999999</v>
      </c>
      <c r="V71" s="5">
        <v>15.326000000000001</v>
      </c>
      <c r="W71" s="5">
        <v>4.0869999999999997</v>
      </c>
      <c r="X71" s="5">
        <v>0.245</v>
      </c>
      <c r="Y71" s="5">
        <v>0.91500000000000004</v>
      </c>
      <c r="Z71" s="5">
        <v>0</v>
      </c>
      <c r="AA71" s="5">
        <v>255</v>
      </c>
      <c r="AB71" s="5"/>
      <c r="AC71" s="5"/>
      <c r="AD71" s="6">
        <f t="shared" si="9"/>
        <v>9059.8889999999992</v>
      </c>
      <c r="AE71" s="6">
        <f t="shared" si="10"/>
        <v>11.252999999999998</v>
      </c>
      <c r="AF71" s="6">
        <f t="shared" si="11"/>
        <v>93093</v>
      </c>
      <c r="AH71">
        <f>FORECAST(AD71, {0,1}, {0,89000})</f>
        <v>0.10179650561797753</v>
      </c>
      <c r="AJ71">
        <v>3</v>
      </c>
    </row>
    <row r="72" spans="1:36" x14ac:dyDescent="0.2">
      <c r="A72" s="5">
        <v>8</v>
      </c>
      <c r="B72" s="5" t="s">
        <v>30</v>
      </c>
      <c r="C72" s="5">
        <v>524.65700000000004</v>
      </c>
      <c r="D72" s="5">
        <v>16.442</v>
      </c>
      <c r="E72" s="5">
        <v>23.402000000000001</v>
      </c>
      <c r="F72" s="5">
        <v>7</v>
      </c>
      <c r="G72" s="5">
        <v>0</v>
      </c>
      <c r="H72" s="5">
        <v>255</v>
      </c>
      <c r="I72" s="5">
        <v>302.59100000000001</v>
      </c>
      <c r="J72" s="5">
        <v>69.543999999999997</v>
      </c>
      <c r="K72" s="5">
        <v>0.42199999999999999</v>
      </c>
      <c r="L72" s="5">
        <v>55.298000000000002</v>
      </c>
      <c r="M72" s="5">
        <v>8626.4220000000005</v>
      </c>
      <c r="N72" s="5">
        <v>9</v>
      </c>
      <c r="O72" s="5">
        <v>4.3849999999999998</v>
      </c>
      <c r="P72" s="5">
        <v>23.917999999999999</v>
      </c>
      <c r="Q72" s="5">
        <v>99.555000000000007</v>
      </c>
      <c r="R72" s="5">
        <v>88639</v>
      </c>
      <c r="S72" s="5">
        <v>910</v>
      </c>
      <c r="T72" s="5">
        <v>298</v>
      </c>
      <c r="U72" s="5">
        <v>51.643000000000001</v>
      </c>
      <c r="V72" s="5">
        <v>18.855</v>
      </c>
      <c r="W72" s="5">
        <v>2.823</v>
      </c>
      <c r="X72" s="5">
        <v>0.35399999999999998</v>
      </c>
      <c r="Y72" s="5">
        <v>0.76900000000000002</v>
      </c>
      <c r="Z72" s="5">
        <v>0</v>
      </c>
      <c r="AA72" s="5">
        <v>255</v>
      </c>
      <c r="AB72" s="5"/>
      <c r="AC72" s="5"/>
      <c r="AD72" s="6">
        <f t="shared" si="9"/>
        <v>6829.2950000000001</v>
      </c>
      <c r="AE72" s="6">
        <f t="shared" si="10"/>
        <v>9.891</v>
      </c>
      <c r="AF72" s="6">
        <f t="shared" si="11"/>
        <v>70173</v>
      </c>
      <c r="AH72">
        <f>FORECAST(AD72, {0,1}, {0,89000})</f>
        <v>7.673365168539327E-2</v>
      </c>
      <c r="AJ72">
        <v>3</v>
      </c>
    </row>
    <row r="73" spans="1:36" x14ac:dyDescent="0.2">
      <c r="A73" s="5">
        <v>9</v>
      </c>
      <c r="B73" s="5" t="s">
        <v>30</v>
      </c>
      <c r="C73" s="5">
        <v>716.28099999999995</v>
      </c>
      <c r="D73" s="5">
        <v>20.170999999999999</v>
      </c>
      <c r="E73" s="5">
        <v>31.582999999999998</v>
      </c>
      <c r="F73" s="5">
        <v>7</v>
      </c>
      <c r="G73" s="5">
        <v>0</v>
      </c>
      <c r="H73" s="5">
        <v>255</v>
      </c>
      <c r="I73" s="5">
        <v>277.25599999999997</v>
      </c>
      <c r="J73" s="5">
        <v>81.37</v>
      </c>
      <c r="K73" s="5">
        <v>0.41299999999999998</v>
      </c>
      <c r="L73" s="5">
        <v>67.41</v>
      </c>
      <c r="M73" s="5">
        <v>14447.960999999999</v>
      </c>
      <c r="N73" s="5">
        <v>10</v>
      </c>
      <c r="O73" s="5">
        <v>3.9849999999999999</v>
      </c>
      <c r="P73" s="5">
        <v>18.25</v>
      </c>
      <c r="Q73" s="5">
        <v>99.28</v>
      </c>
      <c r="R73" s="5">
        <v>148457</v>
      </c>
      <c r="S73" s="5">
        <v>887</v>
      </c>
      <c r="T73" s="5">
        <v>347</v>
      </c>
      <c r="U73" s="5">
        <v>88.409000000000006</v>
      </c>
      <c r="V73" s="5">
        <v>17.795000000000002</v>
      </c>
      <c r="W73" s="5">
        <v>3.5910000000000002</v>
      </c>
      <c r="X73" s="5">
        <v>0.27800000000000002</v>
      </c>
      <c r="Y73" s="5">
        <v>0.88200000000000001</v>
      </c>
      <c r="Z73" s="5">
        <v>0</v>
      </c>
      <c r="AA73" s="5">
        <v>255</v>
      </c>
      <c r="AB73" s="5"/>
      <c r="AC73" s="5"/>
      <c r="AD73" s="6">
        <f t="shared" si="9"/>
        <v>12650.833999999999</v>
      </c>
      <c r="AE73" s="6">
        <f t="shared" si="10"/>
        <v>13.62</v>
      </c>
      <c r="AF73" s="6">
        <f t="shared" si="11"/>
        <v>129991</v>
      </c>
      <c r="AH73">
        <f>FORECAST(AD73, {0,1}, {0,89000})</f>
        <v>0.14214420224719101</v>
      </c>
      <c r="AJ73">
        <v>3</v>
      </c>
    </row>
    <row r="74" spans="1:36" x14ac:dyDescent="0.2">
      <c r="A74" s="5">
        <v>10</v>
      </c>
      <c r="B74" s="5" t="s">
        <v>30</v>
      </c>
      <c r="C74" s="5">
        <v>1383.7080000000001</v>
      </c>
      <c r="D74" s="5">
        <v>14.141</v>
      </c>
      <c r="E74" s="5">
        <v>15.807</v>
      </c>
      <c r="F74" s="5">
        <v>7</v>
      </c>
      <c r="G74" s="5">
        <v>0</v>
      </c>
      <c r="H74" s="5">
        <v>188</v>
      </c>
      <c r="I74" s="5">
        <v>48.895000000000003</v>
      </c>
      <c r="J74" s="5">
        <v>97.927000000000007</v>
      </c>
      <c r="K74" s="5">
        <v>0.59799999999999998</v>
      </c>
      <c r="L74" s="5">
        <v>56.780999999999999</v>
      </c>
      <c r="M74" s="5">
        <v>19566.453000000001</v>
      </c>
      <c r="N74" s="5">
        <v>9</v>
      </c>
      <c r="O74" s="5">
        <v>3.6</v>
      </c>
      <c r="P74" s="5">
        <v>17.501999999999999</v>
      </c>
      <c r="Q74" s="5">
        <v>99.296999999999997</v>
      </c>
      <c r="R74" s="5">
        <v>201051</v>
      </c>
      <c r="S74" s="5">
        <v>187</v>
      </c>
      <c r="T74" s="5">
        <v>414</v>
      </c>
      <c r="U74" s="5">
        <v>89.37</v>
      </c>
      <c r="V74" s="5">
        <v>41.433999999999997</v>
      </c>
      <c r="W74" s="5">
        <v>1.127</v>
      </c>
      <c r="X74" s="5">
        <v>0.88700000000000001</v>
      </c>
      <c r="Y74" s="5">
        <v>0.81599999999999995</v>
      </c>
      <c r="Z74" s="5">
        <v>0</v>
      </c>
      <c r="AA74" s="5">
        <v>255</v>
      </c>
      <c r="AB74" s="5"/>
      <c r="AC74" s="5"/>
      <c r="AD74" s="6">
        <f t="shared" si="9"/>
        <v>17769.326000000001</v>
      </c>
      <c r="AE74" s="6">
        <f t="shared" si="10"/>
        <v>7.59</v>
      </c>
      <c r="AF74" s="6">
        <f t="shared" si="11"/>
        <v>182585</v>
      </c>
      <c r="AH74">
        <f>FORECAST(AD74, {0,1}, {0,89000})</f>
        <v>0.19965534831460677</v>
      </c>
      <c r="AJ74">
        <v>3</v>
      </c>
    </row>
    <row r="75" spans="1:36" x14ac:dyDescent="0.2">
      <c r="A75" s="5">
        <v>11</v>
      </c>
      <c r="B75" s="5" t="s">
        <v>30</v>
      </c>
      <c r="C75" s="5">
        <v>1131.1600000000001</v>
      </c>
      <c r="D75" s="5">
        <v>12.542</v>
      </c>
      <c r="E75" s="5">
        <v>17.22</v>
      </c>
      <c r="F75" s="5">
        <v>7</v>
      </c>
      <c r="G75" s="5">
        <v>0</v>
      </c>
      <c r="H75" s="5">
        <v>255</v>
      </c>
      <c r="I75" s="5">
        <v>57.277999999999999</v>
      </c>
      <c r="J75" s="5">
        <v>164.86</v>
      </c>
      <c r="K75" s="5">
        <v>0.442</v>
      </c>
      <c r="L75" s="5">
        <v>59.204999999999998</v>
      </c>
      <c r="M75" s="5">
        <v>14187.141</v>
      </c>
      <c r="N75" s="5">
        <v>8</v>
      </c>
      <c r="O75" s="5">
        <v>5.431</v>
      </c>
      <c r="P75" s="5">
        <v>38.783999999999999</v>
      </c>
      <c r="Q75" s="5">
        <v>98.674999999999997</v>
      </c>
      <c r="R75" s="5">
        <v>145777</v>
      </c>
      <c r="S75" s="5">
        <v>132</v>
      </c>
      <c r="T75" s="5">
        <v>593</v>
      </c>
      <c r="U75" s="5">
        <v>68.03</v>
      </c>
      <c r="V75" s="5">
        <v>42.097999999999999</v>
      </c>
      <c r="W75" s="5">
        <v>1.841</v>
      </c>
      <c r="X75" s="5">
        <v>0.54300000000000004</v>
      </c>
      <c r="Y75" s="5">
        <v>0.71399999999999997</v>
      </c>
      <c r="Z75" s="5">
        <v>0</v>
      </c>
      <c r="AA75" s="5">
        <v>255</v>
      </c>
      <c r="AB75" s="5"/>
      <c r="AC75" s="5"/>
      <c r="AD75" s="6">
        <f t="shared" si="9"/>
        <v>12390.013999999999</v>
      </c>
      <c r="AE75" s="6">
        <f t="shared" si="10"/>
        <v>5.9909999999999997</v>
      </c>
      <c r="AF75" s="6">
        <f t="shared" si="11"/>
        <v>127311</v>
      </c>
      <c r="AH75">
        <f>FORECAST(AD75, {0,1}, {0,89000})</f>
        <v>0.13921364044943821</v>
      </c>
      <c r="AJ75">
        <v>3</v>
      </c>
    </row>
    <row r="76" spans="1:36" x14ac:dyDescent="0.2">
      <c r="A76" s="5">
        <v>12</v>
      </c>
      <c r="B76" s="5" t="s">
        <v>30</v>
      </c>
      <c r="C76" s="5">
        <v>883.08900000000006</v>
      </c>
      <c r="D76" s="5">
        <v>12.56</v>
      </c>
      <c r="E76" s="5">
        <v>15.722</v>
      </c>
      <c r="F76" s="5">
        <v>7</v>
      </c>
      <c r="G76" s="5">
        <v>0</v>
      </c>
      <c r="H76" s="5">
        <v>184</v>
      </c>
      <c r="I76" s="5">
        <v>21.901</v>
      </c>
      <c r="J76" s="5">
        <v>182.91200000000001</v>
      </c>
      <c r="K76" s="5">
        <v>0.88</v>
      </c>
      <c r="L76" s="5">
        <v>38.887</v>
      </c>
      <c r="M76" s="5">
        <v>11091.754000000001</v>
      </c>
      <c r="N76" s="5">
        <v>8</v>
      </c>
      <c r="O76" s="5">
        <v>4.3029999999999999</v>
      </c>
      <c r="P76" s="5">
        <v>23.59</v>
      </c>
      <c r="Q76" s="5">
        <v>98.81</v>
      </c>
      <c r="R76" s="5">
        <v>113971</v>
      </c>
      <c r="S76" s="5">
        <v>48</v>
      </c>
      <c r="T76" s="5">
        <v>535</v>
      </c>
      <c r="U76" s="5">
        <v>110.179</v>
      </c>
      <c r="V76" s="5">
        <v>31.998000000000001</v>
      </c>
      <c r="W76" s="5">
        <v>1.1240000000000001</v>
      </c>
      <c r="X76" s="5">
        <v>0.89</v>
      </c>
      <c r="Y76" s="5">
        <v>0.999</v>
      </c>
      <c r="Z76" s="5">
        <v>0</v>
      </c>
      <c r="AA76" s="5">
        <v>255</v>
      </c>
      <c r="AB76" s="5"/>
      <c r="AC76" s="5"/>
      <c r="AD76" s="6">
        <f t="shared" si="9"/>
        <v>9294.6270000000004</v>
      </c>
      <c r="AE76" s="6">
        <f t="shared" si="10"/>
        <v>6.0090000000000003</v>
      </c>
      <c r="AF76" s="6">
        <f t="shared" si="11"/>
        <v>95505</v>
      </c>
      <c r="AH76">
        <f>FORECAST(AD76, {0,1}, {0,89000})</f>
        <v>0.10443401123595507</v>
      </c>
      <c r="AJ76">
        <v>3</v>
      </c>
    </row>
    <row r="77" spans="1:36" x14ac:dyDescent="0.2">
      <c r="A77" s="5">
        <v>13</v>
      </c>
      <c r="B77" s="5" t="s">
        <v>30</v>
      </c>
      <c r="C77" s="5">
        <v>1190.5260000000001</v>
      </c>
      <c r="D77" s="5">
        <v>14.112</v>
      </c>
      <c r="E77" s="5">
        <v>16.616</v>
      </c>
      <c r="F77" s="5">
        <v>6</v>
      </c>
      <c r="G77" s="5">
        <v>0</v>
      </c>
      <c r="H77" s="5">
        <v>215</v>
      </c>
      <c r="I77" s="5">
        <v>58.805</v>
      </c>
      <c r="J77" s="5">
        <v>200.82300000000001</v>
      </c>
      <c r="K77" s="5">
        <v>0.60799999999999998</v>
      </c>
      <c r="L77" s="5">
        <v>61.152000000000001</v>
      </c>
      <c r="M77" s="5">
        <v>16801.276000000002</v>
      </c>
      <c r="N77" s="5">
        <v>9</v>
      </c>
      <c r="O77" s="5">
        <v>4.6230000000000002</v>
      </c>
      <c r="P77" s="5">
        <v>29.161000000000001</v>
      </c>
      <c r="Q77" s="5">
        <v>99.42</v>
      </c>
      <c r="R77" s="5">
        <v>172638</v>
      </c>
      <c r="S77" s="5">
        <v>92</v>
      </c>
      <c r="T77" s="5">
        <v>656</v>
      </c>
      <c r="U77" s="5">
        <v>0.877</v>
      </c>
      <c r="V77" s="5">
        <v>33.338000000000001</v>
      </c>
      <c r="W77" s="5">
        <v>2.0739999999999998</v>
      </c>
      <c r="X77" s="5">
        <v>0.48199999999999998</v>
      </c>
      <c r="Y77" s="5">
        <v>0.84199999999999997</v>
      </c>
      <c r="Z77" s="5">
        <v>0</v>
      </c>
      <c r="AA77" s="5">
        <v>255</v>
      </c>
      <c r="AB77" s="5"/>
      <c r="AC77" s="5"/>
      <c r="AD77" s="6">
        <f t="shared" si="9"/>
        <v>15004.149000000001</v>
      </c>
      <c r="AE77" s="6">
        <f t="shared" si="10"/>
        <v>7.5609999999999999</v>
      </c>
      <c r="AF77" s="6">
        <f t="shared" si="11"/>
        <v>154172</v>
      </c>
      <c r="AH77">
        <f>FORECAST(AD77, {0,1}, {0,89000})</f>
        <v>0.16858594382022474</v>
      </c>
      <c r="AJ77">
        <v>3</v>
      </c>
    </row>
    <row r="78" spans="1:36" x14ac:dyDescent="0.2">
      <c r="A78" s="5">
        <v>14</v>
      </c>
      <c r="B78" s="5" t="s">
        <v>30</v>
      </c>
      <c r="C78" s="5">
        <v>1581.7560000000001</v>
      </c>
      <c r="D78" s="5">
        <v>12.406000000000001</v>
      </c>
      <c r="E78" s="5">
        <v>16.052</v>
      </c>
      <c r="F78" s="5">
        <v>7</v>
      </c>
      <c r="G78" s="5">
        <v>0</v>
      </c>
      <c r="H78" s="5">
        <v>255</v>
      </c>
      <c r="I78" s="5">
        <v>274.59699999999998</v>
      </c>
      <c r="J78" s="5">
        <v>206.35499999999999</v>
      </c>
      <c r="K78" s="5">
        <v>0.35899999999999999</v>
      </c>
      <c r="L78" s="5">
        <v>89.873000000000005</v>
      </c>
      <c r="M78" s="5">
        <v>19622.802</v>
      </c>
      <c r="N78" s="5">
        <v>8</v>
      </c>
      <c r="O78" s="5">
        <v>5.194</v>
      </c>
      <c r="P78" s="5">
        <v>37.848999999999997</v>
      </c>
      <c r="Q78" s="5">
        <v>98.659000000000006</v>
      </c>
      <c r="R78" s="5">
        <v>201630</v>
      </c>
      <c r="S78" s="5">
        <v>797</v>
      </c>
      <c r="T78" s="5">
        <v>545</v>
      </c>
      <c r="U78" s="5">
        <v>139.78700000000001</v>
      </c>
      <c r="V78" s="5">
        <v>31.722999999999999</v>
      </c>
      <c r="W78" s="5">
        <v>2.2050000000000001</v>
      </c>
      <c r="X78" s="5">
        <v>0.45300000000000001</v>
      </c>
      <c r="Y78" s="5">
        <v>0.76400000000000001</v>
      </c>
      <c r="Z78" s="5">
        <v>0</v>
      </c>
      <c r="AA78" s="5">
        <v>255</v>
      </c>
      <c r="AB78" s="5"/>
      <c r="AC78" s="5"/>
      <c r="AD78" s="6">
        <f t="shared" si="9"/>
        <v>17825.674999999999</v>
      </c>
      <c r="AE78" s="6">
        <f t="shared" si="10"/>
        <v>5.8550000000000004</v>
      </c>
      <c r="AF78" s="6">
        <f t="shared" si="11"/>
        <v>183164</v>
      </c>
      <c r="AH78">
        <f>FORECAST(AD78, {0,1}, {0,89000})</f>
        <v>0.20028848314606743</v>
      </c>
      <c r="AJ78">
        <v>3</v>
      </c>
    </row>
    <row r="79" spans="1:36" x14ac:dyDescent="0.2">
      <c r="A79" s="5">
        <v>15</v>
      </c>
      <c r="B79" s="5" t="s">
        <v>30</v>
      </c>
      <c r="C79" s="5">
        <v>1016.516</v>
      </c>
      <c r="D79" s="5">
        <v>18.46</v>
      </c>
      <c r="E79" s="5">
        <v>23.748999999999999</v>
      </c>
      <c r="F79" s="5">
        <v>7</v>
      </c>
      <c r="G79" s="5">
        <v>0</v>
      </c>
      <c r="H79" s="5">
        <v>249</v>
      </c>
      <c r="I79" s="5">
        <v>197.02199999999999</v>
      </c>
      <c r="J79" s="5">
        <v>92.382000000000005</v>
      </c>
      <c r="K79" s="5">
        <v>0.73399999999999999</v>
      </c>
      <c r="L79" s="5">
        <v>46.567</v>
      </c>
      <c r="M79" s="5">
        <v>18765.308000000001</v>
      </c>
      <c r="N79" s="5">
        <v>10</v>
      </c>
      <c r="O79" s="5">
        <v>3.5819999999999999</v>
      </c>
      <c r="P79" s="5">
        <v>16.440999999999999</v>
      </c>
      <c r="Q79" s="5">
        <v>99.646000000000001</v>
      </c>
      <c r="R79" s="5">
        <v>192819</v>
      </c>
      <c r="S79" s="5">
        <v>591</v>
      </c>
      <c r="T79" s="5">
        <v>235</v>
      </c>
      <c r="U79" s="5">
        <v>93.456999999999994</v>
      </c>
      <c r="V79" s="5">
        <v>35.573</v>
      </c>
      <c r="W79" s="5">
        <v>1.139</v>
      </c>
      <c r="X79" s="5">
        <v>0.878</v>
      </c>
      <c r="Y79" s="5">
        <v>0.90200000000000002</v>
      </c>
      <c r="Z79" s="5">
        <v>0</v>
      </c>
      <c r="AA79" s="5">
        <v>255</v>
      </c>
      <c r="AB79" s="5"/>
      <c r="AC79" s="5"/>
      <c r="AD79" s="6">
        <f t="shared" si="9"/>
        <v>16968.181</v>
      </c>
      <c r="AE79" s="6">
        <f t="shared" si="10"/>
        <v>11.909000000000001</v>
      </c>
      <c r="AF79" s="6">
        <f t="shared" si="11"/>
        <v>174353</v>
      </c>
      <c r="AH79">
        <f>FORECAST(AD79, {0,1}, {0,89000})</f>
        <v>0.19065371910112361</v>
      </c>
      <c r="AJ79">
        <v>3</v>
      </c>
    </row>
    <row r="80" spans="1:36" x14ac:dyDescent="0.2">
      <c r="A80" s="5">
        <v>16</v>
      </c>
      <c r="B80" s="5" t="s">
        <v>30</v>
      </c>
      <c r="C80" s="5">
        <v>787.423</v>
      </c>
      <c r="D80" s="5">
        <v>15.885</v>
      </c>
      <c r="E80" s="5">
        <v>20.945</v>
      </c>
      <c r="F80" s="5">
        <v>7</v>
      </c>
      <c r="G80" s="5">
        <v>0</v>
      </c>
      <c r="H80" s="5">
        <v>235</v>
      </c>
      <c r="I80" s="5">
        <v>231.52699999999999</v>
      </c>
      <c r="J80" s="5">
        <v>38.326999999999998</v>
      </c>
      <c r="K80" s="5">
        <v>0.48699999999999999</v>
      </c>
      <c r="L80" s="5">
        <v>51.503999999999998</v>
      </c>
      <c r="M80" s="5">
        <v>12508.259</v>
      </c>
      <c r="N80" s="5">
        <v>10</v>
      </c>
      <c r="O80" s="5">
        <v>4.4610000000000003</v>
      </c>
      <c r="P80" s="5">
        <v>24.402999999999999</v>
      </c>
      <c r="Q80" s="5">
        <v>99.555000000000007</v>
      </c>
      <c r="R80" s="5">
        <v>128526</v>
      </c>
      <c r="S80" s="5">
        <v>704</v>
      </c>
      <c r="T80" s="5">
        <v>217</v>
      </c>
      <c r="U80" s="5">
        <v>83.391999999999996</v>
      </c>
      <c r="V80" s="5">
        <v>33.767000000000003</v>
      </c>
      <c r="W80" s="5">
        <v>1.177</v>
      </c>
      <c r="X80" s="5">
        <v>0.85</v>
      </c>
      <c r="Y80" s="5">
        <v>0.73</v>
      </c>
      <c r="Z80" s="5">
        <v>0</v>
      </c>
      <c r="AA80" s="5">
        <v>255</v>
      </c>
      <c r="AB80" s="5"/>
      <c r="AC80" s="5"/>
      <c r="AD80" s="6">
        <f t="shared" si="9"/>
        <v>10711.132</v>
      </c>
      <c r="AE80" s="6">
        <f t="shared" si="10"/>
        <v>9.3339999999999996</v>
      </c>
      <c r="AF80" s="6">
        <f t="shared" si="11"/>
        <v>110060</v>
      </c>
      <c r="AH80">
        <f>FORECAST(AD80, {0,1}, {0,89000})</f>
        <v>0.12034979775280899</v>
      </c>
      <c r="AJ80">
        <v>3</v>
      </c>
    </row>
    <row r="81" spans="1:36" x14ac:dyDescent="0.2">
      <c r="A81" s="5">
        <v>17</v>
      </c>
      <c r="B81" s="5" t="s">
        <v>30</v>
      </c>
      <c r="C81" s="5">
        <v>1112.7670000000001</v>
      </c>
      <c r="D81" s="5">
        <v>16.405999999999999</v>
      </c>
      <c r="E81" s="5">
        <v>22.114999999999998</v>
      </c>
      <c r="F81" s="5">
        <v>7</v>
      </c>
      <c r="G81" s="5">
        <v>0</v>
      </c>
      <c r="H81" s="5">
        <v>255</v>
      </c>
      <c r="I81" s="5">
        <v>174.74199999999999</v>
      </c>
      <c r="J81" s="5">
        <v>58.707000000000001</v>
      </c>
      <c r="K81" s="5">
        <v>0.40500000000000003</v>
      </c>
      <c r="L81" s="5">
        <v>81.853999999999999</v>
      </c>
      <c r="M81" s="5">
        <v>18256.514999999999</v>
      </c>
      <c r="N81" s="5">
        <v>10</v>
      </c>
      <c r="O81" s="5">
        <v>5.1769999999999996</v>
      </c>
      <c r="P81" s="5">
        <v>37.228000000000002</v>
      </c>
      <c r="Q81" s="5">
        <v>99.72</v>
      </c>
      <c r="R81" s="5">
        <v>187591</v>
      </c>
      <c r="S81" s="5">
        <v>554</v>
      </c>
      <c r="T81" s="5">
        <v>292</v>
      </c>
      <c r="U81" s="5">
        <v>80.789000000000001</v>
      </c>
      <c r="V81" s="5">
        <v>22.587</v>
      </c>
      <c r="W81" s="5">
        <v>4.609</v>
      </c>
      <c r="X81" s="5">
        <v>0.217</v>
      </c>
      <c r="Y81" s="5">
        <v>0.80300000000000005</v>
      </c>
      <c r="Z81" s="5">
        <v>0</v>
      </c>
      <c r="AA81" s="5">
        <v>255</v>
      </c>
      <c r="AB81" s="5"/>
      <c r="AC81" s="5"/>
      <c r="AD81" s="6">
        <f t="shared" si="9"/>
        <v>16459.387999999999</v>
      </c>
      <c r="AE81" s="6">
        <f t="shared" si="10"/>
        <v>9.8549999999999986</v>
      </c>
      <c r="AF81" s="6">
        <f t="shared" si="11"/>
        <v>169125</v>
      </c>
      <c r="AH81">
        <f>FORECAST(AD81, {0,1}, {0,89000})</f>
        <v>0.18493694382022471</v>
      </c>
      <c r="AJ81">
        <v>3</v>
      </c>
    </row>
    <row r="82" spans="1:36" x14ac:dyDescent="0.2">
      <c r="A82" s="5">
        <v>18</v>
      </c>
      <c r="B82" s="5" t="s">
        <v>30</v>
      </c>
      <c r="C82" s="5">
        <v>2508.1529999999998</v>
      </c>
      <c r="D82" s="5">
        <v>15.629</v>
      </c>
      <c r="E82" s="5">
        <v>18.449000000000002</v>
      </c>
      <c r="F82" s="5">
        <v>7</v>
      </c>
      <c r="G82" s="5">
        <v>0</v>
      </c>
      <c r="H82" s="5">
        <v>248</v>
      </c>
      <c r="I82" s="5">
        <v>124.473</v>
      </c>
      <c r="J82" s="5">
        <v>131.732</v>
      </c>
      <c r="K82" s="5">
        <v>0.59599999999999997</v>
      </c>
      <c r="L82" s="5">
        <v>80.534999999999997</v>
      </c>
      <c r="M82" s="5">
        <v>39199.474000000002</v>
      </c>
      <c r="N82" s="5">
        <v>10</v>
      </c>
      <c r="O82" s="5">
        <v>3.806</v>
      </c>
      <c r="P82" s="5">
        <v>19.585000000000001</v>
      </c>
      <c r="Q82" s="5">
        <v>99.29</v>
      </c>
      <c r="R82" s="5">
        <v>402786</v>
      </c>
      <c r="S82" s="5">
        <v>377</v>
      </c>
      <c r="T82" s="5">
        <v>562</v>
      </c>
      <c r="U82" s="5">
        <v>88.001999999999995</v>
      </c>
      <c r="V82" s="5">
        <v>52.917000000000002</v>
      </c>
      <c r="W82" s="5">
        <v>1.647</v>
      </c>
      <c r="X82" s="5">
        <v>0.60699999999999998</v>
      </c>
      <c r="Y82" s="5">
        <v>0.83799999999999997</v>
      </c>
      <c r="Z82" s="5">
        <v>0</v>
      </c>
      <c r="AA82" s="5">
        <v>255</v>
      </c>
      <c r="AB82" s="5"/>
      <c r="AC82" s="5"/>
      <c r="AD82" s="6">
        <f t="shared" si="9"/>
        <v>37402.347000000002</v>
      </c>
      <c r="AE82" s="6">
        <f t="shared" si="10"/>
        <v>9.0779999999999994</v>
      </c>
      <c r="AF82" s="6">
        <f t="shared" si="11"/>
        <v>384320</v>
      </c>
      <c r="AH82">
        <f>FORECAST(AD82, {0,1}, {0,89000})</f>
        <v>0.42025108988764048</v>
      </c>
      <c r="AJ82">
        <v>3</v>
      </c>
    </row>
    <row r="83" spans="1:36" x14ac:dyDescent="0.2">
      <c r="A83" s="5">
        <v>19</v>
      </c>
      <c r="B83" s="5" t="s">
        <v>30</v>
      </c>
      <c r="C83" s="5">
        <v>2135.9009999999998</v>
      </c>
      <c r="D83" s="5">
        <v>11.255000000000001</v>
      </c>
      <c r="E83" s="5">
        <v>15.522</v>
      </c>
      <c r="F83" s="5">
        <v>7</v>
      </c>
      <c r="G83" s="5">
        <v>0</v>
      </c>
      <c r="H83" s="5">
        <v>255</v>
      </c>
      <c r="I83" s="5">
        <v>260.09500000000003</v>
      </c>
      <c r="J83" s="5">
        <v>275.44600000000003</v>
      </c>
      <c r="K83" s="5">
        <v>0.50700000000000001</v>
      </c>
      <c r="L83" s="5">
        <v>91.552000000000007</v>
      </c>
      <c r="M83" s="5">
        <v>24039.611000000001</v>
      </c>
      <c r="N83" s="5">
        <v>8</v>
      </c>
      <c r="O83" s="5">
        <v>6.9790000000000001</v>
      </c>
      <c r="P83" s="5">
        <v>68.048000000000002</v>
      </c>
      <c r="Q83" s="5">
        <v>98.683000000000007</v>
      </c>
      <c r="R83" s="5">
        <v>247014</v>
      </c>
      <c r="S83" s="5">
        <v>676</v>
      </c>
      <c r="T83" s="5">
        <v>809</v>
      </c>
      <c r="U83" s="5">
        <v>151.94999999999999</v>
      </c>
      <c r="V83" s="5">
        <v>40.555</v>
      </c>
      <c r="W83" s="5">
        <v>2.2090000000000001</v>
      </c>
      <c r="X83" s="5">
        <v>0.45300000000000001</v>
      </c>
      <c r="Y83" s="5">
        <v>0.81799999999999995</v>
      </c>
      <c r="Z83" s="5">
        <v>0</v>
      </c>
      <c r="AA83" s="5">
        <v>255</v>
      </c>
      <c r="AB83" s="5"/>
      <c r="AC83" s="5"/>
      <c r="AD83" s="6">
        <f t="shared" si="9"/>
        <v>22242.484</v>
      </c>
      <c r="AE83" s="6">
        <f t="shared" si="10"/>
        <v>4.7040000000000006</v>
      </c>
      <c r="AF83" s="6">
        <f t="shared" si="11"/>
        <v>228548</v>
      </c>
      <c r="AH83">
        <f>FORECAST(AD83, {0,1}, {0,89000})</f>
        <v>0.24991555056179776</v>
      </c>
      <c r="AJ83">
        <v>3</v>
      </c>
    </row>
    <row r="84" spans="1:36" x14ac:dyDescent="0.2">
      <c r="A84" s="5">
        <v>20</v>
      </c>
      <c r="B84" s="5" t="s">
        <v>30</v>
      </c>
      <c r="C84" s="5">
        <v>793.65099999999995</v>
      </c>
      <c r="D84" s="5">
        <v>14.117000000000001</v>
      </c>
      <c r="E84" s="5">
        <v>17.048999999999999</v>
      </c>
      <c r="F84" s="5">
        <v>7</v>
      </c>
      <c r="G84" s="5">
        <v>0</v>
      </c>
      <c r="H84" s="5">
        <v>188</v>
      </c>
      <c r="I84" s="5">
        <v>261.94299999999998</v>
      </c>
      <c r="J84" s="5">
        <v>240.73099999999999</v>
      </c>
      <c r="K84" s="5">
        <v>0.64400000000000002</v>
      </c>
      <c r="L84" s="5">
        <v>51.920999999999999</v>
      </c>
      <c r="M84" s="5">
        <v>11203.673000000001</v>
      </c>
      <c r="N84" s="5">
        <v>9</v>
      </c>
      <c r="O84" s="5">
        <v>4.0270000000000001</v>
      </c>
      <c r="P84" s="5">
        <v>20.725999999999999</v>
      </c>
      <c r="Q84" s="5">
        <v>99.277000000000001</v>
      </c>
      <c r="R84" s="5">
        <v>115121</v>
      </c>
      <c r="S84" s="5">
        <v>816</v>
      </c>
      <c r="T84" s="5">
        <v>677</v>
      </c>
      <c r="U84" s="5">
        <v>110.395</v>
      </c>
      <c r="V84" s="5">
        <v>26.709</v>
      </c>
      <c r="W84" s="5">
        <v>1.6679999999999999</v>
      </c>
      <c r="X84" s="5">
        <v>0.6</v>
      </c>
      <c r="Y84" s="5">
        <v>0.89600000000000002</v>
      </c>
      <c r="Z84" s="5">
        <v>0</v>
      </c>
      <c r="AA84" s="5">
        <v>255</v>
      </c>
      <c r="AB84" s="5"/>
      <c r="AC84" s="5"/>
      <c r="AD84" s="6">
        <f t="shared" si="9"/>
        <v>9406.5460000000003</v>
      </c>
      <c r="AE84" s="6">
        <f t="shared" si="10"/>
        <v>7.5660000000000007</v>
      </c>
      <c r="AF84" s="6">
        <f t="shared" si="11"/>
        <v>96655</v>
      </c>
      <c r="AH84">
        <f>FORECAST(AD84, {0,1}, {0,89000})</f>
        <v>0.10569152808988765</v>
      </c>
      <c r="AJ84">
        <v>3</v>
      </c>
    </row>
    <row r="85" spans="1:36" x14ac:dyDescent="0.2">
      <c r="A85" s="5">
        <v>21</v>
      </c>
      <c r="B85" s="5" t="s">
        <v>27</v>
      </c>
      <c r="C85" s="5">
        <v>274.34699999999998</v>
      </c>
      <c r="D85" s="5">
        <v>6.5510000000000002</v>
      </c>
      <c r="E85" s="5">
        <v>3.488</v>
      </c>
      <c r="F85" s="5">
        <v>5</v>
      </c>
      <c r="G85" s="5">
        <v>0</v>
      </c>
      <c r="H85" s="5">
        <v>27</v>
      </c>
      <c r="I85" s="5">
        <v>148.02500000000001</v>
      </c>
      <c r="J85" s="5">
        <v>189.02199999999999</v>
      </c>
      <c r="K85" s="5">
        <v>0.81</v>
      </c>
      <c r="L85" s="5">
        <v>24.053999999999998</v>
      </c>
      <c r="M85" s="5">
        <v>1797.127</v>
      </c>
      <c r="N85" s="5">
        <v>6</v>
      </c>
      <c r="O85" s="5">
        <v>0.85699999999999998</v>
      </c>
      <c r="P85" s="5">
        <v>2.0630000000000002</v>
      </c>
      <c r="Q85" s="5">
        <v>96.417000000000002</v>
      </c>
      <c r="R85" s="5">
        <v>18466</v>
      </c>
      <c r="S85" s="5">
        <v>445</v>
      </c>
      <c r="T85" s="5">
        <v>579</v>
      </c>
      <c r="U85" s="5">
        <v>136.577</v>
      </c>
      <c r="V85" s="5">
        <v>16.428000000000001</v>
      </c>
      <c r="W85" s="5">
        <v>1.133</v>
      </c>
      <c r="X85" s="5">
        <v>0.88300000000000001</v>
      </c>
      <c r="Y85" s="5">
        <v>0.99299999999999999</v>
      </c>
      <c r="Z85" s="5">
        <v>0</v>
      </c>
      <c r="AA85" s="5">
        <v>255</v>
      </c>
      <c r="AB85" s="5"/>
      <c r="AC85" s="5"/>
      <c r="AD85">
        <f>AVERAGE(AD65:AD84)</f>
        <v>15793.34815</v>
      </c>
      <c r="AE85">
        <f>AVERAGE(AE65:AE84)</f>
        <v>7.8615500000000011</v>
      </c>
      <c r="AF85">
        <f>AVERAGE(AF65:AF84)</f>
        <v>162281.25</v>
      </c>
      <c r="AH85">
        <f>FORECAST(AD85, {0,1}, {0,89000})</f>
        <v>0.17745335000000001</v>
      </c>
      <c r="AJ85">
        <v>3</v>
      </c>
    </row>
    <row r="86" spans="1:36" x14ac:dyDescent="0.2">
      <c r="A86" s="7">
        <v>1</v>
      </c>
      <c r="B86" s="7" t="s">
        <v>31</v>
      </c>
      <c r="C86" s="7">
        <v>1397.1379999999999</v>
      </c>
      <c r="D86" s="7">
        <v>20.361000000000001</v>
      </c>
      <c r="E86" s="7">
        <v>35.329000000000001</v>
      </c>
      <c r="F86" s="7">
        <v>8</v>
      </c>
      <c r="G86" s="7">
        <v>1</v>
      </c>
      <c r="H86" s="7">
        <v>255</v>
      </c>
      <c r="I86" s="7">
        <v>293.363</v>
      </c>
      <c r="J86" s="7">
        <v>131.374</v>
      </c>
      <c r="K86" s="7">
        <v>0.69799999999999995</v>
      </c>
      <c r="L86" s="7">
        <v>56.24</v>
      </c>
      <c r="M86" s="7">
        <v>28447.563999999998</v>
      </c>
      <c r="N86" s="7">
        <v>9</v>
      </c>
      <c r="O86" s="7">
        <v>3.8879999999999999</v>
      </c>
      <c r="P86" s="7">
        <v>16.16</v>
      </c>
      <c r="Q86" s="7">
        <v>100</v>
      </c>
      <c r="R86" s="7">
        <v>292307</v>
      </c>
      <c r="S86" s="7">
        <v>963</v>
      </c>
      <c r="T86" s="7">
        <v>320</v>
      </c>
      <c r="U86" s="7">
        <v>107.43</v>
      </c>
      <c r="V86" s="7">
        <v>38.463999999999999</v>
      </c>
      <c r="W86" s="7">
        <v>1.1919999999999999</v>
      </c>
      <c r="X86" s="7">
        <v>0.83899999999999997</v>
      </c>
      <c r="Y86" s="7">
        <v>0.91600000000000004</v>
      </c>
      <c r="Z86" s="7">
        <v>0</v>
      </c>
      <c r="AA86" s="7">
        <v>255</v>
      </c>
      <c r="AB86" s="7"/>
      <c r="AC86" s="7"/>
      <c r="AD86" s="8">
        <f>M86-M$106</f>
        <v>25891.236999999997</v>
      </c>
      <c r="AE86" s="8">
        <f>D86-D$106</f>
        <v>13.012</v>
      </c>
      <c r="AF86" s="8">
        <f>R86-R$106</f>
        <v>266040</v>
      </c>
      <c r="AH86">
        <f>FORECAST(AD86, {0,1}, {0,89000})</f>
        <v>0.29091277528089887</v>
      </c>
      <c r="AJ86">
        <v>18</v>
      </c>
    </row>
    <row r="87" spans="1:36" x14ac:dyDescent="0.2">
      <c r="A87" s="7">
        <v>2</v>
      </c>
      <c r="B87" s="7" t="s">
        <v>31</v>
      </c>
      <c r="C87" s="7">
        <v>2324.4110000000001</v>
      </c>
      <c r="D87" s="7">
        <v>39.813000000000002</v>
      </c>
      <c r="E87" s="7">
        <v>55.887</v>
      </c>
      <c r="F87" s="7">
        <v>9</v>
      </c>
      <c r="G87" s="7">
        <v>3</v>
      </c>
      <c r="H87" s="7">
        <v>255</v>
      </c>
      <c r="I87" s="7">
        <v>189.83500000000001</v>
      </c>
      <c r="J87" s="7">
        <v>72.382000000000005</v>
      </c>
      <c r="K87" s="7">
        <v>0.89200000000000002</v>
      </c>
      <c r="L87" s="7">
        <v>63.515999999999998</v>
      </c>
      <c r="M87" s="7">
        <v>92541.612999999998</v>
      </c>
      <c r="N87" s="7">
        <v>15</v>
      </c>
      <c r="O87" s="7">
        <v>2.4369999999999998</v>
      </c>
      <c r="P87" s="7">
        <v>5.4240000000000004</v>
      </c>
      <c r="Q87" s="7">
        <v>100</v>
      </c>
      <c r="R87" s="7">
        <v>950892</v>
      </c>
      <c r="S87" s="7">
        <v>517</v>
      </c>
      <c r="T87" s="7">
        <v>285</v>
      </c>
      <c r="U87" s="7">
        <v>36.814</v>
      </c>
      <c r="V87" s="7">
        <v>51.904000000000003</v>
      </c>
      <c r="W87" s="7">
        <v>1.2350000000000001</v>
      </c>
      <c r="X87" s="7">
        <v>0.81</v>
      </c>
      <c r="Y87" s="7">
        <v>0.97199999999999998</v>
      </c>
      <c r="Z87" s="7">
        <v>0</v>
      </c>
      <c r="AA87" s="7">
        <v>255</v>
      </c>
      <c r="AB87" s="7"/>
      <c r="AC87" s="7"/>
      <c r="AD87" s="8">
        <f t="shared" ref="AD87:AD105" si="12">M87-M$106</f>
        <v>89985.285999999993</v>
      </c>
      <c r="AE87" s="8">
        <f t="shared" ref="AE87:AE105" si="13">D87-D$106</f>
        <v>32.463999999999999</v>
      </c>
      <c r="AF87" s="8">
        <f t="shared" ref="AF87:AF105" si="14">R87-R$106</f>
        <v>924625</v>
      </c>
      <c r="AH87">
        <f>FORECAST(AD87, {0,1}, {0,89000})</f>
        <v>1.0110706292134832</v>
      </c>
      <c r="AJ87">
        <v>18</v>
      </c>
    </row>
    <row r="88" spans="1:36" x14ac:dyDescent="0.2">
      <c r="A88" s="7">
        <v>3</v>
      </c>
      <c r="B88" s="7" t="s">
        <v>31</v>
      </c>
      <c r="C88" s="7">
        <v>1942.037</v>
      </c>
      <c r="D88" s="7">
        <v>27.518000000000001</v>
      </c>
      <c r="E88" s="7">
        <v>42.033999999999999</v>
      </c>
      <c r="F88" s="7">
        <v>8</v>
      </c>
      <c r="G88" s="7">
        <v>2</v>
      </c>
      <c r="H88" s="7">
        <v>255</v>
      </c>
      <c r="I88" s="7">
        <v>243.32599999999999</v>
      </c>
      <c r="J88" s="7">
        <v>245.16200000000001</v>
      </c>
      <c r="K88" s="7">
        <v>0.71899999999999997</v>
      </c>
      <c r="L88" s="7">
        <v>65.86</v>
      </c>
      <c r="M88" s="7">
        <v>53441.796000000002</v>
      </c>
      <c r="N88" s="7">
        <v>11</v>
      </c>
      <c r="O88" s="7">
        <v>3.2149999999999999</v>
      </c>
      <c r="P88" s="7">
        <v>11.132999999999999</v>
      </c>
      <c r="Q88" s="7">
        <v>100</v>
      </c>
      <c r="R88" s="7">
        <v>549130</v>
      </c>
      <c r="S88" s="7">
        <v>681</v>
      </c>
      <c r="T88" s="7">
        <v>797</v>
      </c>
      <c r="U88" s="7">
        <v>1.9</v>
      </c>
      <c r="V88" s="7">
        <v>42.012999999999998</v>
      </c>
      <c r="W88" s="7">
        <v>1.53</v>
      </c>
      <c r="X88" s="7">
        <v>0.65300000000000002</v>
      </c>
      <c r="Y88" s="7">
        <v>0.89800000000000002</v>
      </c>
      <c r="Z88" s="7">
        <v>0</v>
      </c>
      <c r="AA88" s="7">
        <v>255</v>
      </c>
      <c r="AB88" s="7"/>
      <c r="AC88" s="7"/>
      <c r="AD88" s="8">
        <f t="shared" si="12"/>
        <v>50885.469000000005</v>
      </c>
      <c r="AE88" s="8">
        <f t="shared" si="13"/>
        <v>20.169</v>
      </c>
      <c r="AF88" s="8">
        <f t="shared" si="14"/>
        <v>522863</v>
      </c>
      <c r="AH88">
        <f>FORECAST(AD88, {0,1}, {0,89000})</f>
        <v>0.57174684269662934</v>
      </c>
      <c r="AJ88">
        <v>18</v>
      </c>
    </row>
    <row r="89" spans="1:36" x14ac:dyDescent="0.2">
      <c r="A89" s="7">
        <v>4</v>
      </c>
      <c r="B89" s="7" t="s">
        <v>31</v>
      </c>
      <c r="C89" s="7">
        <v>1585.162</v>
      </c>
      <c r="D89" s="7">
        <v>25.648</v>
      </c>
      <c r="E89" s="7">
        <v>46.1</v>
      </c>
      <c r="F89" s="7">
        <v>8</v>
      </c>
      <c r="G89" s="7">
        <v>1</v>
      </c>
      <c r="H89" s="7">
        <v>255</v>
      </c>
      <c r="I89" s="7">
        <v>257.13600000000002</v>
      </c>
      <c r="J89" s="7">
        <v>154.458</v>
      </c>
      <c r="K89" s="7">
        <v>0.73499999999999999</v>
      </c>
      <c r="L89" s="7">
        <v>65.165000000000006</v>
      </c>
      <c r="M89" s="7">
        <v>40655.491000000002</v>
      </c>
      <c r="N89" s="7">
        <v>10</v>
      </c>
      <c r="O89" s="7">
        <v>3.5</v>
      </c>
      <c r="P89" s="7">
        <v>12.156000000000001</v>
      </c>
      <c r="Q89" s="7">
        <v>100</v>
      </c>
      <c r="R89" s="7">
        <v>417747</v>
      </c>
      <c r="S89" s="7">
        <v>774</v>
      </c>
      <c r="T89" s="7">
        <v>591</v>
      </c>
      <c r="U89" s="7">
        <v>62.331000000000003</v>
      </c>
      <c r="V89" s="7">
        <v>34.506999999999998</v>
      </c>
      <c r="W89" s="7">
        <v>1.7030000000000001</v>
      </c>
      <c r="X89" s="7">
        <v>0.58699999999999997</v>
      </c>
      <c r="Y89" s="7">
        <v>0.95099999999999996</v>
      </c>
      <c r="Z89" s="7">
        <v>0</v>
      </c>
      <c r="AA89" s="7">
        <v>255</v>
      </c>
      <c r="AB89" s="7"/>
      <c r="AC89" s="7"/>
      <c r="AD89" s="8">
        <f t="shared" si="12"/>
        <v>38099.164000000004</v>
      </c>
      <c r="AE89" s="8">
        <f t="shared" si="13"/>
        <v>18.298999999999999</v>
      </c>
      <c r="AF89" s="8">
        <f t="shared" si="14"/>
        <v>391480</v>
      </c>
      <c r="AH89">
        <f>FORECAST(AD89, {0,1}, {0,89000})</f>
        <v>0.42808049438202256</v>
      </c>
      <c r="AJ89">
        <v>18</v>
      </c>
    </row>
    <row r="90" spans="1:36" x14ac:dyDescent="0.2">
      <c r="A90" s="7">
        <v>5</v>
      </c>
      <c r="B90" s="7" t="s">
        <v>31</v>
      </c>
      <c r="C90" s="7">
        <v>2367.4270000000001</v>
      </c>
      <c r="D90" s="7">
        <v>29.64</v>
      </c>
      <c r="E90" s="7">
        <v>40.914000000000001</v>
      </c>
      <c r="F90" s="7">
        <v>8</v>
      </c>
      <c r="G90" s="7">
        <v>2</v>
      </c>
      <c r="H90" s="7">
        <v>255</v>
      </c>
      <c r="I90" s="7">
        <v>222.79400000000001</v>
      </c>
      <c r="J90" s="7">
        <v>177.97499999999999</v>
      </c>
      <c r="K90" s="7">
        <v>0.59199999999999997</v>
      </c>
      <c r="L90" s="7">
        <v>85.551000000000002</v>
      </c>
      <c r="M90" s="7">
        <v>70170.178</v>
      </c>
      <c r="N90" s="7">
        <v>12</v>
      </c>
      <c r="O90" s="7">
        <v>2.7189999999999999</v>
      </c>
      <c r="P90" s="7">
        <v>8.18</v>
      </c>
      <c r="Q90" s="7">
        <v>100</v>
      </c>
      <c r="R90" s="7">
        <v>721019</v>
      </c>
      <c r="S90" s="7">
        <v>702</v>
      </c>
      <c r="T90" s="7">
        <v>704</v>
      </c>
      <c r="U90" s="7">
        <v>81.19</v>
      </c>
      <c r="V90" s="7">
        <v>39.340000000000003</v>
      </c>
      <c r="W90" s="7">
        <v>2.661</v>
      </c>
      <c r="X90" s="7">
        <v>0.376</v>
      </c>
      <c r="Y90" s="7">
        <v>0.84899999999999998</v>
      </c>
      <c r="Z90" s="7">
        <v>0</v>
      </c>
      <c r="AA90" s="7">
        <v>255</v>
      </c>
      <c r="AB90" s="7"/>
      <c r="AC90" s="7"/>
      <c r="AD90" s="8">
        <f t="shared" si="12"/>
        <v>67613.850999999995</v>
      </c>
      <c r="AE90" s="8">
        <f t="shared" si="13"/>
        <v>22.291</v>
      </c>
      <c r="AF90" s="8">
        <f t="shared" si="14"/>
        <v>694752</v>
      </c>
      <c r="AH90">
        <f>FORECAST(AD90, {0,1}, {0,89000})</f>
        <v>0.75970619101123593</v>
      </c>
      <c r="AJ90">
        <v>18</v>
      </c>
    </row>
    <row r="91" spans="1:36" x14ac:dyDescent="0.2">
      <c r="A91" s="7">
        <v>6</v>
      </c>
      <c r="B91" s="7" t="s">
        <v>31</v>
      </c>
      <c r="C91" s="7">
        <v>882.60299999999995</v>
      </c>
      <c r="D91" s="7">
        <v>28.54</v>
      </c>
      <c r="E91" s="7">
        <v>41.542999999999999</v>
      </c>
      <c r="F91" s="7">
        <v>9</v>
      </c>
      <c r="G91" s="7">
        <v>3</v>
      </c>
      <c r="H91" s="7">
        <v>255</v>
      </c>
      <c r="I91" s="7">
        <v>230.29900000000001</v>
      </c>
      <c r="J91" s="7">
        <v>69.754000000000005</v>
      </c>
      <c r="K91" s="7">
        <v>0.84499999999999997</v>
      </c>
      <c r="L91" s="7">
        <v>41.53</v>
      </c>
      <c r="M91" s="7">
        <v>25189.456999999999</v>
      </c>
      <c r="N91" s="7">
        <v>13</v>
      </c>
      <c r="O91" s="7">
        <v>3.1120000000000001</v>
      </c>
      <c r="P91" s="7">
        <v>10.366</v>
      </c>
      <c r="Q91" s="7">
        <v>100</v>
      </c>
      <c r="R91" s="7">
        <v>258829</v>
      </c>
      <c r="S91" s="7">
        <v>682</v>
      </c>
      <c r="T91" s="7">
        <v>167</v>
      </c>
      <c r="U91" s="7">
        <v>138.04499999999999</v>
      </c>
      <c r="V91" s="7">
        <v>31.728000000000002</v>
      </c>
      <c r="W91" s="7">
        <v>1.105</v>
      </c>
      <c r="X91" s="7">
        <v>0.90500000000000003</v>
      </c>
      <c r="Y91" s="7">
        <v>0.98399999999999999</v>
      </c>
      <c r="Z91" s="7">
        <v>0</v>
      </c>
      <c r="AA91" s="7">
        <v>255</v>
      </c>
      <c r="AB91" s="7"/>
      <c r="AC91" s="7"/>
      <c r="AD91" s="8">
        <f t="shared" si="12"/>
        <v>22633.129999999997</v>
      </c>
      <c r="AE91" s="8">
        <f t="shared" si="13"/>
        <v>21.190999999999999</v>
      </c>
      <c r="AF91" s="8">
        <f t="shared" si="14"/>
        <v>232562</v>
      </c>
      <c r="AH91">
        <f>FORECAST(AD91, {0,1}, {0,89000})</f>
        <v>0.25430483146067412</v>
      </c>
      <c r="AJ91">
        <v>18</v>
      </c>
    </row>
    <row r="92" spans="1:36" x14ac:dyDescent="0.2">
      <c r="A92" s="7">
        <v>7</v>
      </c>
      <c r="B92" s="7" t="s">
        <v>31</v>
      </c>
      <c r="C92" s="7">
        <v>971.94299999999998</v>
      </c>
      <c r="D92" s="7">
        <v>35.084000000000003</v>
      </c>
      <c r="E92" s="7">
        <v>56.189</v>
      </c>
      <c r="F92" s="7">
        <v>9</v>
      </c>
      <c r="G92" s="7">
        <v>3</v>
      </c>
      <c r="H92" s="7">
        <v>255</v>
      </c>
      <c r="I92" s="7">
        <v>285.51799999999997</v>
      </c>
      <c r="J92" s="7">
        <v>15.37</v>
      </c>
      <c r="K92" s="7">
        <v>0.69199999999999995</v>
      </c>
      <c r="L92" s="7">
        <v>54.948999999999998</v>
      </c>
      <c r="M92" s="7">
        <v>34099.375</v>
      </c>
      <c r="N92" s="7">
        <v>12</v>
      </c>
      <c r="O92" s="7">
        <v>2.57</v>
      </c>
      <c r="P92" s="7">
        <v>5.819</v>
      </c>
      <c r="Q92" s="7">
        <v>100</v>
      </c>
      <c r="R92" s="7">
        <v>350381</v>
      </c>
      <c r="S92" s="7">
        <v>823</v>
      </c>
      <c r="T92" s="7">
        <v>23</v>
      </c>
      <c r="U92" s="7">
        <v>177.72200000000001</v>
      </c>
      <c r="V92" s="7">
        <v>25.606000000000002</v>
      </c>
      <c r="W92" s="7">
        <v>2.2040000000000002</v>
      </c>
      <c r="X92" s="7">
        <v>0.45400000000000001</v>
      </c>
      <c r="Y92" s="7">
        <v>0.97099999999999997</v>
      </c>
      <c r="Z92" s="7">
        <v>0</v>
      </c>
      <c r="AA92" s="7">
        <v>255</v>
      </c>
      <c r="AB92" s="7"/>
      <c r="AC92" s="7"/>
      <c r="AD92" s="8">
        <f t="shared" si="12"/>
        <v>31543.047999999999</v>
      </c>
      <c r="AE92" s="8">
        <f t="shared" si="13"/>
        <v>27.735000000000003</v>
      </c>
      <c r="AF92" s="8">
        <f t="shared" si="14"/>
        <v>324114</v>
      </c>
      <c r="AH92">
        <f>FORECAST(AD92, {0,1}, {0,89000})</f>
        <v>0.35441626966292133</v>
      </c>
      <c r="AJ92">
        <v>18</v>
      </c>
    </row>
    <row r="93" spans="1:36" x14ac:dyDescent="0.2">
      <c r="A93" s="7">
        <v>8</v>
      </c>
      <c r="B93" s="7" t="s">
        <v>31</v>
      </c>
      <c r="C93" s="7">
        <v>1574.943</v>
      </c>
      <c r="D93" s="7">
        <v>19.562000000000001</v>
      </c>
      <c r="E93" s="7">
        <v>35.985999999999997</v>
      </c>
      <c r="F93" s="7">
        <v>8</v>
      </c>
      <c r="G93" s="7">
        <v>2</v>
      </c>
      <c r="H93" s="7">
        <v>255</v>
      </c>
      <c r="I93" s="7">
        <v>217.37799999999999</v>
      </c>
      <c r="J93" s="7">
        <v>35.301000000000002</v>
      </c>
      <c r="K93" s="7">
        <v>0.70799999999999996</v>
      </c>
      <c r="L93" s="7">
        <v>66.179000000000002</v>
      </c>
      <c r="M93" s="7">
        <v>30808.86</v>
      </c>
      <c r="N93" s="7">
        <v>10</v>
      </c>
      <c r="O93" s="7">
        <v>4.5720000000000001</v>
      </c>
      <c r="P93" s="7">
        <v>22.402000000000001</v>
      </c>
      <c r="Q93" s="7">
        <v>100</v>
      </c>
      <c r="R93" s="7">
        <v>316570</v>
      </c>
      <c r="S93" s="7">
        <v>628</v>
      </c>
      <c r="T93" s="7">
        <v>33</v>
      </c>
      <c r="U93" s="7">
        <v>134.61799999999999</v>
      </c>
      <c r="V93" s="7">
        <v>36.612000000000002</v>
      </c>
      <c r="W93" s="7">
        <v>1.8280000000000001</v>
      </c>
      <c r="X93" s="7">
        <v>0.54700000000000004</v>
      </c>
      <c r="Y93" s="7">
        <v>0.91200000000000003</v>
      </c>
      <c r="Z93" s="7">
        <v>0</v>
      </c>
      <c r="AA93" s="7">
        <v>255</v>
      </c>
      <c r="AB93" s="7"/>
      <c r="AC93" s="7"/>
      <c r="AD93" s="8">
        <f t="shared" si="12"/>
        <v>28252.532999999999</v>
      </c>
      <c r="AE93" s="8">
        <f t="shared" si="13"/>
        <v>12.213000000000001</v>
      </c>
      <c r="AF93" s="8">
        <f t="shared" si="14"/>
        <v>290303</v>
      </c>
      <c r="AH93">
        <f>FORECAST(AD93, {0,1}, {0,89000})</f>
        <v>0.317444191011236</v>
      </c>
      <c r="AJ93">
        <v>18</v>
      </c>
    </row>
    <row r="94" spans="1:36" x14ac:dyDescent="0.2">
      <c r="A94" s="7">
        <v>9</v>
      </c>
      <c r="B94" s="7" t="s">
        <v>31</v>
      </c>
      <c r="C94" s="7">
        <v>914.524</v>
      </c>
      <c r="D94" s="7">
        <v>26.414000000000001</v>
      </c>
      <c r="E94" s="7">
        <v>36.293999999999997</v>
      </c>
      <c r="F94" s="7">
        <v>10</v>
      </c>
      <c r="G94" s="7">
        <v>3</v>
      </c>
      <c r="H94" s="7">
        <v>255</v>
      </c>
      <c r="I94" s="7">
        <v>166.333</v>
      </c>
      <c r="J94" s="7">
        <v>110.742</v>
      </c>
      <c r="K94" s="7">
        <v>0.78100000000000003</v>
      </c>
      <c r="L94" s="7">
        <v>41.738999999999997</v>
      </c>
      <c r="M94" s="7">
        <v>24156.103999999999</v>
      </c>
      <c r="N94" s="7">
        <v>13</v>
      </c>
      <c r="O94" s="7">
        <v>3.3820000000000001</v>
      </c>
      <c r="P94" s="7">
        <v>13.417</v>
      </c>
      <c r="Q94" s="7">
        <v>100</v>
      </c>
      <c r="R94" s="7">
        <v>248211</v>
      </c>
      <c r="S94" s="7">
        <v>454</v>
      </c>
      <c r="T94" s="7">
        <v>344</v>
      </c>
      <c r="U94" s="7">
        <v>160.346</v>
      </c>
      <c r="V94" s="7">
        <v>28.94</v>
      </c>
      <c r="W94" s="7">
        <v>1.4019999999999999</v>
      </c>
      <c r="X94" s="7">
        <v>0.71299999999999997</v>
      </c>
      <c r="Y94" s="7">
        <v>0.94599999999999995</v>
      </c>
      <c r="Z94" s="7">
        <v>0</v>
      </c>
      <c r="AA94" s="7">
        <v>255</v>
      </c>
      <c r="AB94" s="7"/>
      <c r="AC94" s="7"/>
      <c r="AD94" s="8">
        <f t="shared" si="12"/>
        <v>21599.776999999998</v>
      </c>
      <c r="AE94" s="8">
        <f t="shared" si="13"/>
        <v>19.065000000000001</v>
      </c>
      <c r="AF94" s="8">
        <f t="shared" si="14"/>
        <v>221944</v>
      </c>
      <c r="AH94">
        <f>FORECAST(AD94, {0,1}, {0,89000})</f>
        <v>0.24269412359550563</v>
      </c>
      <c r="AJ94">
        <v>18</v>
      </c>
    </row>
    <row r="95" spans="1:36" x14ac:dyDescent="0.2">
      <c r="A95" s="7">
        <v>10</v>
      </c>
      <c r="B95" s="7" t="s">
        <v>31</v>
      </c>
      <c r="C95" s="7">
        <v>1246.096</v>
      </c>
      <c r="D95" s="7">
        <v>21.122</v>
      </c>
      <c r="E95" s="7">
        <v>31.756</v>
      </c>
      <c r="F95" s="7">
        <v>9</v>
      </c>
      <c r="G95" s="7">
        <v>2</v>
      </c>
      <c r="H95" s="7">
        <v>255</v>
      </c>
      <c r="I95" s="7">
        <v>182.93100000000001</v>
      </c>
      <c r="J95" s="7">
        <v>136.40799999999999</v>
      </c>
      <c r="K95" s="7">
        <v>0.59499999999999997</v>
      </c>
      <c r="L95" s="7">
        <v>65.965999999999994</v>
      </c>
      <c r="M95" s="7">
        <v>26320.325000000001</v>
      </c>
      <c r="N95" s="7">
        <v>11</v>
      </c>
      <c r="O95" s="7">
        <v>3.8540000000000001</v>
      </c>
      <c r="P95" s="7">
        <v>16.54</v>
      </c>
      <c r="Q95" s="7">
        <v>100</v>
      </c>
      <c r="R95" s="7">
        <v>270449</v>
      </c>
      <c r="S95" s="7">
        <v>531</v>
      </c>
      <c r="T95" s="7">
        <v>507</v>
      </c>
      <c r="U95" s="7">
        <v>54.430999999999997</v>
      </c>
      <c r="V95" s="7">
        <v>27.146000000000001</v>
      </c>
      <c r="W95" s="7">
        <v>2.7160000000000002</v>
      </c>
      <c r="X95" s="7">
        <v>0.36799999999999999</v>
      </c>
      <c r="Y95" s="7">
        <v>0.86</v>
      </c>
      <c r="Z95" s="7">
        <v>0</v>
      </c>
      <c r="AA95" s="7">
        <v>255</v>
      </c>
      <c r="AB95" s="7"/>
      <c r="AC95" s="7"/>
      <c r="AD95" s="8">
        <f t="shared" si="12"/>
        <v>23763.998</v>
      </c>
      <c r="AE95" s="8">
        <f t="shared" si="13"/>
        <v>13.773</v>
      </c>
      <c r="AF95" s="8">
        <f t="shared" si="14"/>
        <v>244182</v>
      </c>
      <c r="AH95">
        <f>FORECAST(AD95, {0,1}, {0,89000})</f>
        <v>0.2670112134831461</v>
      </c>
      <c r="AJ95">
        <v>18</v>
      </c>
    </row>
    <row r="96" spans="1:36" x14ac:dyDescent="0.2">
      <c r="A96" s="7">
        <v>11</v>
      </c>
      <c r="B96" s="7" t="s">
        <v>31</v>
      </c>
      <c r="C96" s="7">
        <v>1365.509</v>
      </c>
      <c r="D96" s="7">
        <v>25.364000000000001</v>
      </c>
      <c r="E96" s="7">
        <v>41.319000000000003</v>
      </c>
      <c r="F96" s="7">
        <v>8</v>
      </c>
      <c r="G96" s="7">
        <v>1</v>
      </c>
      <c r="H96" s="7">
        <v>255</v>
      </c>
      <c r="I96" s="7">
        <v>95.247</v>
      </c>
      <c r="J96" s="7">
        <v>75.188000000000002</v>
      </c>
      <c r="K96" s="7">
        <v>0.67400000000000004</v>
      </c>
      <c r="L96" s="7">
        <v>60.704999999999998</v>
      </c>
      <c r="M96" s="7">
        <v>34634.932000000001</v>
      </c>
      <c r="N96" s="7">
        <v>10</v>
      </c>
      <c r="O96" s="7">
        <v>3.23</v>
      </c>
      <c r="P96" s="7">
        <v>10.759</v>
      </c>
      <c r="Q96" s="7">
        <v>100</v>
      </c>
      <c r="R96" s="7">
        <v>355884</v>
      </c>
      <c r="S96" s="7">
        <v>248</v>
      </c>
      <c r="T96" s="7">
        <v>314</v>
      </c>
      <c r="U96" s="7">
        <v>62.118000000000002</v>
      </c>
      <c r="V96" s="7">
        <v>36.012999999999998</v>
      </c>
      <c r="W96" s="7">
        <v>1.8029999999999999</v>
      </c>
      <c r="X96" s="7">
        <v>0.55500000000000005</v>
      </c>
      <c r="Y96" s="7">
        <v>0.873</v>
      </c>
      <c r="Z96" s="7">
        <v>0</v>
      </c>
      <c r="AA96" s="7">
        <v>255</v>
      </c>
      <c r="AB96" s="7"/>
      <c r="AC96" s="7"/>
      <c r="AD96" s="8">
        <f t="shared" si="12"/>
        <v>32078.605</v>
      </c>
      <c r="AE96" s="8">
        <f t="shared" si="13"/>
        <v>18.015000000000001</v>
      </c>
      <c r="AF96" s="8">
        <f t="shared" si="14"/>
        <v>329617</v>
      </c>
      <c r="AH96">
        <f>FORECAST(AD96, {0,1}, {0,89000})</f>
        <v>0.36043376404494382</v>
      </c>
      <c r="AJ96">
        <v>18</v>
      </c>
    </row>
    <row r="97" spans="1:36" x14ac:dyDescent="0.2">
      <c r="A97" s="7">
        <v>12</v>
      </c>
      <c r="B97" s="7" t="s">
        <v>31</v>
      </c>
      <c r="C97" s="7">
        <v>1110.625</v>
      </c>
      <c r="D97" s="7">
        <v>34.887</v>
      </c>
      <c r="E97" s="7">
        <v>49.72</v>
      </c>
      <c r="F97" s="7">
        <v>9</v>
      </c>
      <c r="G97" s="7">
        <v>2</v>
      </c>
      <c r="H97" s="7">
        <v>255</v>
      </c>
      <c r="I97" s="7">
        <v>104.447</v>
      </c>
      <c r="J97" s="7">
        <v>102.44799999999999</v>
      </c>
      <c r="K97" s="7">
        <v>0.56399999999999995</v>
      </c>
      <c r="L97" s="7">
        <v>67.591999999999999</v>
      </c>
      <c r="M97" s="7">
        <v>38746.250999999997</v>
      </c>
      <c r="N97" s="7">
        <v>13</v>
      </c>
      <c r="O97" s="7">
        <v>2.661</v>
      </c>
      <c r="P97" s="7">
        <v>7.0579999999999998</v>
      </c>
      <c r="Q97" s="7">
        <v>100</v>
      </c>
      <c r="R97" s="7">
        <v>398129</v>
      </c>
      <c r="S97" s="7">
        <v>251</v>
      </c>
      <c r="T97" s="7">
        <v>323</v>
      </c>
      <c r="U97" s="7">
        <v>162.82</v>
      </c>
      <c r="V97" s="7">
        <v>29.026</v>
      </c>
      <c r="W97" s="7">
        <v>2.3769999999999998</v>
      </c>
      <c r="X97" s="7">
        <v>0.42099999999999999</v>
      </c>
      <c r="Y97" s="7">
        <v>0.89600000000000002</v>
      </c>
      <c r="Z97" s="7">
        <v>0</v>
      </c>
      <c r="AA97" s="7">
        <v>255</v>
      </c>
      <c r="AB97" s="7"/>
      <c r="AC97" s="7"/>
      <c r="AD97" s="8">
        <f t="shared" si="12"/>
        <v>36189.923999999999</v>
      </c>
      <c r="AE97" s="8">
        <f t="shared" si="13"/>
        <v>27.538</v>
      </c>
      <c r="AF97" s="8">
        <f t="shared" si="14"/>
        <v>371862</v>
      </c>
      <c r="AH97">
        <f>FORECAST(AD97, {0,1}, {0,89000})</f>
        <v>0.40662835955056181</v>
      </c>
      <c r="AJ97">
        <v>18</v>
      </c>
    </row>
    <row r="98" spans="1:36" x14ac:dyDescent="0.2">
      <c r="A98" s="7">
        <v>13</v>
      </c>
      <c r="B98" s="7" t="s">
        <v>31</v>
      </c>
      <c r="C98" s="7">
        <v>782.654</v>
      </c>
      <c r="D98" s="7">
        <v>24.984000000000002</v>
      </c>
      <c r="E98" s="7">
        <v>30.57</v>
      </c>
      <c r="F98" s="7">
        <v>9</v>
      </c>
      <c r="G98" s="7">
        <v>3</v>
      </c>
      <c r="H98" s="7">
        <v>255</v>
      </c>
      <c r="I98" s="7">
        <v>123.23699999999999</v>
      </c>
      <c r="J98" s="7">
        <v>36.197000000000003</v>
      </c>
      <c r="K98" s="7">
        <v>0.94</v>
      </c>
      <c r="L98" s="7">
        <v>35.820999999999998</v>
      </c>
      <c r="M98" s="7">
        <v>19553.509999999998</v>
      </c>
      <c r="N98" s="7">
        <v>13</v>
      </c>
      <c r="O98" s="7">
        <v>2.9159999999999999</v>
      </c>
      <c r="P98" s="7">
        <v>9.859</v>
      </c>
      <c r="Q98" s="7">
        <v>100</v>
      </c>
      <c r="R98" s="7">
        <v>200918</v>
      </c>
      <c r="S98" s="7">
        <v>367</v>
      </c>
      <c r="T98" s="7">
        <v>71</v>
      </c>
      <c r="U98" s="7">
        <v>123.27500000000001</v>
      </c>
      <c r="V98" s="7">
        <v>30.018000000000001</v>
      </c>
      <c r="W98" s="7">
        <v>1.089</v>
      </c>
      <c r="X98" s="7">
        <v>0.91900000000000004</v>
      </c>
      <c r="Y98" s="7">
        <v>1</v>
      </c>
      <c r="Z98" s="7">
        <v>0</v>
      </c>
      <c r="AA98" s="7">
        <v>255</v>
      </c>
      <c r="AB98" s="7"/>
      <c r="AC98" s="7"/>
      <c r="AD98" s="8">
        <f t="shared" si="12"/>
        <v>16997.182999999997</v>
      </c>
      <c r="AE98" s="8">
        <f t="shared" si="13"/>
        <v>17.635000000000002</v>
      </c>
      <c r="AF98" s="8">
        <f t="shared" si="14"/>
        <v>174651</v>
      </c>
      <c r="AH98">
        <f>FORECAST(AD98, {0,1}, {0,89000})</f>
        <v>0.19097958426966291</v>
      </c>
      <c r="AJ98">
        <v>18</v>
      </c>
    </row>
    <row r="99" spans="1:36" x14ac:dyDescent="0.2">
      <c r="A99" s="7">
        <v>14</v>
      </c>
      <c r="B99" s="7" t="s">
        <v>31</v>
      </c>
      <c r="C99" s="7">
        <v>1715.377</v>
      </c>
      <c r="D99" s="7">
        <v>20.635000000000002</v>
      </c>
      <c r="E99" s="7">
        <v>30.948</v>
      </c>
      <c r="F99" s="7">
        <v>8</v>
      </c>
      <c r="G99" s="7">
        <v>2</v>
      </c>
      <c r="H99" s="7">
        <v>255</v>
      </c>
      <c r="I99" s="7">
        <v>172.76400000000001</v>
      </c>
      <c r="J99" s="7">
        <v>195.40899999999999</v>
      </c>
      <c r="K99" s="7">
        <v>0.83199999999999996</v>
      </c>
      <c r="L99" s="7">
        <v>62.567999999999998</v>
      </c>
      <c r="M99" s="7">
        <v>35396.175000000003</v>
      </c>
      <c r="N99" s="7">
        <v>10</v>
      </c>
      <c r="O99" s="7">
        <v>3.7240000000000002</v>
      </c>
      <c r="P99" s="7">
        <v>16.132999999999999</v>
      </c>
      <c r="Q99" s="7">
        <v>100</v>
      </c>
      <c r="R99" s="7">
        <v>363706</v>
      </c>
      <c r="S99" s="7">
        <v>501</v>
      </c>
      <c r="T99" s="7">
        <v>704</v>
      </c>
      <c r="U99" s="7">
        <v>57.418999999999997</v>
      </c>
      <c r="V99" s="7">
        <v>40.710999999999999</v>
      </c>
      <c r="W99" s="7">
        <v>1.482</v>
      </c>
      <c r="X99" s="7">
        <v>0.67500000000000004</v>
      </c>
      <c r="Y99" s="7">
        <v>0.98799999999999999</v>
      </c>
      <c r="Z99" s="7">
        <v>0</v>
      </c>
      <c r="AA99" s="7">
        <v>255</v>
      </c>
      <c r="AB99" s="7"/>
      <c r="AC99" s="7"/>
      <c r="AD99" s="8">
        <f t="shared" si="12"/>
        <v>32839.848000000005</v>
      </c>
      <c r="AE99" s="8">
        <f t="shared" si="13"/>
        <v>13.286000000000001</v>
      </c>
      <c r="AF99" s="8">
        <f t="shared" si="14"/>
        <v>337439</v>
      </c>
      <c r="AH99">
        <f>FORECAST(AD99, {0,1}, {0,89000})</f>
        <v>0.36898705617977534</v>
      </c>
      <c r="AJ99">
        <v>18</v>
      </c>
    </row>
    <row r="100" spans="1:36" x14ac:dyDescent="0.2">
      <c r="A100" s="7">
        <v>15</v>
      </c>
      <c r="B100" s="7" t="s">
        <v>31</v>
      </c>
      <c r="C100" s="7">
        <v>1169.018</v>
      </c>
      <c r="D100" s="7">
        <v>37.566000000000003</v>
      </c>
      <c r="E100" s="7">
        <v>54.881</v>
      </c>
      <c r="F100" s="7">
        <v>8</v>
      </c>
      <c r="G100" s="7">
        <v>2</v>
      </c>
      <c r="H100" s="7">
        <v>255</v>
      </c>
      <c r="I100" s="7">
        <v>18.710999999999999</v>
      </c>
      <c r="J100" s="7">
        <v>245.27799999999999</v>
      </c>
      <c r="K100" s="7">
        <v>0.501</v>
      </c>
      <c r="L100" s="7">
        <v>66.887</v>
      </c>
      <c r="M100" s="7">
        <v>43915.057999999997</v>
      </c>
      <c r="N100" s="7">
        <v>13</v>
      </c>
      <c r="O100" s="7">
        <v>2.4319999999999999</v>
      </c>
      <c r="P100" s="7">
        <v>5.3390000000000004</v>
      </c>
      <c r="Q100" s="7">
        <v>100</v>
      </c>
      <c r="R100" s="7">
        <v>451240</v>
      </c>
      <c r="S100" s="7">
        <v>7</v>
      </c>
      <c r="T100" s="7">
        <v>724</v>
      </c>
      <c r="U100" s="7">
        <v>145.643</v>
      </c>
      <c r="V100" s="7">
        <v>37.999000000000002</v>
      </c>
      <c r="W100" s="7">
        <v>1.88</v>
      </c>
      <c r="X100" s="7">
        <v>0.53200000000000003</v>
      </c>
      <c r="Y100" s="7">
        <v>0.76200000000000001</v>
      </c>
      <c r="Z100" s="7">
        <v>0</v>
      </c>
      <c r="AA100" s="7">
        <v>255</v>
      </c>
      <c r="AB100" s="7"/>
      <c r="AC100" s="7"/>
      <c r="AD100" s="8">
        <f t="shared" si="12"/>
        <v>41358.731</v>
      </c>
      <c r="AE100" s="8">
        <f t="shared" si="13"/>
        <v>30.217000000000002</v>
      </c>
      <c r="AF100" s="8">
        <f t="shared" si="14"/>
        <v>424973</v>
      </c>
      <c r="AH100">
        <f>FORECAST(AD100, {0,1}, {0,89000})</f>
        <v>0.46470484269662926</v>
      </c>
      <c r="AJ100">
        <v>18</v>
      </c>
    </row>
    <row r="101" spans="1:36" x14ac:dyDescent="0.2">
      <c r="A101" s="7">
        <v>16</v>
      </c>
      <c r="B101" s="7" t="s">
        <v>31</v>
      </c>
      <c r="C101" s="7">
        <v>1089.896</v>
      </c>
      <c r="D101" s="7">
        <v>22.901</v>
      </c>
      <c r="E101" s="7">
        <v>34.051000000000002</v>
      </c>
      <c r="F101" s="7">
        <v>8</v>
      </c>
      <c r="G101" s="7">
        <v>2</v>
      </c>
      <c r="H101" s="7">
        <v>255</v>
      </c>
      <c r="I101" s="7">
        <v>117.812</v>
      </c>
      <c r="J101" s="7">
        <v>152.95699999999999</v>
      </c>
      <c r="K101" s="7">
        <v>0.80600000000000005</v>
      </c>
      <c r="L101" s="7">
        <v>49.009</v>
      </c>
      <c r="M101" s="7">
        <v>24959.683000000001</v>
      </c>
      <c r="N101" s="7">
        <v>11</v>
      </c>
      <c r="O101" s="7">
        <v>3.4569999999999999</v>
      </c>
      <c r="P101" s="7">
        <v>13.486000000000001</v>
      </c>
      <c r="Q101" s="7">
        <v>100</v>
      </c>
      <c r="R101" s="7">
        <v>256468</v>
      </c>
      <c r="S101" s="7">
        <v>319</v>
      </c>
      <c r="T101" s="7">
        <v>571</v>
      </c>
      <c r="U101" s="7">
        <v>58.536000000000001</v>
      </c>
      <c r="V101" s="7">
        <v>34.119999999999997</v>
      </c>
      <c r="W101" s="7">
        <v>1.3080000000000001</v>
      </c>
      <c r="X101" s="7">
        <v>0.76500000000000001</v>
      </c>
      <c r="Y101" s="7">
        <v>0.996</v>
      </c>
      <c r="Z101" s="7">
        <v>0</v>
      </c>
      <c r="AA101" s="7">
        <v>255</v>
      </c>
      <c r="AB101" s="7"/>
      <c r="AC101" s="7"/>
      <c r="AD101" s="8">
        <f t="shared" si="12"/>
        <v>22403.356</v>
      </c>
      <c r="AE101" s="8">
        <f t="shared" si="13"/>
        <v>15.552</v>
      </c>
      <c r="AF101" s="8">
        <f t="shared" si="14"/>
        <v>230201</v>
      </c>
      <c r="AH101">
        <f>FORECAST(AD101, {0,1}, {0,89000})</f>
        <v>0.25172310112359553</v>
      </c>
      <c r="AJ101">
        <v>18</v>
      </c>
    </row>
    <row r="102" spans="1:36" x14ac:dyDescent="0.2">
      <c r="A102" s="7">
        <v>17</v>
      </c>
      <c r="B102" s="7" t="s">
        <v>31</v>
      </c>
      <c r="C102" s="7">
        <v>1503.607</v>
      </c>
      <c r="D102" s="7">
        <v>33.738</v>
      </c>
      <c r="E102" s="7">
        <v>49.847000000000001</v>
      </c>
      <c r="F102" s="7">
        <v>8</v>
      </c>
      <c r="G102" s="7">
        <v>3</v>
      </c>
      <c r="H102" s="7">
        <v>255</v>
      </c>
      <c r="I102" s="7">
        <v>168.07599999999999</v>
      </c>
      <c r="J102" s="7">
        <v>273.37299999999999</v>
      </c>
      <c r="K102" s="7">
        <v>0.72299999999999998</v>
      </c>
      <c r="L102" s="7">
        <v>62.767000000000003</v>
      </c>
      <c r="M102" s="7">
        <v>50728.296000000002</v>
      </c>
      <c r="N102" s="7">
        <v>12</v>
      </c>
      <c r="O102" s="7">
        <v>2.6869999999999998</v>
      </c>
      <c r="P102" s="7">
        <v>7.2450000000000001</v>
      </c>
      <c r="Q102" s="7">
        <v>100</v>
      </c>
      <c r="R102" s="7">
        <v>521248</v>
      </c>
      <c r="S102" s="7">
        <v>408</v>
      </c>
      <c r="T102" s="7">
        <v>871</v>
      </c>
      <c r="U102" s="7">
        <v>2.5640000000000001</v>
      </c>
      <c r="V102" s="7">
        <v>36.576999999999998</v>
      </c>
      <c r="W102" s="7">
        <v>1.927</v>
      </c>
      <c r="X102" s="7">
        <v>0.51900000000000002</v>
      </c>
      <c r="Y102" s="7">
        <v>0.91600000000000004</v>
      </c>
      <c r="Z102" s="7">
        <v>0</v>
      </c>
      <c r="AA102" s="7">
        <v>255</v>
      </c>
      <c r="AB102" s="7"/>
      <c r="AC102" s="7"/>
      <c r="AD102" s="8">
        <f t="shared" si="12"/>
        <v>48171.969000000005</v>
      </c>
      <c r="AE102" s="8">
        <f t="shared" si="13"/>
        <v>26.388999999999999</v>
      </c>
      <c r="AF102" s="8">
        <f t="shared" si="14"/>
        <v>494981</v>
      </c>
      <c r="AH102">
        <f>FORECAST(AD102, {0,1}, {0,89000})</f>
        <v>0.54125807865168551</v>
      </c>
      <c r="AJ102">
        <v>18</v>
      </c>
    </row>
    <row r="103" spans="1:36" x14ac:dyDescent="0.2">
      <c r="A103" s="7">
        <v>18</v>
      </c>
      <c r="B103" s="7" t="s">
        <v>31</v>
      </c>
      <c r="C103" s="7">
        <v>826.83799999999997</v>
      </c>
      <c r="D103" s="7">
        <v>25.748000000000001</v>
      </c>
      <c r="E103" s="7">
        <v>36.68</v>
      </c>
      <c r="F103" s="7">
        <v>10</v>
      </c>
      <c r="G103" s="7">
        <v>4</v>
      </c>
      <c r="H103" s="7">
        <v>255</v>
      </c>
      <c r="I103" s="7">
        <v>76.488</v>
      </c>
      <c r="J103" s="7">
        <v>38.524999999999999</v>
      </c>
      <c r="K103" s="7">
        <v>0.80700000000000005</v>
      </c>
      <c r="L103" s="7">
        <v>42.064</v>
      </c>
      <c r="M103" s="7">
        <v>21289.713</v>
      </c>
      <c r="N103" s="7">
        <v>13</v>
      </c>
      <c r="O103" s="7">
        <v>3.3980000000000001</v>
      </c>
      <c r="P103" s="7">
        <v>12.57</v>
      </c>
      <c r="Q103" s="7">
        <v>100</v>
      </c>
      <c r="R103" s="7">
        <v>218758</v>
      </c>
      <c r="S103" s="7">
        <v>194</v>
      </c>
      <c r="T103" s="7">
        <v>108</v>
      </c>
      <c r="U103" s="7">
        <v>173.613</v>
      </c>
      <c r="V103" s="7">
        <v>27.524000000000001</v>
      </c>
      <c r="W103" s="7">
        <v>1.3779999999999999</v>
      </c>
      <c r="X103" s="7">
        <v>0.72499999999999998</v>
      </c>
      <c r="Y103" s="7">
        <v>0.98299999999999998</v>
      </c>
      <c r="Z103" s="7">
        <v>0</v>
      </c>
      <c r="AA103" s="7">
        <v>255</v>
      </c>
      <c r="AB103" s="7"/>
      <c r="AC103" s="7"/>
      <c r="AD103" s="8">
        <f t="shared" si="12"/>
        <v>18733.385999999999</v>
      </c>
      <c r="AE103" s="8">
        <f t="shared" si="13"/>
        <v>18.399000000000001</v>
      </c>
      <c r="AF103" s="8">
        <f t="shared" si="14"/>
        <v>192491</v>
      </c>
      <c r="AH103">
        <f>FORECAST(AD103, {0,1}, {0,89000})</f>
        <v>0.21048748314606741</v>
      </c>
      <c r="AJ103">
        <v>18</v>
      </c>
    </row>
    <row r="104" spans="1:36" x14ac:dyDescent="0.2">
      <c r="A104" s="7">
        <v>19</v>
      </c>
      <c r="B104" s="7" t="s">
        <v>31</v>
      </c>
      <c r="C104" s="7">
        <v>1383.7080000000001</v>
      </c>
      <c r="D104" s="7">
        <v>31.702999999999999</v>
      </c>
      <c r="E104" s="7">
        <v>49.267000000000003</v>
      </c>
      <c r="F104" s="7">
        <v>10</v>
      </c>
      <c r="G104" s="7">
        <v>3</v>
      </c>
      <c r="H104" s="7">
        <v>255</v>
      </c>
      <c r="I104" s="7">
        <v>140.72499999999999</v>
      </c>
      <c r="J104" s="7">
        <v>239.69</v>
      </c>
      <c r="K104" s="7">
        <v>0.64100000000000001</v>
      </c>
      <c r="L104" s="7">
        <v>58.13</v>
      </c>
      <c r="M104" s="7">
        <v>43868.343999999997</v>
      </c>
      <c r="N104" s="7">
        <v>13</v>
      </c>
      <c r="O104" s="7">
        <v>2.9119999999999999</v>
      </c>
      <c r="P104" s="7">
        <v>8.2390000000000008</v>
      </c>
      <c r="Q104" s="7">
        <v>100</v>
      </c>
      <c r="R104" s="7">
        <v>450760</v>
      </c>
      <c r="S104" s="7">
        <v>375</v>
      </c>
      <c r="T104" s="7">
        <v>741</v>
      </c>
      <c r="U104" s="7">
        <v>159.91200000000001</v>
      </c>
      <c r="V104" s="7">
        <v>41.295000000000002</v>
      </c>
      <c r="W104" s="7">
        <v>1.151</v>
      </c>
      <c r="X104" s="7">
        <v>0.86899999999999999</v>
      </c>
      <c r="Y104" s="7">
        <v>0.86299999999999999</v>
      </c>
      <c r="Z104" s="7">
        <v>0</v>
      </c>
      <c r="AA104" s="7">
        <v>255</v>
      </c>
      <c r="AB104" s="7"/>
      <c r="AC104" s="7"/>
      <c r="AD104" s="8">
        <f t="shared" si="12"/>
        <v>41312.017</v>
      </c>
      <c r="AE104" s="8">
        <f t="shared" si="13"/>
        <v>24.353999999999999</v>
      </c>
      <c r="AF104" s="8">
        <f t="shared" si="14"/>
        <v>424493</v>
      </c>
      <c r="AH104">
        <f>FORECAST(AD104, {0,1}, {0,89000})</f>
        <v>0.46417996629213487</v>
      </c>
      <c r="AJ104">
        <v>18</v>
      </c>
    </row>
    <row r="105" spans="1:36" x14ac:dyDescent="0.2">
      <c r="A105" s="7">
        <v>20</v>
      </c>
      <c r="B105" s="7" t="s">
        <v>31</v>
      </c>
      <c r="C105" s="7">
        <v>2007.6320000000001</v>
      </c>
      <c r="D105" s="7">
        <v>18.37</v>
      </c>
      <c r="E105" s="7">
        <v>32.540999999999997</v>
      </c>
      <c r="F105" s="7">
        <v>9</v>
      </c>
      <c r="G105" s="7">
        <v>2</v>
      </c>
      <c r="H105" s="7">
        <v>255</v>
      </c>
      <c r="I105" s="7">
        <v>288.375</v>
      </c>
      <c r="J105" s="7">
        <v>63.152999999999999</v>
      </c>
      <c r="K105" s="7">
        <v>0.70899999999999996</v>
      </c>
      <c r="L105" s="7">
        <v>74.376000000000005</v>
      </c>
      <c r="M105" s="7">
        <v>36880.317999999999</v>
      </c>
      <c r="N105" s="7">
        <v>10</v>
      </c>
      <c r="O105" s="7">
        <v>4.7539999999999996</v>
      </c>
      <c r="P105" s="7">
        <v>24.492000000000001</v>
      </c>
      <c r="Q105" s="7">
        <v>100</v>
      </c>
      <c r="R105" s="7">
        <v>378956</v>
      </c>
      <c r="S105" s="7">
        <v>839</v>
      </c>
      <c r="T105" s="7">
        <v>285</v>
      </c>
      <c r="U105" s="7">
        <v>40.235999999999997</v>
      </c>
      <c r="V105" s="7">
        <v>42.518999999999998</v>
      </c>
      <c r="W105" s="7">
        <v>1.508</v>
      </c>
      <c r="X105" s="7">
        <v>0.66300000000000003</v>
      </c>
      <c r="Y105" s="7">
        <v>0.91500000000000004</v>
      </c>
      <c r="Z105" s="7">
        <v>0</v>
      </c>
      <c r="AA105" s="7">
        <v>255</v>
      </c>
      <c r="AB105" s="7"/>
      <c r="AC105" s="7"/>
      <c r="AD105" s="8">
        <f t="shared" si="12"/>
        <v>34323.991000000002</v>
      </c>
      <c r="AE105" s="8">
        <f t="shared" si="13"/>
        <v>11.021000000000001</v>
      </c>
      <c r="AF105" s="8">
        <f t="shared" si="14"/>
        <v>352689</v>
      </c>
      <c r="AH105">
        <f>FORECAST(AD105, {0,1}, {0,89000})</f>
        <v>0.38566282022471915</v>
      </c>
      <c r="AJ105">
        <v>18</v>
      </c>
    </row>
    <row r="106" spans="1:36" x14ac:dyDescent="0.2">
      <c r="A106" s="7">
        <v>21</v>
      </c>
      <c r="B106" s="7" t="s">
        <v>27</v>
      </c>
      <c r="C106" s="7">
        <v>347.82499999999999</v>
      </c>
      <c r="D106" s="7">
        <v>7.3490000000000002</v>
      </c>
      <c r="E106" s="7">
        <v>2.601</v>
      </c>
      <c r="F106" s="7">
        <v>6</v>
      </c>
      <c r="G106" s="7">
        <v>1</v>
      </c>
      <c r="H106" s="7">
        <v>23</v>
      </c>
      <c r="I106" s="7">
        <v>280.05700000000002</v>
      </c>
      <c r="J106" s="7">
        <v>207.31</v>
      </c>
      <c r="K106" s="7">
        <v>0.92500000000000004</v>
      </c>
      <c r="L106" s="7">
        <v>23.637</v>
      </c>
      <c r="M106" s="7">
        <v>2556.3270000000002</v>
      </c>
      <c r="N106" s="7">
        <v>7</v>
      </c>
      <c r="O106" s="7">
        <v>0.98499999999999999</v>
      </c>
      <c r="P106" s="7">
        <v>1.5680000000000001</v>
      </c>
      <c r="Q106" s="7">
        <v>100</v>
      </c>
      <c r="R106" s="7">
        <v>26267</v>
      </c>
      <c r="S106" s="7">
        <v>864</v>
      </c>
      <c r="T106" s="7">
        <v>651</v>
      </c>
      <c r="U106" s="7">
        <v>157.49600000000001</v>
      </c>
      <c r="V106" s="7">
        <v>20.396999999999998</v>
      </c>
      <c r="W106" s="7">
        <v>1.042</v>
      </c>
      <c r="X106" s="7">
        <v>0.96</v>
      </c>
      <c r="Y106" s="7">
        <v>1.0009999999999999</v>
      </c>
      <c r="Z106" s="7">
        <v>0</v>
      </c>
      <c r="AA106" s="7">
        <v>255</v>
      </c>
      <c r="AB106" s="7"/>
      <c r="AC106" s="7"/>
      <c r="AD106">
        <f>AVERAGE(AD86:AD105)</f>
        <v>36233.825150000004</v>
      </c>
      <c r="AE106">
        <f>AVERAGE(AE86:AE105)</f>
        <v>20.1309</v>
      </c>
      <c r="AF106">
        <f>AVERAGE(AF86:AF105)</f>
        <v>372313.1</v>
      </c>
      <c r="AH106">
        <f>FORECAST(AD106, {0,1}, {0,89000})</f>
        <v>0.40712163089887649</v>
      </c>
      <c r="AJ106">
        <v>18</v>
      </c>
    </row>
    <row r="107" spans="1:36" x14ac:dyDescent="0.2">
      <c r="A107" s="9">
        <v>1</v>
      </c>
      <c r="B107" s="9" t="s">
        <v>32</v>
      </c>
      <c r="C107" s="9">
        <v>353.56700000000001</v>
      </c>
      <c r="D107" s="9">
        <v>26.064</v>
      </c>
      <c r="E107" s="9">
        <v>43.192</v>
      </c>
      <c r="F107" s="9">
        <v>6</v>
      </c>
      <c r="G107" s="9">
        <v>0</v>
      </c>
      <c r="H107" s="9">
        <v>255</v>
      </c>
      <c r="I107" s="9">
        <v>170.27699999999999</v>
      </c>
      <c r="J107" s="9">
        <v>26.501999999999999</v>
      </c>
      <c r="K107" s="9">
        <v>0.81</v>
      </c>
      <c r="L107" s="9">
        <v>27.622</v>
      </c>
      <c r="M107" s="9">
        <v>9215.4079999999994</v>
      </c>
      <c r="N107" s="9">
        <v>9</v>
      </c>
      <c r="O107" s="9">
        <v>2.9820000000000002</v>
      </c>
      <c r="P107" s="9">
        <v>9.2289999999999992</v>
      </c>
      <c r="Q107" s="9">
        <v>97.578000000000003</v>
      </c>
      <c r="R107" s="9">
        <v>94691</v>
      </c>
      <c r="S107" s="9">
        <v>529</v>
      </c>
      <c r="T107" s="9">
        <v>119</v>
      </c>
      <c r="U107" s="9">
        <v>71.564999999999998</v>
      </c>
      <c r="V107" s="9">
        <v>17.911000000000001</v>
      </c>
      <c r="W107" s="9">
        <v>1.4990000000000001</v>
      </c>
      <c r="X107" s="9">
        <v>0.66700000000000004</v>
      </c>
      <c r="Y107" s="9">
        <v>0.98799999999999999</v>
      </c>
      <c r="Z107" s="9">
        <v>0</v>
      </c>
      <c r="AA107" s="9">
        <v>255</v>
      </c>
      <c r="AB107" s="9"/>
      <c r="AC107" s="9"/>
      <c r="AD107" s="10">
        <f>M107-M$127</f>
        <v>6991.4319999999989</v>
      </c>
      <c r="AE107" s="10">
        <f>D107-D$127</f>
        <v>21.463999999999999</v>
      </c>
      <c r="AF107" s="10">
        <f>R107-R$127</f>
        <v>71839</v>
      </c>
      <c r="AH107">
        <f>FORECAST(AD107, {0,1}, {0,89000})</f>
        <v>7.8555415730337072E-2</v>
      </c>
      <c r="AJ107">
        <v>24</v>
      </c>
    </row>
    <row r="108" spans="1:36" x14ac:dyDescent="0.2">
      <c r="A108" s="9">
        <v>2</v>
      </c>
      <c r="B108" s="9" t="s">
        <v>32</v>
      </c>
      <c r="C108" s="9">
        <v>590.73800000000006</v>
      </c>
      <c r="D108" s="9">
        <v>23.143000000000001</v>
      </c>
      <c r="E108" s="9">
        <v>30.486999999999998</v>
      </c>
      <c r="F108" s="9">
        <v>7</v>
      </c>
      <c r="G108" s="9">
        <v>0</v>
      </c>
      <c r="H108" s="9">
        <v>255</v>
      </c>
      <c r="I108" s="9">
        <v>150.52799999999999</v>
      </c>
      <c r="J108" s="9">
        <v>48.029000000000003</v>
      </c>
      <c r="K108" s="9">
        <v>0.622</v>
      </c>
      <c r="L108" s="9">
        <v>43.076000000000001</v>
      </c>
      <c r="M108" s="9">
        <v>13671.438</v>
      </c>
      <c r="N108" s="9">
        <v>11</v>
      </c>
      <c r="O108" s="9">
        <v>2.63</v>
      </c>
      <c r="P108" s="9">
        <v>8.2319999999999993</v>
      </c>
      <c r="Q108" s="9">
        <v>98.450999999999993</v>
      </c>
      <c r="R108" s="9">
        <v>140478</v>
      </c>
      <c r="S108" s="9">
        <v>423</v>
      </c>
      <c r="T108" s="9">
        <v>125</v>
      </c>
      <c r="U108" s="9">
        <v>167.876</v>
      </c>
      <c r="V108" s="9">
        <v>23.837</v>
      </c>
      <c r="W108" s="9">
        <v>1.7549999999999999</v>
      </c>
      <c r="X108" s="9">
        <v>0.56999999999999995</v>
      </c>
      <c r="Y108" s="9">
        <v>0.89800000000000002</v>
      </c>
      <c r="Z108" s="9">
        <v>0</v>
      </c>
      <c r="AA108" s="9">
        <v>255</v>
      </c>
      <c r="AB108" s="9"/>
      <c r="AC108" s="9"/>
      <c r="AD108" s="10">
        <f t="shared" ref="AD108:AD126" si="15">M108-M$127</f>
        <v>11447.462</v>
      </c>
      <c r="AE108" s="10">
        <f t="shared" ref="AE108:AE126" si="16">D108-D$127</f>
        <v>18.542999999999999</v>
      </c>
      <c r="AF108" s="10">
        <f t="shared" ref="AF108:AF126" si="17">R108-R$127</f>
        <v>117626</v>
      </c>
      <c r="AH108">
        <f>FORECAST(AD108, {0,1}, {0,89000})</f>
        <v>0.12862316853932584</v>
      </c>
      <c r="AJ108">
        <v>24</v>
      </c>
    </row>
    <row r="109" spans="1:36" x14ac:dyDescent="0.2">
      <c r="A109" s="9">
        <v>3</v>
      </c>
      <c r="B109" s="9" t="s">
        <v>32</v>
      </c>
      <c r="C109" s="9">
        <v>726.40300000000002</v>
      </c>
      <c r="D109" s="9">
        <v>24.617999999999999</v>
      </c>
      <c r="E109" s="9">
        <v>32.442999999999998</v>
      </c>
      <c r="F109" s="9">
        <v>6</v>
      </c>
      <c r="G109" s="9">
        <v>0</v>
      </c>
      <c r="H109" s="9">
        <v>255</v>
      </c>
      <c r="I109" s="9">
        <v>177.892</v>
      </c>
      <c r="J109" s="9">
        <v>53.002000000000002</v>
      </c>
      <c r="K109" s="9">
        <v>0.52900000000000003</v>
      </c>
      <c r="L109" s="9">
        <v>59.015000000000001</v>
      </c>
      <c r="M109" s="9">
        <v>17882.413</v>
      </c>
      <c r="N109" s="9">
        <v>10</v>
      </c>
      <c r="O109" s="9">
        <v>2.423</v>
      </c>
      <c r="P109" s="9">
        <v>6.8810000000000002</v>
      </c>
      <c r="Q109" s="9">
        <v>98.311999999999998</v>
      </c>
      <c r="R109" s="9">
        <v>183747</v>
      </c>
      <c r="S109" s="9">
        <v>463</v>
      </c>
      <c r="T109" s="9">
        <v>205</v>
      </c>
      <c r="U109" s="9">
        <v>16.902000000000001</v>
      </c>
      <c r="V109" s="9">
        <v>18.280999999999999</v>
      </c>
      <c r="W109" s="9">
        <v>3.4340000000000002</v>
      </c>
      <c r="X109" s="9">
        <v>0.29099999999999998</v>
      </c>
      <c r="Y109" s="9">
        <v>0.93500000000000005</v>
      </c>
      <c r="Z109" s="9">
        <v>0</v>
      </c>
      <c r="AA109" s="9">
        <v>255</v>
      </c>
      <c r="AB109" s="9"/>
      <c r="AC109" s="9"/>
      <c r="AD109" s="10">
        <f t="shared" si="15"/>
        <v>15658.437</v>
      </c>
      <c r="AE109" s="10">
        <f t="shared" si="16"/>
        <v>20.018000000000001</v>
      </c>
      <c r="AF109" s="10">
        <f t="shared" si="17"/>
        <v>160895</v>
      </c>
      <c r="AH109">
        <f>FORECAST(AD109, {0,1}, {0,89000})</f>
        <v>0.1759374943820225</v>
      </c>
      <c r="AJ109">
        <v>24</v>
      </c>
    </row>
    <row r="110" spans="1:36" x14ac:dyDescent="0.2">
      <c r="A110" s="9">
        <v>4</v>
      </c>
      <c r="B110" s="9" t="s">
        <v>32</v>
      </c>
      <c r="C110" s="9">
        <v>557.06500000000005</v>
      </c>
      <c r="D110" s="9">
        <v>27.666</v>
      </c>
      <c r="E110" s="9">
        <v>37.33</v>
      </c>
      <c r="F110" s="9">
        <v>7</v>
      </c>
      <c r="G110" s="9">
        <v>0</v>
      </c>
      <c r="H110" s="9">
        <v>255</v>
      </c>
      <c r="I110" s="9">
        <v>267.16000000000003</v>
      </c>
      <c r="J110" s="9">
        <v>30.260999999999999</v>
      </c>
      <c r="K110" s="9">
        <v>0.52700000000000002</v>
      </c>
      <c r="L110" s="9">
        <v>49.365000000000002</v>
      </c>
      <c r="M110" s="9">
        <v>15411.825999999999</v>
      </c>
      <c r="N110" s="9">
        <v>13</v>
      </c>
      <c r="O110" s="9">
        <v>2.847</v>
      </c>
      <c r="P110" s="9">
        <v>9.4130000000000003</v>
      </c>
      <c r="Q110" s="9">
        <v>99.266000000000005</v>
      </c>
      <c r="R110" s="9">
        <v>158361</v>
      </c>
      <c r="S110" s="9">
        <v>828</v>
      </c>
      <c r="T110" s="9">
        <v>163</v>
      </c>
      <c r="U110" s="9">
        <v>73.855999999999995</v>
      </c>
      <c r="V110" s="9">
        <v>16.885999999999999</v>
      </c>
      <c r="W110" s="9">
        <v>2.8</v>
      </c>
      <c r="X110" s="9">
        <v>0.35699999999999998</v>
      </c>
      <c r="Y110" s="9">
        <v>0.88300000000000001</v>
      </c>
      <c r="Z110" s="9">
        <v>0</v>
      </c>
      <c r="AA110" s="9">
        <v>255</v>
      </c>
      <c r="AB110" s="9"/>
      <c r="AC110" s="9"/>
      <c r="AD110" s="10">
        <f t="shared" si="15"/>
        <v>13187.849999999999</v>
      </c>
      <c r="AE110" s="10">
        <f t="shared" si="16"/>
        <v>23.066000000000003</v>
      </c>
      <c r="AF110" s="10">
        <f t="shared" si="17"/>
        <v>135509</v>
      </c>
      <c r="AH110">
        <f>FORECAST(AD110, {0,1}, {0,89000})</f>
        <v>0.14817808988764045</v>
      </c>
      <c r="AJ110">
        <v>24</v>
      </c>
    </row>
    <row r="111" spans="1:36" x14ac:dyDescent="0.2">
      <c r="A111" s="9">
        <v>5</v>
      </c>
      <c r="B111" s="9" t="s">
        <v>32</v>
      </c>
      <c r="C111" s="9">
        <v>829.17399999999998</v>
      </c>
      <c r="D111" s="9">
        <v>19.248000000000001</v>
      </c>
      <c r="E111" s="9">
        <v>30.673999999999999</v>
      </c>
      <c r="F111" s="9">
        <v>5</v>
      </c>
      <c r="G111" s="9">
        <v>0</v>
      </c>
      <c r="H111" s="9">
        <v>255</v>
      </c>
      <c r="I111" s="9">
        <v>57.792999999999999</v>
      </c>
      <c r="J111" s="9">
        <v>180.07499999999999</v>
      </c>
      <c r="K111" s="9">
        <v>0.69099999999999995</v>
      </c>
      <c r="L111" s="9">
        <v>46.273000000000003</v>
      </c>
      <c r="M111" s="9">
        <v>15960.326999999999</v>
      </c>
      <c r="N111" s="9">
        <v>8</v>
      </c>
      <c r="O111" s="9">
        <v>2.996</v>
      </c>
      <c r="P111" s="9">
        <v>10.042999999999999</v>
      </c>
      <c r="Q111" s="9">
        <v>95.703999999999994</v>
      </c>
      <c r="R111" s="9">
        <v>163997</v>
      </c>
      <c r="S111" s="9">
        <v>122</v>
      </c>
      <c r="T111" s="9">
        <v>578</v>
      </c>
      <c r="U111" s="9">
        <v>160.71</v>
      </c>
      <c r="V111" s="9">
        <v>25.579000000000001</v>
      </c>
      <c r="W111" s="9">
        <v>1.855</v>
      </c>
      <c r="X111" s="9">
        <v>0.53900000000000003</v>
      </c>
      <c r="Y111" s="9">
        <v>0.91400000000000003</v>
      </c>
      <c r="Z111" s="9">
        <v>0</v>
      </c>
      <c r="AA111" s="9">
        <v>255</v>
      </c>
      <c r="AB111" s="9"/>
      <c r="AC111" s="9"/>
      <c r="AD111" s="10">
        <f t="shared" si="15"/>
        <v>13736.350999999999</v>
      </c>
      <c r="AE111" s="10">
        <f t="shared" si="16"/>
        <v>14.648000000000001</v>
      </c>
      <c r="AF111" s="10">
        <f t="shared" si="17"/>
        <v>141145</v>
      </c>
      <c r="AH111">
        <f>FORECAST(AD111, {0,1}, {0,89000})</f>
        <v>0.15434102247191012</v>
      </c>
      <c r="AJ111">
        <v>24</v>
      </c>
    </row>
    <row r="112" spans="1:36" x14ac:dyDescent="0.2">
      <c r="A112" s="9">
        <v>6</v>
      </c>
      <c r="B112" s="9" t="s">
        <v>32</v>
      </c>
      <c r="C112" s="9">
        <v>668.59400000000005</v>
      </c>
      <c r="D112" s="9">
        <v>20.007999999999999</v>
      </c>
      <c r="E112" s="9">
        <v>33.837000000000003</v>
      </c>
      <c r="F112" s="9">
        <v>6</v>
      </c>
      <c r="G112" s="9">
        <v>0</v>
      </c>
      <c r="H112" s="9">
        <v>255</v>
      </c>
      <c r="I112" s="9">
        <v>83.703999999999994</v>
      </c>
      <c r="J112" s="9">
        <v>211.06700000000001</v>
      </c>
      <c r="K112" s="9">
        <v>0.79500000000000004</v>
      </c>
      <c r="L112" s="9">
        <v>36.945999999999998</v>
      </c>
      <c r="M112" s="9">
        <v>13377.334000000001</v>
      </c>
      <c r="N112" s="9">
        <v>8</v>
      </c>
      <c r="O112" s="9">
        <v>3.3940000000000001</v>
      </c>
      <c r="P112" s="9">
        <v>13.031000000000001</v>
      </c>
      <c r="Q112" s="9">
        <v>96.477000000000004</v>
      </c>
      <c r="R112" s="9">
        <v>137456</v>
      </c>
      <c r="S112" s="9">
        <v>215</v>
      </c>
      <c r="T112" s="9">
        <v>711</v>
      </c>
      <c r="U112" s="9">
        <v>33.287999999999997</v>
      </c>
      <c r="V112" s="9">
        <v>24.22</v>
      </c>
      <c r="W112" s="9">
        <v>1.5069999999999999</v>
      </c>
      <c r="X112" s="9">
        <v>0.66300000000000003</v>
      </c>
      <c r="Y112" s="9">
        <v>0.97499999999999998</v>
      </c>
      <c r="Z112" s="9">
        <v>0</v>
      </c>
      <c r="AA112" s="9">
        <v>255</v>
      </c>
      <c r="AB112" s="9"/>
      <c r="AC112" s="9"/>
      <c r="AD112" s="10">
        <f t="shared" si="15"/>
        <v>11153.358</v>
      </c>
      <c r="AE112" s="10">
        <f t="shared" si="16"/>
        <v>15.407999999999999</v>
      </c>
      <c r="AF112" s="10">
        <f t="shared" si="17"/>
        <v>114604</v>
      </c>
      <c r="AH112">
        <f>FORECAST(AD112, {0,1}, {0,89000})</f>
        <v>0.12531862921348316</v>
      </c>
      <c r="AJ112">
        <v>24</v>
      </c>
    </row>
    <row r="113" spans="1:36" x14ac:dyDescent="0.2">
      <c r="A113" s="9">
        <v>7</v>
      </c>
      <c r="B113" s="9" t="s">
        <v>32</v>
      </c>
      <c r="C113" s="9">
        <v>1499.0329999999999</v>
      </c>
      <c r="D113" s="9">
        <v>19.221</v>
      </c>
      <c r="E113" s="9">
        <v>28.14</v>
      </c>
      <c r="F113" s="9">
        <v>6</v>
      </c>
      <c r="G113" s="9">
        <v>0</v>
      </c>
      <c r="H113" s="9">
        <v>255</v>
      </c>
      <c r="I113" s="9">
        <v>54.131</v>
      </c>
      <c r="J113" s="9">
        <v>46.94</v>
      </c>
      <c r="K113" s="9">
        <v>0.77400000000000002</v>
      </c>
      <c r="L113" s="9">
        <v>59.28</v>
      </c>
      <c r="M113" s="9">
        <v>28812.615000000002</v>
      </c>
      <c r="N113" s="9">
        <v>10</v>
      </c>
      <c r="O113" s="9">
        <v>3.6880000000000002</v>
      </c>
      <c r="P113" s="9">
        <v>16.824000000000002</v>
      </c>
      <c r="Q113" s="9">
        <v>98.409000000000006</v>
      </c>
      <c r="R113" s="9">
        <v>296058</v>
      </c>
      <c r="S113" s="9">
        <v>90</v>
      </c>
      <c r="T113" s="9">
        <v>166</v>
      </c>
      <c r="U113" s="9">
        <v>179.095</v>
      </c>
      <c r="V113" s="9">
        <v>37.970999999999997</v>
      </c>
      <c r="W113" s="9">
        <v>1.645</v>
      </c>
      <c r="X113" s="9">
        <v>0.60799999999999998</v>
      </c>
      <c r="Y113" s="9">
        <v>0.93200000000000005</v>
      </c>
      <c r="Z113" s="9">
        <v>0</v>
      </c>
      <c r="AA113" s="9">
        <v>255</v>
      </c>
      <c r="AB113" s="9"/>
      <c r="AC113" s="9"/>
      <c r="AD113" s="10">
        <f t="shared" si="15"/>
        <v>26588.639000000003</v>
      </c>
      <c r="AE113" s="10">
        <f t="shared" si="16"/>
        <v>14.621</v>
      </c>
      <c r="AF113" s="10">
        <f t="shared" si="17"/>
        <v>273206</v>
      </c>
      <c r="AH113">
        <f>FORECAST(AD113, {0,1}, {0,89000})</f>
        <v>0.29874875280898883</v>
      </c>
      <c r="AJ113">
        <v>24</v>
      </c>
    </row>
    <row r="114" spans="1:36" x14ac:dyDescent="0.2">
      <c r="A114" s="9">
        <v>8</v>
      </c>
      <c r="B114" s="9" t="s">
        <v>32</v>
      </c>
      <c r="C114" s="9">
        <v>940.50900000000001</v>
      </c>
      <c r="D114" s="9">
        <v>19.154</v>
      </c>
      <c r="E114" s="9">
        <v>28.402000000000001</v>
      </c>
      <c r="F114" s="9">
        <v>6</v>
      </c>
      <c r="G114" s="9">
        <v>0</v>
      </c>
      <c r="H114" s="9">
        <v>255</v>
      </c>
      <c r="I114" s="9">
        <v>308.50700000000001</v>
      </c>
      <c r="J114" s="9">
        <v>95.933999999999997</v>
      </c>
      <c r="K114" s="9">
        <v>0.502</v>
      </c>
      <c r="L114" s="9">
        <v>57.228999999999999</v>
      </c>
      <c r="M114" s="9">
        <v>18014.477999999999</v>
      </c>
      <c r="N114" s="9">
        <v>9</v>
      </c>
      <c r="O114" s="9">
        <v>3.0680000000000001</v>
      </c>
      <c r="P114" s="9">
        <v>11.087</v>
      </c>
      <c r="Q114" s="9">
        <v>95.83</v>
      </c>
      <c r="R114" s="9">
        <v>185104</v>
      </c>
      <c r="S114" s="9">
        <v>991</v>
      </c>
      <c r="T114" s="9">
        <v>430</v>
      </c>
      <c r="U114" s="9">
        <v>82.798000000000002</v>
      </c>
      <c r="V114" s="9">
        <v>33.380000000000003</v>
      </c>
      <c r="W114" s="9">
        <v>1.9950000000000001</v>
      </c>
      <c r="X114" s="9">
        <v>0.501</v>
      </c>
      <c r="Y114" s="9">
        <v>0.80400000000000005</v>
      </c>
      <c r="Z114" s="9">
        <v>0</v>
      </c>
      <c r="AA114" s="9">
        <v>255</v>
      </c>
      <c r="AB114" s="9"/>
      <c r="AC114" s="9"/>
      <c r="AD114" s="10">
        <f t="shared" si="15"/>
        <v>15790.501999999999</v>
      </c>
      <c r="AE114" s="10">
        <f t="shared" si="16"/>
        <v>14.554</v>
      </c>
      <c r="AF114" s="10">
        <f t="shared" si="17"/>
        <v>162252</v>
      </c>
      <c r="AH114">
        <f>FORECAST(AD114, {0,1}, {0,89000})</f>
        <v>0.17742137078651685</v>
      </c>
      <c r="AJ114">
        <v>24</v>
      </c>
    </row>
    <row r="115" spans="1:36" x14ac:dyDescent="0.2">
      <c r="A115" s="9">
        <v>9</v>
      </c>
      <c r="B115" s="9" t="s">
        <v>32</v>
      </c>
      <c r="C115" s="9">
        <v>2739.971</v>
      </c>
      <c r="D115" s="9">
        <v>18.48</v>
      </c>
      <c r="E115" s="9">
        <v>20.663</v>
      </c>
      <c r="F115" s="9">
        <v>7</v>
      </c>
      <c r="G115" s="9">
        <v>0</v>
      </c>
      <c r="H115" s="9">
        <v>251</v>
      </c>
      <c r="I115" s="9">
        <v>280.78399999999999</v>
      </c>
      <c r="J115" s="9">
        <v>61.718000000000004</v>
      </c>
      <c r="K115" s="9">
        <v>0.43</v>
      </c>
      <c r="L115" s="9">
        <v>115.304</v>
      </c>
      <c r="M115" s="9">
        <v>50633.311000000002</v>
      </c>
      <c r="N115" s="9">
        <v>11</v>
      </c>
      <c r="O115" s="9">
        <v>3.427</v>
      </c>
      <c r="P115" s="9">
        <v>18.452000000000002</v>
      </c>
      <c r="Q115" s="9">
        <v>99.286000000000001</v>
      </c>
      <c r="R115" s="9">
        <v>520272</v>
      </c>
      <c r="S115" s="9">
        <v>700</v>
      </c>
      <c r="T115" s="9">
        <v>304</v>
      </c>
      <c r="U115" s="9">
        <v>36.529000000000003</v>
      </c>
      <c r="V115" s="9">
        <v>48.673000000000002</v>
      </c>
      <c r="W115" s="9">
        <v>2.8849999999999998</v>
      </c>
      <c r="X115" s="9">
        <v>0.34699999999999998</v>
      </c>
      <c r="Y115" s="9">
        <v>0.70399999999999996</v>
      </c>
      <c r="Z115" s="9">
        <v>0</v>
      </c>
      <c r="AA115" s="9">
        <v>255</v>
      </c>
      <c r="AB115" s="9"/>
      <c r="AC115" s="9"/>
      <c r="AD115" s="10">
        <f t="shared" si="15"/>
        <v>48409.334999999999</v>
      </c>
      <c r="AE115" s="10">
        <f t="shared" si="16"/>
        <v>13.88</v>
      </c>
      <c r="AF115" s="10">
        <f t="shared" si="17"/>
        <v>497420</v>
      </c>
      <c r="AH115">
        <f>FORECAST(AD115, {0,1}, {0,89000})</f>
        <v>0.54392511235955054</v>
      </c>
      <c r="AJ115">
        <v>24</v>
      </c>
    </row>
    <row r="116" spans="1:36" x14ac:dyDescent="0.2">
      <c r="A116" s="9">
        <v>10</v>
      </c>
      <c r="B116" s="9" t="s">
        <v>32</v>
      </c>
      <c r="C116" s="9">
        <v>690.10199999999998</v>
      </c>
      <c r="D116" s="9">
        <v>21.655999999999999</v>
      </c>
      <c r="E116" s="9">
        <v>30.718</v>
      </c>
      <c r="F116" s="9">
        <v>6</v>
      </c>
      <c r="G116" s="9">
        <v>0</v>
      </c>
      <c r="H116" s="9">
        <v>255</v>
      </c>
      <c r="I116" s="9">
        <v>212.92500000000001</v>
      </c>
      <c r="J116" s="9">
        <v>166.37100000000001</v>
      </c>
      <c r="K116" s="9">
        <v>0.91300000000000003</v>
      </c>
      <c r="L116" s="9">
        <v>33.134</v>
      </c>
      <c r="M116" s="9">
        <v>14945.173000000001</v>
      </c>
      <c r="N116" s="9">
        <v>9</v>
      </c>
      <c r="O116" s="9">
        <v>2.4929999999999999</v>
      </c>
      <c r="P116" s="9">
        <v>6.5810000000000004</v>
      </c>
      <c r="Q116" s="9">
        <v>96.122</v>
      </c>
      <c r="R116" s="9">
        <v>153566</v>
      </c>
      <c r="S116" s="9">
        <v>682</v>
      </c>
      <c r="T116" s="9">
        <v>478</v>
      </c>
      <c r="U116" s="9">
        <v>98.664000000000001</v>
      </c>
      <c r="V116" s="9">
        <v>28.065000000000001</v>
      </c>
      <c r="W116" s="9">
        <v>1.0589999999999999</v>
      </c>
      <c r="X116" s="9">
        <v>0.94399999999999995</v>
      </c>
      <c r="Y116" s="9">
        <v>0.999</v>
      </c>
      <c r="Z116" s="9">
        <v>0</v>
      </c>
      <c r="AA116" s="9">
        <v>255</v>
      </c>
      <c r="AB116" s="9"/>
      <c r="AC116" s="9"/>
      <c r="AD116" s="10">
        <f t="shared" si="15"/>
        <v>12721.197</v>
      </c>
      <c r="AE116" s="10">
        <f t="shared" si="16"/>
        <v>17.055999999999997</v>
      </c>
      <c r="AF116" s="10">
        <f t="shared" si="17"/>
        <v>130714</v>
      </c>
      <c r="AH116">
        <f>FORECAST(AD116, {0,1}, {0,89000})</f>
        <v>0.14293479775280901</v>
      </c>
      <c r="AJ116">
        <v>24</v>
      </c>
    </row>
    <row r="117" spans="1:36" x14ac:dyDescent="0.2">
      <c r="A117" s="9">
        <v>11</v>
      </c>
      <c r="B117" s="9" t="s">
        <v>32</v>
      </c>
      <c r="C117" s="9">
        <v>847.08100000000002</v>
      </c>
      <c r="D117" s="9">
        <v>18.867999999999999</v>
      </c>
      <c r="E117" s="9">
        <v>32.435000000000002</v>
      </c>
      <c r="F117" s="9">
        <v>6</v>
      </c>
      <c r="G117" s="9">
        <v>0</v>
      </c>
      <c r="H117" s="9">
        <v>255</v>
      </c>
      <c r="I117" s="9">
        <v>214.666</v>
      </c>
      <c r="J117" s="9">
        <v>75.343999999999994</v>
      </c>
      <c r="K117" s="9">
        <v>0.81599999999999995</v>
      </c>
      <c r="L117" s="9">
        <v>41.348999999999997</v>
      </c>
      <c r="M117" s="9">
        <v>15983.002</v>
      </c>
      <c r="N117" s="9">
        <v>8</v>
      </c>
      <c r="O117" s="9">
        <v>3.5489999999999999</v>
      </c>
      <c r="P117" s="9">
        <v>13.747</v>
      </c>
      <c r="Q117" s="9">
        <v>97.885999999999996</v>
      </c>
      <c r="R117" s="9">
        <v>164230</v>
      </c>
      <c r="S117" s="9">
        <v>615</v>
      </c>
      <c r="T117" s="9">
        <v>267</v>
      </c>
      <c r="U117" s="9">
        <v>5.194</v>
      </c>
      <c r="V117" s="9">
        <v>26.451000000000001</v>
      </c>
      <c r="W117" s="9">
        <v>1.462</v>
      </c>
      <c r="X117" s="9">
        <v>0.68400000000000005</v>
      </c>
      <c r="Y117" s="9">
        <v>0.98599999999999999</v>
      </c>
      <c r="Z117" s="9">
        <v>0</v>
      </c>
      <c r="AA117" s="9">
        <v>255</v>
      </c>
      <c r="AB117" s="9"/>
      <c r="AC117" s="9"/>
      <c r="AD117" s="10">
        <f t="shared" si="15"/>
        <v>13759.026</v>
      </c>
      <c r="AE117" s="10">
        <f t="shared" si="16"/>
        <v>14.267999999999999</v>
      </c>
      <c r="AF117" s="10">
        <f t="shared" si="17"/>
        <v>141378</v>
      </c>
      <c r="AH117">
        <f>FORECAST(AD117, {0,1}, {0,89000})</f>
        <v>0.15459579775280899</v>
      </c>
      <c r="AJ117">
        <v>24</v>
      </c>
    </row>
    <row r="118" spans="1:36" x14ac:dyDescent="0.2">
      <c r="A118" s="9">
        <v>12</v>
      </c>
      <c r="B118" s="9" t="s">
        <v>32</v>
      </c>
      <c r="C118" s="9">
        <v>991.79700000000003</v>
      </c>
      <c r="D118" s="9">
        <v>14.430999999999999</v>
      </c>
      <c r="E118" s="9">
        <v>22.231999999999999</v>
      </c>
      <c r="F118" s="9">
        <v>6</v>
      </c>
      <c r="G118" s="9">
        <v>0</v>
      </c>
      <c r="H118" s="9">
        <v>204</v>
      </c>
      <c r="I118" s="9">
        <v>18.626000000000001</v>
      </c>
      <c r="J118" s="9">
        <v>135.172</v>
      </c>
      <c r="K118" s="9">
        <v>0.89900000000000002</v>
      </c>
      <c r="L118" s="9">
        <v>42.575000000000003</v>
      </c>
      <c r="M118" s="9">
        <v>14312.977000000001</v>
      </c>
      <c r="N118" s="9">
        <v>7</v>
      </c>
      <c r="O118" s="9">
        <v>3.6850000000000001</v>
      </c>
      <c r="P118" s="9">
        <v>16.239000000000001</v>
      </c>
      <c r="Q118" s="9">
        <v>95.319000000000003</v>
      </c>
      <c r="R118" s="9">
        <v>147070</v>
      </c>
      <c r="S118" s="9">
        <v>7</v>
      </c>
      <c r="T118" s="9">
        <v>418</v>
      </c>
      <c r="U118" s="9">
        <v>151.55699999999999</v>
      </c>
      <c r="V118" s="9">
        <v>31.945</v>
      </c>
      <c r="W118" s="9">
        <v>1.272</v>
      </c>
      <c r="X118" s="9">
        <v>0.78600000000000003</v>
      </c>
      <c r="Y118" s="9">
        <v>0.998</v>
      </c>
      <c r="Z118" s="9">
        <v>0</v>
      </c>
      <c r="AA118" s="9">
        <v>255</v>
      </c>
      <c r="AB118" s="9"/>
      <c r="AC118" s="9"/>
      <c r="AD118" s="10">
        <f t="shared" si="15"/>
        <v>12089.001</v>
      </c>
      <c r="AE118" s="10">
        <f t="shared" si="16"/>
        <v>9.8309999999999995</v>
      </c>
      <c r="AF118" s="10">
        <f t="shared" si="17"/>
        <v>124218</v>
      </c>
      <c r="AH118">
        <f>FORECAST(AD118, {0,1}, {0,89000})</f>
        <v>0.13583147191011238</v>
      </c>
      <c r="AJ118">
        <v>24</v>
      </c>
    </row>
    <row r="119" spans="1:36" x14ac:dyDescent="0.2">
      <c r="A119" s="9">
        <v>13</v>
      </c>
      <c r="B119" s="9" t="s">
        <v>32</v>
      </c>
      <c r="C119" s="9">
        <v>1504.4829999999999</v>
      </c>
      <c r="D119" s="9">
        <v>17.184999999999999</v>
      </c>
      <c r="E119" s="9">
        <v>26.038</v>
      </c>
      <c r="F119" s="9">
        <v>6</v>
      </c>
      <c r="G119" s="9">
        <v>0</v>
      </c>
      <c r="H119" s="9">
        <v>255</v>
      </c>
      <c r="I119" s="9">
        <v>31.779</v>
      </c>
      <c r="J119" s="9">
        <v>24.251000000000001</v>
      </c>
      <c r="K119" s="9">
        <v>0.69699999999999995</v>
      </c>
      <c r="L119" s="9">
        <v>59.561</v>
      </c>
      <c r="M119" s="9">
        <v>25854.741999999998</v>
      </c>
      <c r="N119" s="9">
        <v>9</v>
      </c>
      <c r="O119" s="9">
        <v>3.8889999999999998</v>
      </c>
      <c r="P119" s="9">
        <v>18.927</v>
      </c>
      <c r="Q119" s="9">
        <v>97.361000000000004</v>
      </c>
      <c r="R119" s="9">
        <v>265665</v>
      </c>
      <c r="S119" s="9">
        <v>27</v>
      </c>
      <c r="T119" s="9">
        <v>140</v>
      </c>
      <c r="U119" s="9">
        <v>44.576000000000001</v>
      </c>
      <c r="V119" s="9">
        <v>39.927</v>
      </c>
      <c r="W119" s="9">
        <v>1.6859999999999999</v>
      </c>
      <c r="X119" s="9">
        <v>0.59299999999999997</v>
      </c>
      <c r="Y119" s="9">
        <v>0.879</v>
      </c>
      <c r="Z119" s="9">
        <v>0</v>
      </c>
      <c r="AA119" s="9">
        <v>255</v>
      </c>
      <c r="AB119" s="9"/>
      <c r="AC119" s="9"/>
      <c r="AD119" s="10">
        <f t="shared" si="15"/>
        <v>23630.766</v>
      </c>
      <c r="AE119" s="10">
        <f t="shared" si="16"/>
        <v>12.584999999999999</v>
      </c>
      <c r="AF119" s="10">
        <f t="shared" si="17"/>
        <v>242813</v>
      </c>
      <c r="AH119">
        <f>FORECAST(AD119, {0,1}, {0,89000})</f>
        <v>0.26551422471910113</v>
      </c>
      <c r="AJ119">
        <v>24</v>
      </c>
    </row>
    <row r="120" spans="1:36" x14ac:dyDescent="0.2">
      <c r="A120" s="9">
        <v>14</v>
      </c>
      <c r="B120" s="9" t="s">
        <v>32</v>
      </c>
      <c r="C120" s="9">
        <v>809.70899999999995</v>
      </c>
      <c r="D120" s="9">
        <v>19.131</v>
      </c>
      <c r="E120" s="9">
        <v>30.917999999999999</v>
      </c>
      <c r="F120" s="9">
        <v>6</v>
      </c>
      <c r="G120" s="9">
        <v>0</v>
      </c>
      <c r="H120" s="9">
        <v>255</v>
      </c>
      <c r="I120" s="9">
        <v>176.917</v>
      </c>
      <c r="J120" s="9">
        <v>108.45</v>
      </c>
      <c r="K120" s="9">
        <v>0.70099999999999996</v>
      </c>
      <c r="L120" s="9">
        <v>50.322000000000003</v>
      </c>
      <c r="M120" s="9">
        <v>15490.17</v>
      </c>
      <c r="N120" s="9">
        <v>8</v>
      </c>
      <c r="O120" s="9">
        <v>3.25</v>
      </c>
      <c r="P120" s="9">
        <v>12.115</v>
      </c>
      <c r="Q120" s="9">
        <v>96.13</v>
      </c>
      <c r="R120" s="9">
        <v>159166</v>
      </c>
      <c r="S120" s="9">
        <v>486</v>
      </c>
      <c r="T120" s="9">
        <v>334</v>
      </c>
      <c r="U120" s="9">
        <v>162.68799999999999</v>
      </c>
      <c r="V120" s="9">
        <v>26.408000000000001</v>
      </c>
      <c r="W120" s="9">
        <v>1.7490000000000001</v>
      </c>
      <c r="X120" s="9">
        <v>0.57199999999999995</v>
      </c>
      <c r="Y120" s="9">
        <v>0.93400000000000005</v>
      </c>
      <c r="Z120" s="9">
        <v>0</v>
      </c>
      <c r="AA120" s="9">
        <v>255</v>
      </c>
      <c r="AB120" s="9"/>
      <c r="AC120" s="9"/>
      <c r="AD120" s="10">
        <f t="shared" si="15"/>
        <v>13266.194</v>
      </c>
      <c r="AE120" s="10">
        <f t="shared" si="16"/>
        <v>14.531000000000001</v>
      </c>
      <c r="AF120" s="10">
        <f t="shared" si="17"/>
        <v>136314</v>
      </c>
      <c r="AH120">
        <f>FORECAST(AD120, {0,1}, {0,89000})</f>
        <v>0.14905835955056179</v>
      </c>
      <c r="AJ120">
        <v>24</v>
      </c>
    </row>
    <row r="121" spans="1:36" x14ac:dyDescent="0.2">
      <c r="A121" s="9">
        <v>15</v>
      </c>
      <c r="B121" s="9" t="s">
        <v>32</v>
      </c>
      <c r="C121" s="9">
        <v>300.52699999999999</v>
      </c>
      <c r="D121" s="9">
        <v>34.460999999999999</v>
      </c>
      <c r="E121" s="9">
        <v>37.177999999999997</v>
      </c>
      <c r="F121" s="9">
        <v>6</v>
      </c>
      <c r="G121" s="9">
        <v>0</v>
      </c>
      <c r="H121" s="9">
        <v>255</v>
      </c>
      <c r="I121" s="9">
        <v>131.37100000000001</v>
      </c>
      <c r="J121" s="9">
        <v>56.194000000000003</v>
      </c>
      <c r="K121" s="9">
        <v>0.57899999999999996</v>
      </c>
      <c r="L121" s="9">
        <v>32</v>
      </c>
      <c r="M121" s="9">
        <v>10356.495000000001</v>
      </c>
      <c r="N121" s="9">
        <v>19</v>
      </c>
      <c r="O121" s="9">
        <v>1.891</v>
      </c>
      <c r="P121" s="9">
        <v>4.1680000000000001</v>
      </c>
      <c r="Q121" s="9">
        <v>98.704999999999998</v>
      </c>
      <c r="R121" s="9">
        <v>106416</v>
      </c>
      <c r="S121" s="9">
        <v>379</v>
      </c>
      <c r="T121" s="9">
        <v>145</v>
      </c>
      <c r="U121" s="9">
        <v>150.18600000000001</v>
      </c>
      <c r="V121" s="9">
        <v>20.539000000000001</v>
      </c>
      <c r="W121" s="9">
        <v>1.3460000000000001</v>
      </c>
      <c r="X121" s="9">
        <v>0.74299999999999999</v>
      </c>
      <c r="Y121" s="9">
        <v>0.86499999999999999</v>
      </c>
      <c r="Z121" s="9">
        <v>0</v>
      </c>
      <c r="AA121" s="9">
        <v>255</v>
      </c>
      <c r="AB121" s="9"/>
      <c r="AC121" s="9"/>
      <c r="AD121" s="10">
        <f t="shared" si="15"/>
        <v>8132.5190000000002</v>
      </c>
      <c r="AE121" s="10">
        <f t="shared" si="16"/>
        <v>29.860999999999997</v>
      </c>
      <c r="AF121" s="10">
        <f t="shared" si="17"/>
        <v>83564</v>
      </c>
      <c r="AH121">
        <f>FORECAST(AD121, {0,1}, {0,89000})</f>
        <v>9.1376617977528093E-2</v>
      </c>
      <c r="AJ121">
        <v>24</v>
      </c>
    </row>
    <row r="122" spans="1:36" x14ac:dyDescent="0.2">
      <c r="A122" s="9">
        <v>16</v>
      </c>
      <c r="B122" s="9" t="s">
        <v>32</v>
      </c>
      <c r="C122" s="9">
        <v>1000.556</v>
      </c>
      <c r="D122" s="9">
        <v>14.89</v>
      </c>
      <c r="E122" s="9">
        <v>21.588000000000001</v>
      </c>
      <c r="F122" s="9">
        <v>6</v>
      </c>
      <c r="G122" s="9">
        <v>0</v>
      </c>
      <c r="H122" s="9">
        <v>188</v>
      </c>
      <c r="I122" s="9">
        <v>239.76400000000001</v>
      </c>
      <c r="J122" s="9">
        <v>276.69799999999998</v>
      </c>
      <c r="K122" s="9">
        <v>0.81200000000000006</v>
      </c>
      <c r="L122" s="9">
        <v>44.137</v>
      </c>
      <c r="M122" s="9">
        <v>14898.07</v>
      </c>
      <c r="N122" s="9">
        <v>7</v>
      </c>
      <c r="O122" s="9">
        <v>2.8769999999999998</v>
      </c>
      <c r="P122" s="9">
        <v>9.8030000000000008</v>
      </c>
      <c r="Q122" s="9">
        <v>93.123000000000005</v>
      </c>
      <c r="R122" s="9">
        <v>153082</v>
      </c>
      <c r="S122" s="9">
        <v>719</v>
      </c>
      <c r="T122" s="9">
        <v>932</v>
      </c>
      <c r="U122" s="9">
        <v>34.926000000000002</v>
      </c>
      <c r="V122" s="9">
        <v>30.036999999999999</v>
      </c>
      <c r="W122" s="9">
        <v>1.47</v>
      </c>
      <c r="X122" s="9">
        <v>0.68</v>
      </c>
      <c r="Y122" s="9">
        <v>1</v>
      </c>
      <c r="Z122" s="9">
        <v>0</v>
      </c>
      <c r="AA122" s="9">
        <v>255</v>
      </c>
      <c r="AB122" s="9"/>
      <c r="AC122" s="9"/>
      <c r="AD122" s="10">
        <f t="shared" si="15"/>
        <v>12674.093999999999</v>
      </c>
      <c r="AE122" s="10">
        <f t="shared" si="16"/>
        <v>10.290000000000001</v>
      </c>
      <c r="AF122" s="10">
        <f t="shared" si="17"/>
        <v>130230</v>
      </c>
      <c r="AH122">
        <f>FORECAST(AD122, {0,1}, {0,89000})</f>
        <v>0.14240555056179777</v>
      </c>
      <c r="AJ122">
        <v>24</v>
      </c>
    </row>
    <row r="123" spans="1:36" x14ac:dyDescent="0.2">
      <c r="A123" s="9">
        <v>17</v>
      </c>
      <c r="B123" s="9" t="s">
        <v>32</v>
      </c>
      <c r="C123" s="9">
        <v>542.46600000000001</v>
      </c>
      <c r="D123" s="9">
        <v>23.32</v>
      </c>
      <c r="E123" s="9">
        <v>30.936</v>
      </c>
      <c r="F123" s="9">
        <v>6</v>
      </c>
      <c r="G123" s="9">
        <v>0</v>
      </c>
      <c r="H123" s="9">
        <v>224</v>
      </c>
      <c r="I123" s="9">
        <v>209.887</v>
      </c>
      <c r="J123" s="9">
        <v>216.22</v>
      </c>
      <c r="K123" s="9">
        <v>0.78800000000000003</v>
      </c>
      <c r="L123" s="9">
        <v>34.718000000000004</v>
      </c>
      <c r="M123" s="9">
        <v>12650.347</v>
      </c>
      <c r="N123" s="9">
        <v>10</v>
      </c>
      <c r="O123" s="9">
        <v>2.508</v>
      </c>
      <c r="P123" s="9">
        <v>7.2270000000000003</v>
      </c>
      <c r="Q123" s="9">
        <v>97.596000000000004</v>
      </c>
      <c r="R123" s="9">
        <v>129986</v>
      </c>
      <c r="S123" s="9">
        <v>640</v>
      </c>
      <c r="T123" s="9">
        <v>653</v>
      </c>
      <c r="U123" s="9">
        <v>130.99199999999999</v>
      </c>
      <c r="V123" s="9">
        <v>25.256</v>
      </c>
      <c r="W123" s="9">
        <v>1.274</v>
      </c>
      <c r="X123" s="9">
        <v>0.78500000000000003</v>
      </c>
      <c r="Y123" s="9">
        <v>0.97299999999999998</v>
      </c>
      <c r="Z123" s="9">
        <v>0</v>
      </c>
      <c r="AA123" s="9">
        <v>255</v>
      </c>
      <c r="AB123" s="9"/>
      <c r="AC123" s="9"/>
      <c r="AD123" s="10">
        <f t="shared" si="15"/>
        <v>10426.370999999999</v>
      </c>
      <c r="AE123" s="10">
        <f t="shared" si="16"/>
        <v>18.72</v>
      </c>
      <c r="AF123" s="10">
        <f t="shared" si="17"/>
        <v>107134</v>
      </c>
      <c r="AH123">
        <f>FORECAST(AD123, {0,1}, {0,89000})</f>
        <v>0.11715023595505618</v>
      </c>
      <c r="AJ123">
        <v>24</v>
      </c>
    </row>
    <row r="124" spans="1:36" x14ac:dyDescent="0.2">
      <c r="A124" s="9">
        <v>18</v>
      </c>
      <c r="B124" s="9" t="s">
        <v>32</v>
      </c>
      <c r="C124" s="9">
        <v>1252.422</v>
      </c>
      <c r="D124" s="9">
        <v>23.170999999999999</v>
      </c>
      <c r="E124" s="9">
        <v>31.867999999999999</v>
      </c>
      <c r="F124" s="9">
        <v>6</v>
      </c>
      <c r="G124" s="9">
        <v>0</v>
      </c>
      <c r="H124" s="9">
        <v>253</v>
      </c>
      <c r="I124" s="9">
        <v>260.91000000000003</v>
      </c>
      <c r="J124" s="9">
        <v>239.62700000000001</v>
      </c>
      <c r="K124" s="9">
        <v>0.73199999999999998</v>
      </c>
      <c r="L124" s="9">
        <v>56.28</v>
      </c>
      <c r="M124" s="9">
        <v>29020.102999999999</v>
      </c>
      <c r="N124" s="9">
        <v>10</v>
      </c>
      <c r="O124" s="9">
        <v>2.669</v>
      </c>
      <c r="P124" s="9">
        <v>8.1780000000000008</v>
      </c>
      <c r="Q124" s="9">
        <v>97.885999999999996</v>
      </c>
      <c r="R124" s="9">
        <v>298190</v>
      </c>
      <c r="S124" s="9">
        <v>793</v>
      </c>
      <c r="T124" s="9">
        <v>693</v>
      </c>
      <c r="U124" s="9">
        <v>129.602</v>
      </c>
      <c r="V124" s="9">
        <v>33.255000000000003</v>
      </c>
      <c r="W124" s="9">
        <v>1.7450000000000001</v>
      </c>
      <c r="X124" s="9">
        <v>0.57299999999999995</v>
      </c>
      <c r="Y124" s="9">
        <v>0.92400000000000004</v>
      </c>
      <c r="Z124" s="9">
        <v>0</v>
      </c>
      <c r="AA124" s="9">
        <v>255</v>
      </c>
      <c r="AB124" s="9"/>
      <c r="AC124" s="9"/>
      <c r="AD124" s="10">
        <f t="shared" si="15"/>
        <v>26796.127</v>
      </c>
      <c r="AE124" s="10">
        <f t="shared" si="16"/>
        <v>18.570999999999998</v>
      </c>
      <c r="AF124" s="10">
        <f t="shared" si="17"/>
        <v>275338</v>
      </c>
      <c r="AH124">
        <f>FORECAST(AD124, {0,1}, {0,89000})</f>
        <v>0.3010800786516854</v>
      </c>
      <c r="AJ124">
        <v>24</v>
      </c>
    </row>
    <row r="125" spans="1:36" x14ac:dyDescent="0.2">
      <c r="A125" s="9">
        <v>19</v>
      </c>
      <c r="B125" s="9" t="s">
        <v>32</v>
      </c>
      <c r="C125" s="9">
        <v>839.87900000000002</v>
      </c>
      <c r="D125" s="9">
        <v>13.076000000000001</v>
      </c>
      <c r="E125" s="9">
        <v>18.696000000000002</v>
      </c>
      <c r="F125" s="9">
        <v>6</v>
      </c>
      <c r="G125" s="9">
        <v>0</v>
      </c>
      <c r="H125" s="9">
        <v>172</v>
      </c>
      <c r="I125" s="9">
        <v>293.06700000000001</v>
      </c>
      <c r="J125" s="9">
        <v>186.77799999999999</v>
      </c>
      <c r="K125" s="9">
        <v>0.88700000000000001</v>
      </c>
      <c r="L125" s="9">
        <v>39.726999999999997</v>
      </c>
      <c r="M125" s="9">
        <v>10982.073</v>
      </c>
      <c r="N125" s="9">
        <v>7</v>
      </c>
      <c r="O125" s="9">
        <v>3.5750000000000002</v>
      </c>
      <c r="P125" s="9">
        <v>15.616</v>
      </c>
      <c r="Q125" s="9">
        <v>95.132999999999996</v>
      </c>
      <c r="R125" s="9">
        <v>112844</v>
      </c>
      <c r="S125" s="9">
        <v>877</v>
      </c>
      <c r="T125" s="9">
        <v>620</v>
      </c>
      <c r="U125" s="9">
        <v>13.163</v>
      </c>
      <c r="V125" s="9">
        <v>29.013000000000002</v>
      </c>
      <c r="W125" s="9">
        <v>1.3120000000000001</v>
      </c>
      <c r="X125" s="9">
        <v>0.76200000000000001</v>
      </c>
      <c r="Y125" s="9">
        <v>0.99</v>
      </c>
      <c r="Z125" s="9">
        <v>0</v>
      </c>
      <c r="AA125" s="9">
        <v>255</v>
      </c>
      <c r="AB125" s="9"/>
      <c r="AC125" s="9"/>
      <c r="AD125" s="10">
        <f t="shared" si="15"/>
        <v>8758.0969999999998</v>
      </c>
      <c r="AE125" s="10">
        <f t="shared" si="16"/>
        <v>8.4760000000000009</v>
      </c>
      <c r="AF125" s="10">
        <f t="shared" si="17"/>
        <v>89992</v>
      </c>
      <c r="AH125">
        <f>FORECAST(AD125, {0,1}, {0,89000})</f>
        <v>9.8405584269662921E-2</v>
      </c>
      <c r="AJ125">
        <v>24</v>
      </c>
    </row>
    <row r="126" spans="1:36" x14ac:dyDescent="0.2">
      <c r="A126" s="9">
        <v>20</v>
      </c>
      <c r="B126" s="9" t="s">
        <v>32</v>
      </c>
      <c r="C126" s="9">
        <v>1537.864</v>
      </c>
      <c r="D126" s="9">
        <v>10.384</v>
      </c>
      <c r="E126" s="9">
        <v>19.468</v>
      </c>
      <c r="F126" s="9">
        <v>5</v>
      </c>
      <c r="G126" s="9">
        <v>0</v>
      </c>
      <c r="H126" s="9">
        <v>249</v>
      </c>
      <c r="I126" s="9">
        <v>140.72900000000001</v>
      </c>
      <c r="J126" s="9">
        <v>255.40299999999999</v>
      </c>
      <c r="K126" s="9">
        <v>0.82099999999999995</v>
      </c>
      <c r="L126" s="9">
        <v>52.643999999999998</v>
      </c>
      <c r="M126" s="9">
        <v>15969.183000000001</v>
      </c>
      <c r="N126" s="9">
        <v>6</v>
      </c>
      <c r="O126" s="9">
        <v>5.1989999999999998</v>
      </c>
      <c r="P126" s="9">
        <v>33.936999999999998</v>
      </c>
      <c r="Q126" s="9">
        <v>89.292000000000002</v>
      </c>
      <c r="R126" s="9">
        <v>164088</v>
      </c>
      <c r="S126" s="9">
        <v>411</v>
      </c>
      <c r="T126" s="9">
        <v>745</v>
      </c>
      <c r="U126" s="9">
        <v>114.13500000000001</v>
      </c>
      <c r="V126" s="9">
        <v>42.63</v>
      </c>
      <c r="W126" s="9">
        <v>1.159</v>
      </c>
      <c r="X126" s="9">
        <v>0.86299999999999999</v>
      </c>
      <c r="Y126" s="9">
        <v>0.94399999999999995</v>
      </c>
      <c r="Z126" s="9">
        <v>0</v>
      </c>
      <c r="AA126" s="9">
        <v>255</v>
      </c>
      <c r="AB126" s="9"/>
      <c r="AC126" s="9"/>
      <c r="AD126" s="10">
        <f t="shared" si="15"/>
        <v>13745.207</v>
      </c>
      <c r="AE126" s="10">
        <f t="shared" si="16"/>
        <v>5.7840000000000007</v>
      </c>
      <c r="AF126" s="10">
        <f t="shared" si="17"/>
        <v>141236</v>
      </c>
      <c r="AH126">
        <f>FORECAST(AD126, {0,1}, {0,89000})</f>
        <v>0.15444052808988765</v>
      </c>
      <c r="AJ126">
        <v>24</v>
      </c>
    </row>
    <row r="127" spans="1:36" x14ac:dyDescent="0.2">
      <c r="A127" s="9">
        <v>21</v>
      </c>
      <c r="B127" s="9" t="s">
        <v>27</v>
      </c>
      <c r="C127" s="9">
        <v>483.49</v>
      </c>
      <c r="D127" s="9">
        <v>4.5999999999999996</v>
      </c>
      <c r="E127" s="9">
        <v>3.3439999999999999</v>
      </c>
      <c r="F127" s="9">
        <v>0</v>
      </c>
      <c r="G127" s="9">
        <v>0</v>
      </c>
      <c r="H127" s="9">
        <v>24</v>
      </c>
      <c r="I127" s="9">
        <v>111.133</v>
      </c>
      <c r="J127" s="9">
        <v>137.815</v>
      </c>
      <c r="K127" s="9">
        <v>0.754</v>
      </c>
      <c r="L127" s="9">
        <v>33.363</v>
      </c>
      <c r="M127" s="9">
        <v>2223.9760000000001</v>
      </c>
      <c r="N127" s="9">
        <v>5</v>
      </c>
      <c r="O127" s="9">
        <v>0.64800000000000002</v>
      </c>
      <c r="P127" s="9">
        <v>0.81200000000000006</v>
      </c>
      <c r="Q127" s="9">
        <v>84.018000000000001</v>
      </c>
      <c r="R127" s="9">
        <v>22852</v>
      </c>
      <c r="S127" s="9">
        <v>309</v>
      </c>
      <c r="T127" s="9">
        <v>417</v>
      </c>
      <c r="U127" s="9">
        <v>151.518</v>
      </c>
      <c r="V127" s="9">
        <v>18.538</v>
      </c>
      <c r="W127" s="9">
        <v>1.4830000000000001</v>
      </c>
      <c r="X127" s="9">
        <v>0.67400000000000004</v>
      </c>
      <c r="Y127" s="9">
        <v>0.999</v>
      </c>
      <c r="Z127" s="9">
        <v>0</v>
      </c>
      <c r="AA127" s="9">
        <v>255</v>
      </c>
      <c r="AB127" s="9"/>
      <c r="AC127" s="9"/>
      <c r="AD127">
        <f>AVERAGE(AD107:AD126)</f>
        <v>15948.098249999999</v>
      </c>
      <c r="AE127">
        <f>AVERAGE(AE107:AE126)</f>
        <v>15.808749999999998</v>
      </c>
      <c r="AF127">
        <f>AVERAGE(AF107:AF126)</f>
        <v>163871.35</v>
      </c>
      <c r="AH127">
        <f>FORECAST(AD127, {0,1}, {0,89000})</f>
        <v>0.17919211516853933</v>
      </c>
      <c r="AJ127">
        <v>24</v>
      </c>
    </row>
    <row r="128" spans="1:36" x14ac:dyDescent="0.2">
      <c r="A128" s="12">
        <v>1</v>
      </c>
      <c r="B128" s="12" t="s">
        <v>37</v>
      </c>
      <c r="C128" s="12">
        <v>527.67399999999998</v>
      </c>
      <c r="D128" s="12">
        <v>0.15</v>
      </c>
      <c r="E128">
        <v>0.61099999999999999</v>
      </c>
      <c r="F128">
        <v>0</v>
      </c>
      <c r="G128">
        <v>0</v>
      </c>
      <c r="H128">
        <v>5</v>
      </c>
      <c r="I128">
        <v>268.01600000000002</v>
      </c>
      <c r="J128">
        <v>66.954999999999998</v>
      </c>
      <c r="K128">
        <v>0.42699999999999999</v>
      </c>
      <c r="L128">
        <v>47.587000000000003</v>
      </c>
      <c r="M128">
        <v>79.316000000000003</v>
      </c>
      <c r="N128">
        <v>0</v>
      </c>
      <c r="O128">
        <v>4.633</v>
      </c>
      <c r="P128">
        <v>22.734999999999999</v>
      </c>
      <c r="Q128">
        <v>7.1559999999999997</v>
      </c>
      <c r="R128">
        <v>815</v>
      </c>
      <c r="S128">
        <v>791</v>
      </c>
      <c r="T128">
        <v>226</v>
      </c>
      <c r="U128">
        <v>25.221</v>
      </c>
      <c r="V128">
        <v>24.085999999999999</v>
      </c>
      <c r="W128">
        <v>1.823</v>
      </c>
      <c r="X128">
        <v>0.54800000000000004</v>
      </c>
      <c r="Y128">
        <v>0.72099999999999997</v>
      </c>
      <c r="Z128">
        <v>0</v>
      </c>
      <c r="AA128">
        <v>255</v>
      </c>
      <c r="AD128" s="11">
        <f>M128-M$148</f>
        <v>9.0499999999999972</v>
      </c>
      <c r="AE128" s="11">
        <f>D128-D$148</f>
        <v>2.0999999999999991E-2</v>
      </c>
      <c r="AF128" s="11">
        <f>R128-R$148</f>
        <v>93</v>
      </c>
      <c r="AH128">
        <f>FORECAST(AD128, {0,1}, {0,89000})</f>
        <v>1.0168539325842695E-4</v>
      </c>
      <c r="AJ128">
        <v>0</v>
      </c>
    </row>
    <row r="129" spans="1:36" x14ac:dyDescent="0.2">
      <c r="A129" s="12">
        <v>2</v>
      </c>
      <c r="B129" s="12" t="s">
        <v>37</v>
      </c>
      <c r="C129" s="12">
        <v>562.125</v>
      </c>
      <c r="D129" s="12">
        <v>0.14199999999999999</v>
      </c>
      <c r="E129">
        <v>0.58499999999999996</v>
      </c>
      <c r="F129">
        <v>0</v>
      </c>
      <c r="G129">
        <v>0</v>
      </c>
      <c r="H129">
        <v>6</v>
      </c>
      <c r="I129">
        <v>253.447</v>
      </c>
      <c r="J129">
        <v>85.706999999999994</v>
      </c>
      <c r="K129">
        <v>0.61399999999999999</v>
      </c>
      <c r="L129">
        <v>38.895000000000003</v>
      </c>
      <c r="M129">
        <v>79.998000000000005</v>
      </c>
      <c r="N129">
        <v>0</v>
      </c>
      <c r="O129">
        <v>4.7670000000000003</v>
      </c>
      <c r="P129">
        <v>24.952000000000002</v>
      </c>
      <c r="Q129">
        <v>6.96</v>
      </c>
      <c r="R129">
        <v>822</v>
      </c>
      <c r="S129">
        <v>766</v>
      </c>
      <c r="T129">
        <v>262</v>
      </c>
      <c r="U129">
        <v>149.11500000000001</v>
      </c>
      <c r="V129">
        <v>25.314</v>
      </c>
      <c r="W129">
        <v>1.1399999999999999</v>
      </c>
      <c r="X129">
        <v>0.877</v>
      </c>
      <c r="Y129">
        <v>0.83199999999999996</v>
      </c>
      <c r="Z129">
        <v>0</v>
      </c>
      <c r="AA129">
        <v>255</v>
      </c>
      <c r="AD129" s="11">
        <f t="shared" ref="AD129:AD148" si="18">M129-M$148</f>
        <v>9.7319999999999993</v>
      </c>
      <c r="AE129" s="11">
        <f t="shared" ref="AE129:AE148" si="19">D129-D$148</f>
        <v>1.2999999999999984E-2</v>
      </c>
      <c r="AF129" s="11">
        <f t="shared" ref="AF129:AF148" si="20">R129-R$148</f>
        <v>100</v>
      </c>
      <c r="AH129">
        <f>FORECAST(AD129, {0,1}, {0,89000})</f>
        <v>1.0934831460674158E-4</v>
      </c>
      <c r="AJ129">
        <v>0</v>
      </c>
    </row>
    <row r="130" spans="1:36" x14ac:dyDescent="0.2">
      <c r="A130" s="12">
        <v>3</v>
      </c>
      <c r="B130" s="12" t="s">
        <v>37</v>
      </c>
      <c r="C130" s="12">
        <v>901.28800000000001</v>
      </c>
      <c r="D130" s="12">
        <v>0.125</v>
      </c>
      <c r="E130">
        <v>0.55400000000000005</v>
      </c>
      <c r="F130">
        <v>0</v>
      </c>
      <c r="G130">
        <v>0</v>
      </c>
      <c r="H130">
        <v>6</v>
      </c>
      <c r="I130">
        <v>216.869</v>
      </c>
      <c r="J130">
        <v>106.38800000000001</v>
      </c>
      <c r="K130">
        <v>0.27900000000000003</v>
      </c>
      <c r="L130">
        <v>65.936000000000007</v>
      </c>
      <c r="M130">
        <v>112.211</v>
      </c>
      <c r="N130">
        <v>0</v>
      </c>
      <c r="O130">
        <v>5.1879999999999997</v>
      </c>
      <c r="P130">
        <v>29.707999999999998</v>
      </c>
      <c r="Q130">
        <v>6.0359999999999996</v>
      </c>
      <c r="R130">
        <v>1153</v>
      </c>
      <c r="S130">
        <v>602</v>
      </c>
      <c r="T130">
        <v>414</v>
      </c>
      <c r="U130">
        <v>29.475999999999999</v>
      </c>
      <c r="V130">
        <v>27.693999999999999</v>
      </c>
      <c r="W130">
        <v>2.952</v>
      </c>
      <c r="X130">
        <v>0.33900000000000002</v>
      </c>
      <c r="Y130">
        <v>0.66600000000000004</v>
      </c>
      <c r="Z130">
        <v>0</v>
      </c>
      <c r="AA130">
        <v>255</v>
      </c>
      <c r="AD130" s="11">
        <f t="shared" si="18"/>
        <v>41.944999999999993</v>
      </c>
      <c r="AE130" s="11">
        <f t="shared" si="19"/>
        <v>-4.0000000000000036E-3</v>
      </c>
      <c r="AF130" s="11">
        <f t="shared" si="20"/>
        <v>431</v>
      </c>
      <c r="AH130">
        <f>FORECAST(AD130, {0,1}, {0,89000})</f>
        <v>4.7129213483146061E-4</v>
      </c>
      <c r="AJ130">
        <v>0</v>
      </c>
    </row>
    <row r="131" spans="1:36" x14ac:dyDescent="0.2">
      <c r="A131" s="12">
        <v>4</v>
      </c>
      <c r="B131" s="12" t="s">
        <v>37</v>
      </c>
      <c r="C131" s="12">
        <v>1322.4929999999999</v>
      </c>
      <c r="D131" s="12">
        <v>0.13700000000000001</v>
      </c>
      <c r="E131">
        <v>0.57299999999999995</v>
      </c>
      <c r="F131">
        <v>0</v>
      </c>
      <c r="G131">
        <v>0</v>
      </c>
      <c r="H131">
        <v>6</v>
      </c>
      <c r="I131">
        <v>193.73599999999999</v>
      </c>
      <c r="J131">
        <v>150.13900000000001</v>
      </c>
      <c r="K131">
        <v>0.67400000000000004</v>
      </c>
      <c r="L131">
        <v>52.088999999999999</v>
      </c>
      <c r="M131">
        <v>180.91900000000001</v>
      </c>
      <c r="N131">
        <v>0</v>
      </c>
      <c r="O131">
        <v>4.8019999999999996</v>
      </c>
      <c r="P131">
        <v>24.863</v>
      </c>
      <c r="Q131">
        <v>6.7039999999999997</v>
      </c>
      <c r="R131">
        <v>1859</v>
      </c>
      <c r="S131">
        <v>561</v>
      </c>
      <c r="T131">
        <v>511</v>
      </c>
      <c r="U131">
        <v>18.869</v>
      </c>
      <c r="V131">
        <v>42.203000000000003</v>
      </c>
      <c r="W131">
        <v>1.071</v>
      </c>
      <c r="X131">
        <v>0.93400000000000005</v>
      </c>
      <c r="Y131">
        <v>0.876</v>
      </c>
      <c r="Z131">
        <v>0</v>
      </c>
      <c r="AA131">
        <v>255</v>
      </c>
      <c r="AD131" s="11">
        <f t="shared" si="18"/>
        <v>110.65300000000001</v>
      </c>
      <c r="AE131" s="11">
        <f t="shared" si="19"/>
        <v>8.0000000000000071E-3</v>
      </c>
      <c r="AF131" s="11">
        <f t="shared" si="20"/>
        <v>1137</v>
      </c>
      <c r="AH131">
        <f>FORECAST(AD131, {0,1}, {0,89000})</f>
        <v>1.2432921348314609E-3</v>
      </c>
      <c r="AJ131">
        <v>0</v>
      </c>
    </row>
    <row r="132" spans="1:36" x14ac:dyDescent="0.2">
      <c r="A132" s="12">
        <v>5</v>
      </c>
      <c r="B132" s="12" t="s">
        <v>37</v>
      </c>
      <c r="C132" s="12">
        <v>1263.711</v>
      </c>
      <c r="D132" s="12">
        <v>0.13600000000000001</v>
      </c>
      <c r="E132">
        <v>0.57599999999999996</v>
      </c>
      <c r="F132">
        <v>0</v>
      </c>
      <c r="G132">
        <v>0</v>
      </c>
      <c r="H132">
        <v>6</v>
      </c>
      <c r="I132">
        <v>234.404</v>
      </c>
      <c r="J132">
        <v>168.042</v>
      </c>
      <c r="K132">
        <v>0.60499999999999998</v>
      </c>
      <c r="L132">
        <v>62.473999999999997</v>
      </c>
      <c r="M132">
        <v>171.47900000000001</v>
      </c>
      <c r="N132">
        <v>0</v>
      </c>
      <c r="O132">
        <v>4.7960000000000003</v>
      </c>
      <c r="P132">
        <v>24.510999999999999</v>
      </c>
      <c r="Q132">
        <v>6.4539999999999997</v>
      </c>
      <c r="R132">
        <v>1762</v>
      </c>
      <c r="S132">
        <v>649</v>
      </c>
      <c r="T132">
        <v>553</v>
      </c>
      <c r="U132">
        <v>8.6159999999999997</v>
      </c>
      <c r="V132">
        <v>28.591999999999999</v>
      </c>
      <c r="W132">
        <v>2.4390000000000001</v>
      </c>
      <c r="X132">
        <v>0.41</v>
      </c>
      <c r="Y132">
        <v>0.86899999999999999</v>
      </c>
      <c r="Z132">
        <v>0</v>
      </c>
      <c r="AA132">
        <v>255</v>
      </c>
      <c r="AD132" s="11">
        <f t="shared" si="18"/>
        <v>101.21300000000001</v>
      </c>
      <c r="AE132" s="11">
        <f t="shared" si="19"/>
        <v>7.0000000000000062E-3</v>
      </c>
      <c r="AF132" s="11">
        <f t="shared" si="20"/>
        <v>1040</v>
      </c>
      <c r="AH132">
        <f>FORECAST(AD132, {0,1}, {0,89000})</f>
        <v>1.1372247191011237E-3</v>
      </c>
      <c r="AJ132">
        <v>0</v>
      </c>
    </row>
    <row r="133" spans="1:36" x14ac:dyDescent="0.2">
      <c r="A133" s="12">
        <v>6</v>
      </c>
      <c r="B133" s="12" t="s">
        <v>37</v>
      </c>
      <c r="C133" s="12">
        <v>1007.952</v>
      </c>
      <c r="D133" s="12">
        <v>0.105</v>
      </c>
      <c r="E133">
        <v>0.50600000000000001</v>
      </c>
      <c r="F133">
        <v>0</v>
      </c>
      <c r="G133">
        <v>0</v>
      </c>
      <c r="H133">
        <v>6</v>
      </c>
      <c r="I133">
        <v>225.99700000000001</v>
      </c>
      <c r="J133">
        <v>245.661</v>
      </c>
      <c r="K133">
        <v>0.54200000000000004</v>
      </c>
      <c r="L133">
        <v>50.884</v>
      </c>
      <c r="M133">
        <v>105.496</v>
      </c>
      <c r="N133">
        <v>0</v>
      </c>
      <c r="O133">
        <v>5.5730000000000004</v>
      </c>
      <c r="P133">
        <v>33.844999999999999</v>
      </c>
      <c r="Q133">
        <v>5.0880000000000001</v>
      </c>
      <c r="R133">
        <v>1084</v>
      </c>
      <c r="S133">
        <v>648</v>
      </c>
      <c r="T133">
        <v>851</v>
      </c>
      <c r="U133">
        <v>30.181000000000001</v>
      </c>
      <c r="V133">
        <v>38.866</v>
      </c>
      <c r="W133">
        <v>1.1859999999999999</v>
      </c>
      <c r="X133">
        <v>0.84299999999999997</v>
      </c>
      <c r="Y133">
        <v>0.75</v>
      </c>
      <c r="Z133">
        <v>0</v>
      </c>
      <c r="AA133">
        <v>255</v>
      </c>
      <c r="AD133" s="11">
        <f t="shared" si="18"/>
        <v>35.22999999999999</v>
      </c>
      <c r="AE133" s="11">
        <f t="shared" si="19"/>
        <v>-2.4000000000000007E-2</v>
      </c>
      <c r="AF133" s="11">
        <f t="shared" si="20"/>
        <v>362</v>
      </c>
      <c r="AH133">
        <f>FORECAST(AD133, {0,1}, {0,89000})</f>
        <v>3.9584269662921339E-4</v>
      </c>
      <c r="AJ133">
        <v>0</v>
      </c>
    </row>
    <row r="134" spans="1:36" x14ac:dyDescent="0.2">
      <c r="A134" s="12">
        <v>7</v>
      </c>
      <c r="B134" s="12" t="s">
        <v>37</v>
      </c>
      <c r="C134" s="12">
        <v>1232.8599999999999</v>
      </c>
      <c r="D134" s="12">
        <v>9.8000000000000004E-2</v>
      </c>
      <c r="E134">
        <v>0.49299999999999999</v>
      </c>
      <c r="F134">
        <v>0</v>
      </c>
      <c r="G134">
        <v>0</v>
      </c>
      <c r="H134">
        <v>5</v>
      </c>
      <c r="I134">
        <v>250.09299999999999</v>
      </c>
      <c r="J134">
        <v>283.048</v>
      </c>
      <c r="K134">
        <v>0.51300000000000001</v>
      </c>
      <c r="L134">
        <v>62.843000000000004</v>
      </c>
      <c r="M134">
        <v>121.35899999999999</v>
      </c>
      <c r="N134">
        <v>0</v>
      </c>
      <c r="O134">
        <v>5.76</v>
      </c>
      <c r="P134">
        <v>35.89</v>
      </c>
      <c r="Q134">
        <v>4.7439999999999998</v>
      </c>
      <c r="R134">
        <v>1247</v>
      </c>
      <c r="S134">
        <v>709</v>
      </c>
      <c r="T134">
        <v>980</v>
      </c>
      <c r="U134">
        <v>65.98</v>
      </c>
      <c r="V134">
        <v>36.719000000000001</v>
      </c>
      <c r="W134">
        <v>1.7190000000000001</v>
      </c>
      <c r="X134">
        <v>0.58199999999999996</v>
      </c>
      <c r="Y134">
        <v>0.76400000000000001</v>
      </c>
      <c r="Z134">
        <v>0</v>
      </c>
      <c r="AA134">
        <v>255</v>
      </c>
      <c r="AD134" s="11">
        <f t="shared" si="18"/>
        <v>51.092999999999989</v>
      </c>
      <c r="AE134" s="11">
        <f t="shared" si="19"/>
        <v>-3.1E-2</v>
      </c>
      <c r="AF134" s="11">
        <f t="shared" si="20"/>
        <v>525</v>
      </c>
      <c r="AH134">
        <f>FORECAST(AD134, {0,1}, {0,89000})</f>
        <v>5.7407865168539315E-4</v>
      </c>
      <c r="AJ134">
        <v>0</v>
      </c>
    </row>
    <row r="135" spans="1:36" x14ac:dyDescent="0.2">
      <c r="A135" s="12">
        <v>8</v>
      </c>
      <c r="B135" s="12" t="s">
        <v>37</v>
      </c>
      <c r="C135" s="12">
        <v>867.12900000000002</v>
      </c>
      <c r="D135" s="12">
        <v>0.105</v>
      </c>
      <c r="E135">
        <v>0.50600000000000001</v>
      </c>
      <c r="F135">
        <v>0</v>
      </c>
      <c r="G135">
        <v>0</v>
      </c>
      <c r="H135">
        <v>6</v>
      </c>
      <c r="I135">
        <v>279.60599999999999</v>
      </c>
      <c r="J135">
        <v>280.14299999999997</v>
      </c>
      <c r="K135">
        <v>0.52800000000000002</v>
      </c>
      <c r="L135">
        <v>49.040999999999997</v>
      </c>
      <c r="M135">
        <v>91.287000000000006</v>
      </c>
      <c r="N135">
        <v>0</v>
      </c>
      <c r="O135">
        <v>5.5620000000000003</v>
      </c>
      <c r="P135">
        <v>33.777000000000001</v>
      </c>
      <c r="Q135">
        <v>5.1520000000000001</v>
      </c>
      <c r="R135">
        <v>938</v>
      </c>
      <c r="S135">
        <v>852</v>
      </c>
      <c r="T135">
        <v>956</v>
      </c>
      <c r="U135">
        <v>53.276000000000003</v>
      </c>
      <c r="V135">
        <v>34.107999999999997</v>
      </c>
      <c r="W135">
        <v>1.5880000000000001</v>
      </c>
      <c r="X135">
        <v>0.63</v>
      </c>
      <c r="Y135">
        <v>0.78100000000000003</v>
      </c>
      <c r="Z135">
        <v>0</v>
      </c>
      <c r="AA135">
        <v>255</v>
      </c>
      <c r="AD135" s="11">
        <f t="shared" si="18"/>
        <v>21.021000000000001</v>
      </c>
      <c r="AE135" s="11">
        <f t="shared" si="19"/>
        <v>-2.4000000000000007E-2</v>
      </c>
      <c r="AF135" s="11">
        <f t="shared" si="20"/>
        <v>216</v>
      </c>
      <c r="AH135">
        <f>FORECAST(AD135, {0,1}, {0,89000})</f>
        <v>2.3619101123595508E-4</v>
      </c>
      <c r="AJ135">
        <v>0</v>
      </c>
    </row>
    <row r="136" spans="1:36" x14ac:dyDescent="0.2">
      <c r="A136" s="12">
        <v>9</v>
      </c>
      <c r="B136" s="12" t="s">
        <v>37</v>
      </c>
      <c r="C136" s="12">
        <v>1076.855</v>
      </c>
      <c r="D136" s="12">
        <v>0.11</v>
      </c>
      <c r="E136">
        <v>0.51700000000000002</v>
      </c>
      <c r="F136">
        <v>0</v>
      </c>
      <c r="G136">
        <v>0</v>
      </c>
      <c r="H136">
        <v>5</v>
      </c>
      <c r="I136">
        <v>156.274</v>
      </c>
      <c r="J136">
        <v>206.99700000000001</v>
      </c>
      <c r="K136">
        <v>0.745</v>
      </c>
      <c r="L136">
        <v>45.853999999999999</v>
      </c>
      <c r="M136">
        <v>118.82899999999999</v>
      </c>
      <c r="N136">
        <v>0</v>
      </c>
      <c r="O136">
        <v>5.4729999999999999</v>
      </c>
      <c r="P136">
        <v>32.756999999999998</v>
      </c>
      <c r="Q136">
        <v>5.5129999999999999</v>
      </c>
      <c r="R136">
        <v>1221</v>
      </c>
      <c r="S136">
        <v>425</v>
      </c>
      <c r="T136">
        <v>624</v>
      </c>
      <c r="U136">
        <v>140.244</v>
      </c>
      <c r="V136">
        <v>37.710999999999999</v>
      </c>
      <c r="W136">
        <v>1.0640000000000001</v>
      </c>
      <c r="X136">
        <v>0.94</v>
      </c>
      <c r="Y136">
        <v>0.92600000000000005</v>
      </c>
      <c r="Z136">
        <v>0</v>
      </c>
      <c r="AA136">
        <v>255</v>
      </c>
      <c r="AD136" s="11">
        <f t="shared" si="18"/>
        <v>48.562999999999988</v>
      </c>
      <c r="AE136" s="11">
        <f t="shared" si="19"/>
        <v>-1.9000000000000003E-2</v>
      </c>
      <c r="AF136" s="11">
        <f t="shared" si="20"/>
        <v>499</v>
      </c>
      <c r="AH136">
        <f>FORECAST(AD136, {0,1}, {0,89000})</f>
        <v>5.4565168539325829E-4</v>
      </c>
      <c r="AJ136">
        <v>0</v>
      </c>
    </row>
    <row r="137" spans="1:36" x14ac:dyDescent="0.2">
      <c r="A137" s="12">
        <v>10</v>
      </c>
      <c r="B137" s="12" t="s">
        <v>37</v>
      </c>
      <c r="C137" s="12">
        <v>1313.539</v>
      </c>
      <c r="D137" s="12">
        <v>0.13200000000000001</v>
      </c>
      <c r="E137">
        <v>0.56899999999999995</v>
      </c>
      <c r="F137">
        <v>0</v>
      </c>
      <c r="G137">
        <v>0</v>
      </c>
      <c r="H137">
        <v>6</v>
      </c>
      <c r="I137">
        <v>158.839</v>
      </c>
      <c r="J137">
        <v>177.268</v>
      </c>
      <c r="K137">
        <v>0.51</v>
      </c>
      <c r="L137">
        <v>72.058000000000007</v>
      </c>
      <c r="M137">
        <v>173.62</v>
      </c>
      <c r="N137">
        <v>0</v>
      </c>
      <c r="O137">
        <v>4.915</v>
      </c>
      <c r="P137">
        <v>25.832000000000001</v>
      </c>
      <c r="Q137">
        <v>6.3719999999999999</v>
      </c>
      <c r="R137">
        <v>1784</v>
      </c>
      <c r="S137">
        <v>373</v>
      </c>
      <c r="T137">
        <v>589</v>
      </c>
      <c r="U137">
        <v>9.218</v>
      </c>
      <c r="V137">
        <v>36.222999999999999</v>
      </c>
      <c r="W137">
        <v>2.0470000000000002</v>
      </c>
      <c r="X137">
        <v>0.48799999999999999</v>
      </c>
      <c r="Y137">
        <v>0.76600000000000001</v>
      </c>
      <c r="Z137">
        <v>0</v>
      </c>
      <c r="AA137">
        <v>255</v>
      </c>
      <c r="AD137" s="11">
        <f t="shared" si="18"/>
        <v>103.354</v>
      </c>
      <c r="AE137" s="11">
        <f t="shared" si="19"/>
        <v>3.0000000000000027E-3</v>
      </c>
      <c r="AF137" s="11">
        <f t="shared" si="20"/>
        <v>1062</v>
      </c>
      <c r="AH137">
        <f>FORECAST(AD137, {0,1}, {0,89000})</f>
        <v>1.1612808988764045E-3</v>
      </c>
      <c r="AJ137">
        <v>0</v>
      </c>
    </row>
    <row r="138" spans="1:36" x14ac:dyDescent="0.2">
      <c r="A138" s="12">
        <v>11</v>
      </c>
      <c r="B138" s="12" t="s">
        <v>37</v>
      </c>
      <c r="C138" s="12">
        <v>1518.3030000000001</v>
      </c>
      <c r="D138" s="12">
        <v>0.13200000000000001</v>
      </c>
      <c r="E138">
        <v>0.56299999999999994</v>
      </c>
      <c r="F138">
        <v>0</v>
      </c>
      <c r="G138">
        <v>0</v>
      </c>
      <c r="H138">
        <v>6</v>
      </c>
      <c r="I138">
        <v>145.12100000000001</v>
      </c>
      <c r="J138">
        <v>85.391999999999996</v>
      </c>
      <c r="K138">
        <v>0.58399999999999996</v>
      </c>
      <c r="L138">
        <v>65.203000000000003</v>
      </c>
      <c r="M138">
        <v>199.8</v>
      </c>
      <c r="N138">
        <v>0</v>
      </c>
      <c r="O138">
        <v>4.8949999999999996</v>
      </c>
      <c r="P138">
        <v>25.684000000000001</v>
      </c>
      <c r="Q138">
        <v>6.4420000000000002</v>
      </c>
      <c r="R138">
        <v>2053</v>
      </c>
      <c r="S138">
        <v>415</v>
      </c>
      <c r="T138">
        <v>341</v>
      </c>
      <c r="U138">
        <v>52.582000000000001</v>
      </c>
      <c r="V138">
        <v>36.805</v>
      </c>
      <c r="W138">
        <v>1.9179999999999999</v>
      </c>
      <c r="X138">
        <v>0.52100000000000002</v>
      </c>
      <c r="Y138">
        <v>0.80600000000000005</v>
      </c>
      <c r="Z138">
        <v>0</v>
      </c>
      <c r="AA138">
        <v>255</v>
      </c>
      <c r="AD138" s="11">
        <f t="shared" si="18"/>
        <v>129.53399999999999</v>
      </c>
      <c r="AE138" s="11">
        <f t="shared" si="19"/>
        <v>3.0000000000000027E-3</v>
      </c>
      <c r="AF138" s="11">
        <f t="shared" si="20"/>
        <v>1331</v>
      </c>
      <c r="AH138">
        <f>FORECAST(AD138, {0,1}, {0,89000})</f>
        <v>1.4554382022471911E-3</v>
      </c>
      <c r="AJ138">
        <v>0</v>
      </c>
    </row>
    <row r="139" spans="1:36" x14ac:dyDescent="0.2">
      <c r="A139" s="12">
        <v>12</v>
      </c>
      <c r="B139" s="12" t="s">
        <v>37</v>
      </c>
      <c r="C139" s="12">
        <v>876.08199999999999</v>
      </c>
      <c r="D139" s="12">
        <v>0.129</v>
      </c>
      <c r="E139">
        <v>0.56999999999999995</v>
      </c>
      <c r="F139">
        <v>0</v>
      </c>
      <c r="G139">
        <v>0</v>
      </c>
      <c r="H139">
        <v>5</v>
      </c>
      <c r="I139">
        <v>120.271</v>
      </c>
      <c r="J139">
        <v>65.959999999999994</v>
      </c>
      <c r="K139">
        <v>0.73899999999999999</v>
      </c>
      <c r="L139">
        <v>43.338999999999999</v>
      </c>
      <c r="M139">
        <v>113.087</v>
      </c>
      <c r="N139">
        <v>0</v>
      </c>
      <c r="O139">
        <v>4.968</v>
      </c>
      <c r="P139">
        <v>25.925999999999998</v>
      </c>
      <c r="Q139">
        <v>6.01</v>
      </c>
      <c r="R139">
        <v>1162</v>
      </c>
      <c r="S139">
        <v>338</v>
      </c>
      <c r="T139">
        <v>253</v>
      </c>
      <c r="U139">
        <v>59.744</v>
      </c>
      <c r="V139">
        <v>28.890999999999998</v>
      </c>
      <c r="W139">
        <v>1.3380000000000001</v>
      </c>
      <c r="X139">
        <v>0.747</v>
      </c>
      <c r="Y139">
        <v>0.93100000000000005</v>
      </c>
      <c r="Z139">
        <v>0</v>
      </c>
      <c r="AA139">
        <v>255</v>
      </c>
      <c r="AD139" s="11">
        <f t="shared" si="18"/>
        <v>42.820999999999998</v>
      </c>
      <c r="AE139" s="11">
        <f t="shared" si="19"/>
        <v>0</v>
      </c>
      <c r="AF139" s="11">
        <f t="shared" si="20"/>
        <v>440</v>
      </c>
      <c r="AH139">
        <f>FORECAST(AD139, {0,1}, {0,89000})</f>
        <v>4.8113483146067416E-4</v>
      </c>
      <c r="AJ139">
        <v>0</v>
      </c>
    </row>
    <row r="140" spans="1:36" x14ac:dyDescent="0.2">
      <c r="A140" s="12">
        <v>13</v>
      </c>
      <c r="B140" s="12" t="s">
        <v>37</v>
      </c>
      <c r="C140" s="12">
        <v>1312.4690000000001</v>
      </c>
      <c r="D140" s="12">
        <v>0.126</v>
      </c>
      <c r="E140">
        <v>0.55500000000000005</v>
      </c>
      <c r="F140">
        <v>0</v>
      </c>
      <c r="G140">
        <v>0</v>
      </c>
      <c r="H140">
        <v>6</v>
      </c>
      <c r="I140">
        <v>93.938999999999993</v>
      </c>
      <c r="J140">
        <v>159.14099999999999</v>
      </c>
      <c r="K140">
        <v>0.59599999999999997</v>
      </c>
      <c r="L140">
        <v>66.206999999999994</v>
      </c>
      <c r="M140">
        <v>165.05600000000001</v>
      </c>
      <c r="N140">
        <v>0</v>
      </c>
      <c r="O140">
        <v>5.149</v>
      </c>
      <c r="P140">
        <v>29.091999999999999</v>
      </c>
      <c r="Q140">
        <v>6.1769999999999996</v>
      </c>
      <c r="R140">
        <v>1696</v>
      </c>
      <c r="S140">
        <v>235</v>
      </c>
      <c r="T140">
        <v>574</v>
      </c>
      <c r="U140">
        <v>60.656999999999996</v>
      </c>
      <c r="V140">
        <v>36.591999999999999</v>
      </c>
      <c r="W140">
        <v>1.5469999999999999</v>
      </c>
      <c r="X140">
        <v>0.64600000000000002</v>
      </c>
      <c r="Y140">
        <v>0.88100000000000001</v>
      </c>
      <c r="Z140">
        <v>0</v>
      </c>
      <c r="AA140">
        <v>255</v>
      </c>
      <c r="AD140" s="11">
        <f t="shared" si="18"/>
        <v>94.79</v>
      </c>
      <c r="AE140" s="11">
        <f t="shared" si="19"/>
        <v>-3.0000000000000027E-3</v>
      </c>
      <c r="AF140" s="11">
        <f t="shared" si="20"/>
        <v>974</v>
      </c>
      <c r="AH140">
        <f>FORECAST(AD140, {0,1}, {0,89000})</f>
        <v>1.065056179775281E-3</v>
      </c>
      <c r="AJ140">
        <v>0</v>
      </c>
    </row>
    <row r="141" spans="1:36" x14ac:dyDescent="0.2">
      <c r="A141" s="12">
        <v>14</v>
      </c>
      <c r="B141" s="12" t="s">
        <v>37</v>
      </c>
      <c r="C141" s="12">
        <v>1352.1759999999999</v>
      </c>
      <c r="D141" s="12">
        <v>0.114</v>
      </c>
      <c r="E141">
        <v>0.52900000000000003</v>
      </c>
      <c r="F141">
        <v>0</v>
      </c>
      <c r="G141">
        <v>0</v>
      </c>
      <c r="H141">
        <v>6</v>
      </c>
      <c r="I141">
        <v>40.945999999999998</v>
      </c>
      <c r="J141">
        <v>212.66900000000001</v>
      </c>
      <c r="K141">
        <v>0.70799999999999996</v>
      </c>
      <c r="L141">
        <v>62.220999999999997</v>
      </c>
      <c r="M141">
        <v>154.15600000000001</v>
      </c>
      <c r="N141">
        <v>0</v>
      </c>
      <c r="O141">
        <v>5.3860000000000001</v>
      </c>
      <c r="P141">
        <v>31.838000000000001</v>
      </c>
      <c r="Q141">
        <v>5.5490000000000004</v>
      </c>
      <c r="R141">
        <v>1584</v>
      </c>
      <c r="S141">
        <v>65</v>
      </c>
      <c r="T141">
        <v>751</v>
      </c>
      <c r="U141">
        <v>43.780999999999999</v>
      </c>
      <c r="V141">
        <v>30.771000000000001</v>
      </c>
      <c r="W141">
        <v>1.9359999999999999</v>
      </c>
      <c r="X141">
        <v>0.51600000000000001</v>
      </c>
      <c r="Y141">
        <v>0.92500000000000004</v>
      </c>
      <c r="Z141">
        <v>0</v>
      </c>
      <c r="AA141">
        <v>255</v>
      </c>
      <c r="AD141" s="11">
        <f t="shared" si="18"/>
        <v>83.89</v>
      </c>
      <c r="AE141" s="11">
        <f t="shared" si="19"/>
        <v>-1.4999999999999999E-2</v>
      </c>
      <c r="AF141" s="11">
        <f t="shared" si="20"/>
        <v>862</v>
      </c>
      <c r="AH141">
        <f>FORECAST(AD141, {0,1}, {0,89000})</f>
        <v>9.4258426966292144E-4</v>
      </c>
      <c r="AJ141">
        <v>0</v>
      </c>
    </row>
    <row r="142" spans="1:36" x14ac:dyDescent="0.2">
      <c r="A142" s="12">
        <v>15</v>
      </c>
      <c r="B142" s="12" t="s">
        <v>37</v>
      </c>
      <c r="C142" s="12">
        <v>1342.8330000000001</v>
      </c>
      <c r="D142" s="12">
        <v>0.11</v>
      </c>
      <c r="E142">
        <v>0.51800000000000002</v>
      </c>
      <c r="F142">
        <v>0</v>
      </c>
      <c r="G142">
        <v>0</v>
      </c>
      <c r="H142">
        <v>6</v>
      </c>
      <c r="I142">
        <v>43.453000000000003</v>
      </c>
      <c r="J142">
        <v>184.01900000000001</v>
      </c>
      <c r="K142">
        <v>0.48499999999999999</v>
      </c>
      <c r="L142">
        <v>75.665999999999997</v>
      </c>
      <c r="M142">
        <v>147.149</v>
      </c>
      <c r="N142">
        <v>0</v>
      </c>
      <c r="O142">
        <v>5.5620000000000003</v>
      </c>
      <c r="P142">
        <v>34.226999999999997</v>
      </c>
      <c r="Q142">
        <v>5.4279999999999999</v>
      </c>
      <c r="R142">
        <v>1512</v>
      </c>
      <c r="S142">
        <v>5</v>
      </c>
      <c r="T142">
        <v>646</v>
      </c>
      <c r="U142">
        <v>18.510000000000002</v>
      </c>
      <c r="V142">
        <v>31.329000000000001</v>
      </c>
      <c r="W142">
        <v>2.6709999999999998</v>
      </c>
      <c r="X142">
        <v>0.374</v>
      </c>
      <c r="Y142">
        <v>0.77800000000000002</v>
      </c>
      <c r="Z142">
        <v>0</v>
      </c>
      <c r="AA142">
        <v>255</v>
      </c>
      <c r="AD142" s="11">
        <f t="shared" si="18"/>
        <v>76.882999999999996</v>
      </c>
      <c r="AE142" s="11">
        <f t="shared" si="19"/>
        <v>-1.9000000000000003E-2</v>
      </c>
      <c r="AF142" s="11">
        <f t="shared" si="20"/>
        <v>790</v>
      </c>
      <c r="AH142">
        <f>FORECAST(AD142, {0,1}, {0,89000})</f>
        <v>8.6385393258426972E-4</v>
      </c>
      <c r="AJ142">
        <v>0</v>
      </c>
    </row>
    <row r="143" spans="1:36" x14ac:dyDescent="0.2">
      <c r="A143" s="12">
        <v>16</v>
      </c>
      <c r="B143" s="12" t="s">
        <v>37</v>
      </c>
      <c r="C143" s="12">
        <v>1151.5</v>
      </c>
      <c r="D143" s="12">
        <v>0.108</v>
      </c>
      <c r="E143">
        <v>0.52</v>
      </c>
      <c r="F143">
        <v>0</v>
      </c>
      <c r="G143">
        <v>0</v>
      </c>
      <c r="H143">
        <v>5</v>
      </c>
      <c r="I143">
        <v>31.234999999999999</v>
      </c>
      <c r="J143">
        <v>96.954999999999998</v>
      </c>
      <c r="K143">
        <v>0.59</v>
      </c>
      <c r="L143">
        <v>53.24</v>
      </c>
      <c r="M143">
        <v>124.863</v>
      </c>
      <c r="N143">
        <v>0</v>
      </c>
      <c r="O143">
        <v>5.5119999999999996</v>
      </c>
      <c r="P143">
        <v>32.591999999999999</v>
      </c>
      <c r="Q143">
        <v>5.2229999999999999</v>
      </c>
      <c r="R143">
        <v>1283</v>
      </c>
      <c r="S143">
        <v>47</v>
      </c>
      <c r="T143">
        <v>370</v>
      </c>
      <c r="U143">
        <v>31.827000000000002</v>
      </c>
      <c r="V143">
        <v>35.453000000000003</v>
      </c>
      <c r="W143">
        <v>1.667</v>
      </c>
      <c r="X143">
        <v>0.6</v>
      </c>
      <c r="Y143">
        <v>0.81899999999999995</v>
      </c>
      <c r="Z143">
        <v>0</v>
      </c>
      <c r="AA143">
        <v>255</v>
      </c>
      <c r="AD143" s="11">
        <f t="shared" si="18"/>
        <v>54.596999999999994</v>
      </c>
      <c r="AE143" s="11">
        <f t="shared" si="19"/>
        <v>-2.1000000000000005E-2</v>
      </c>
      <c r="AF143" s="11">
        <f t="shared" si="20"/>
        <v>561</v>
      </c>
      <c r="AH143">
        <f>FORECAST(AD143, {0,1}, {0,89000})</f>
        <v>6.1344943820224713E-4</v>
      </c>
      <c r="AJ143">
        <v>0</v>
      </c>
    </row>
    <row r="144" spans="1:36" x14ac:dyDescent="0.2">
      <c r="A144" s="12">
        <v>17</v>
      </c>
      <c r="B144" s="12" t="s">
        <v>37</v>
      </c>
      <c r="C144" s="12">
        <v>1323.6610000000001</v>
      </c>
      <c r="D144" s="12">
        <v>0.11799999999999999</v>
      </c>
      <c r="E144">
        <v>0.54600000000000004</v>
      </c>
      <c r="F144">
        <v>0</v>
      </c>
      <c r="G144">
        <v>0</v>
      </c>
      <c r="H144">
        <v>6</v>
      </c>
      <c r="I144">
        <v>24.891999999999999</v>
      </c>
      <c r="J144">
        <v>16.837</v>
      </c>
      <c r="K144">
        <v>0.60699999999999998</v>
      </c>
      <c r="L144">
        <v>52.783999999999999</v>
      </c>
      <c r="M144">
        <v>156.589</v>
      </c>
      <c r="N144">
        <v>0</v>
      </c>
      <c r="O144">
        <v>5.4050000000000002</v>
      </c>
      <c r="P144">
        <v>32.137</v>
      </c>
      <c r="Q144">
        <v>5.6909999999999998</v>
      </c>
      <c r="R144">
        <v>1609</v>
      </c>
      <c r="S144">
        <v>36</v>
      </c>
      <c r="T144">
        <v>2</v>
      </c>
      <c r="U144">
        <v>127.07299999999999</v>
      </c>
      <c r="V144">
        <v>41.307000000000002</v>
      </c>
      <c r="W144">
        <v>1.1459999999999999</v>
      </c>
      <c r="X144">
        <v>0.873</v>
      </c>
      <c r="Y144">
        <v>0.79600000000000004</v>
      </c>
      <c r="Z144">
        <v>0</v>
      </c>
      <c r="AA144">
        <v>255</v>
      </c>
      <c r="AD144" s="11">
        <f t="shared" si="18"/>
        <v>86.322999999999993</v>
      </c>
      <c r="AE144" s="11">
        <f t="shared" si="19"/>
        <v>-1.100000000000001E-2</v>
      </c>
      <c r="AF144" s="11">
        <f t="shared" si="20"/>
        <v>887</v>
      </c>
      <c r="AH144">
        <f>FORECAST(AD144, {0,1}, {0,89000})</f>
        <v>9.6992134831460676E-4</v>
      </c>
      <c r="AJ144">
        <v>0</v>
      </c>
    </row>
    <row r="145" spans="1:36" x14ac:dyDescent="0.2">
      <c r="A145" s="12">
        <v>18</v>
      </c>
      <c r="B145" s="12" t="s">
        <v>37</v>
      </c>
      <c r="C145" s="12">
        <v>968.82899999999995</v>
      </c>
      <c r="D145" s="12">
        <v>9.0999999999999998E-2</v>
      </c>
      <c r="E145">
        <v>0.48</v>
      </c>
      <c r="F145">
        <v>0</v>
      </c>
      <c r="G145">
        <v>0</v>
      </c>
      <c r="H145">
        <v>6</v>
      </c>
      <c r="I145">
        <v>14.124000000000001</v>
      </c>
      <c r="J145">
        <v>289.12599999999998</v>
      </c>
      <c r="K145">
        <v>0.59699999999999998</v>
      </c>
      <c r="L145">
        <v>48.354999999999997</v>
      </c>
      <c r="M145">
        <v>88.075000000000003</v>
      </c>
      <c r="N145">
        <v>0</v>
      </c>
      <c r="O145">
        <v>6.3620000000000001</v>
      </c>
      <c r="P145">
        <v>45.677999999999997</v>
      </c>
      <c r="Q145">
        <v>4.51</v>
      </c>
      <c r="R145">
        <v>905</v>
      </c>
      <c r="S145">
        <v>17</v>
      </c>
      <c r="T145">
        <v>870</v>
      </c>
      <c r="U145">
        <v>103.05</v>
      </c>
      <c r="V145">
        <v>31.82</v>
      </c>
      <c r="W145">
        <v>1.391</v>
      </c>
      <c r="X145">
        <v>0.71899999999999997</v>
      </c>
      <c r="Y145">
        <v>0.84199999999999997</v>
      </c>
      <c r="Z145">
        <v>0</v>
      </c>
      <c r="AA145">
        <v>255</v>
      </c>
      <c r="AD145" s="11">
        <f t="shared" si="18"/>
        <v>17.808999999999997</v>
      </c>
      <c r="AE145" s="11">
        <f t="shared" si="19"/>
        <v>-3.8000000000000006E-2</v>
      </c>
      <c r="AF145" s="11">
        <f t="shared" si="20"/>
        <v>183</v>
      </c>
      <c r="AH145">
        <f>FORECAST(AD145, {0,1}, {0,89000})</f>
        <v>2.001011235955056E-4</v>
      </c>
      <c r="AJ145">
        <v>0</v>
      </c>
    </row>
    <row r="146" spans="1:36" x14ac:dyDescent="0.2">
      <c r="A146" s="12">
        <v>19</v>
      </c>
      <c r="B146" s="12" t="s">
        <v>37</v>
      </c>
      <c r="C146" s="12">
        <v>1053.693</v>
      </c>
      <c r="D146" s="12">
        <v>0.11</v>
      </c>
      <c r="E146">
        <v>0.51900000000000002</v>
      </c>
      <c r="F146">
        <v>0</v>
      </c>
      <c r="G146">
        <v>0</v>
      </c>
      <c r="H146">
        <v>6</v>
      </c>
      <c r="I146">
        <v>247.67699999999999</v>
      </c>
      <c r="J146">
        <v>212.779</v>
      </c>
      <c r="K146">
        <v>0.74299999999999999</v>
      </c>
      <c r="L146">
        <v>48.83</v>
      </c>
      <c r="M146">
        <v>116.396</v>
      </c>
      <c r="N146">
        <v>0</v>
      </c>
      <c r="O146">
        <v>5.36</v>
      </c>
      <c r="P146">
        <v>31.015000000000001</v>
      </c>
      <c r="Q146">
        <v>5.32</v>
      </c>
      <c r="R146">
        <v>1196</v>
      </c>
      <c r="S146">
        <v>713</v>
      </c>
      <c r="T146">
        <v>676</v>
      </c>
      <c r="U146">
        <v>169.69499999999999</v>
      </c>
      <c r="V146">
        <v>34.774999999999999</v>
      </c>
      <c r="W146">
        <v>1.4990000000000001</v>
      </c>
      <c r="X146">
        <v>0.66700000000000004</v>
      </c>
      <c r="Y146">
        <v>0.92600000000000005</v>
      </c>
      <c r="Z146">
        <v>0</v>
      </c>
      <c r="AA146">
        <v>255</v>
      </c>
      <c r="AD146" s="11">
        <f t="shared" si="18"/>
        <v>46.129999999999995</v>
      </c>
      <c r="AE146" s="11">
        <f t="shared" si="19"/>
        <v>-1.9000000000000003E-2</v>
      </c>
      <c r="AF146" s="11">
        <f t="shared" si="20"/>
        <v>474</v>
      </c>
      <c r="AH146">
        <f>FORECAST(AD146, {0,1}, {0,89000})</f>
        <v>5.1831460674157297E-4</v>
      </c>
      <c r="AJ146">
        <v>0</v>
      </c>
    </row>
    <row r="147" spans="1:36" x14ac:dyDescent="0.2">
      <c r="A147" s="12">
        <v>20</v>
      </c>
      <c r="B147" s="12" t="s">
        <v>37</v>
      </c>
      <c r="C147" s="12">
        <v>328.75</v>
      </c>
      <c r="D147" s="12">
        <v>0.124</v>
      </c>
      <c r="E147">
        <v>0.56100000000000005</v>
      </c>
      <c r="F147">
        <v>0</v>
      </c>
      <c r="G147">
        <v>0</v>
      </c>
      <c r="H147">
        <v>5</v>
      </c>
      <c r="I147">
        <v>86.796999999999997</v>
      </c>
      <c r="J147">
        <v>44.359000000000002</v>
      </c>
      <c r="K147">
        <v>0.82399999999999995</v>
      </c>
      <c r="L147">
        <v>24.936</v>
      </c>
      <c r="M147">
        <v>40.777000000000001</v>
      </c>
      <c r="N147">
        <v>0</v>
      </c>
      <c r="O147">
        <v>5.13</v>
      </c>
      <c r="P147">
        <v>27.963999999999999</v>
      </c>
      <c r="Q147">
        <v>5.7729999999999997</v>
      </c>
      <c r="R147">
        <v>419</v>
      </c>
      <c r="S147">
        <v>251</v>
      </c>
      <c r="T147">
        <v>110</v>
      </c>
      <c r="U147">
        <v>133.47900000000001</v>
      </c>
      <c r="V147">
        <v>18.718</v>
      </c>
      <c r="W147">
        <v>1.2629999999999999</v>
      </c>
      <c r="X147">
        <v>0.79200000000000004</v>
      </c>
      <c r="Y147">
        <v>0.93799999999999994</v>
      </c>
      <c r="Z147">
        <v>0</v>
      </c>
      <c r="AA147">
        <v>255</v>
      </c>
      <c r="AD147" s="11">
        <f t="shared" si="18"/>
        <v>-29.489000000000004</v>
      </c>
      <c r="AE147" s="11">
        <f t="shared" si="19"/>
        <v>-5.0000000000000044E-3</v>
      </c>
      <c r="AF147" s="11">
        <f t="shared" si="20"/>
        <v>-303</v>
      </c>
      <c r="AH147">
        <f>FORECAST(AD147, {0,1}, {0,89000})</f>
        <v>-3.3133707865168544E-4</v>
      </c>
      <c r="AJ147">
        <v>0</v>
      </c>
    </row>
    <row r="148" spans="1:36" x14ac:dyDescent="0.2">
      <c r="A148" s="12">
        <v>21</v>
      </c>
      <c r="B148" s="12" t="s">
        <v>27</v>
      </c>
      <c r="C148" s="12">
        <v>544.80200000000002</v>
      </c>
      <c r="D148" s="12">
        <v>0.129</v>
      </c>
      <c r="E148">
        <v>0.56899999999999995</v>
      </c>
      <c r="F148">
        <v>0</v>
      </c>
      <c r="G148">
        <v>0</v>
      </c>
      <c r="H148">
        <v>5</v>
      </c>
      <c r="I148">
        <v>296.55700000000002</v>
      </c>
      <c r="J148">
        <v>132.44999999999999</v>
      </c>
      <c r="K148">
        <v>0.85</v>
      </c>
      <c r="L148">
        <v>27.882000000000001</v>
      </c>
      <c r="M148">
        <v>70.266000000000005</v>
      </c>
      <c r="N148">
        <v>0</v>
      </c>
      <c r="O148">
        <v>5.0659999999999998</v>
      </c>
      <c r="P148">
        <v>27.588000000000001</v>
      </c>
      <c r="Q148">
        <v>6.0910000000000002</v>
      </c>
      <c r="R148">
        <v>722</v>
      </c>
      <c r="S148">
        <v>919</v>
      </c>
      <c r="T148">
        <v>395</v>
      </c>
      <c r="U148">
        <v>139.53800000000001</v>
      </c>
      <c r="V148">
        <v>25.893000000000001</v>
      </c>
      <c r="W148">
        <v>1.0269999999999999</v>
      </c>
      <c r="X148">
        <v>0.97399999999999998</v>
      </c>
      <c r="Y148">
        <v>0.98899999999999999</v>
      </c>
      <c r="Z148">
        <v>0</v>
      </c>
      <c r="AA148">
        <v>255</v>
      </c>
      <c r="AD148" s="11">
        <f t="shared" si="18"/>
        <v>0</v>
      </c>
      <c r="AE148" s="11">
        <f t="shared" si="19"/>
        <v>0</v>
      </c>
      <c r="AF148" s="11">
        <f t="shared" si="20"/>
        <v>0</v>
      </c>
      <c r="AH148">
        <f>FORECAST(AD148, {0,1}, {0,89000})</f>
        <v>0</v>
      </c>
      <c r="AJ148">
        <v>0</v>
      </c>
    </row>
    <row r="149" spans="1:36" x14ac:dyDescent="0.2">
      <c r="A149" s="12"/>
      <c r="B149" s="12"/>
      <c r="C149" s="12"/>
      <c r="D149" s="12"/>
    </row>
    <row r="150" spans="1:36" x14ac:dyDescent="0.2">
      <c r="A150" s="12"/>
      <c r="B150" s="12"/>
      <c r="C150" s="12"/>
      <c r="D150" s="12"/>
    </row>
  </sheetData>
  <autoFilter ref="A1:AL127" xr:uid="{78394C13-8AE5-AB4F-8D17-BCB63D50032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D1F7-7C37-644C-8468-874463F6325A}">
  <dimension ref="C1:G6"/>
  <sheetViews>
    <sheetView workbookViewId="0">
      <selection activeCell="E12" sqref="E12"/>
    </sheetView>
  </sheetViews>
  <sheetFormatPr baseColWidth="10" defaultRowHeight="16" x14ac:dyDescent="0.2"/>
  <sheetData>
    <row r="1" spans="3:7" x14ac:dyDescent="0.2">
      <c r="C1">
        <v>6</v>
      </c>
      <c r="D1">
        <v>0.14674173483146072</v>
      </c>
      <c r="E1">
        <v>13060.014400000004</v>
      </c>
      <c r="F1">
        <v>11.106349999999999</v>
      </c>
      <c r="G1">
        <v>134195.45000000001</v>
      </c>
    </row>
    <row r="2" spans="3:7" x14ac:dyDescent="0.2">
      <c r="C2">
        <v>12</v>
      </c>
      <c r="D2">
        <v>0.12796007415730337</v>
      </c>
      <c r="E2">
        <v>11388.446599999999</v>
      </c>
      <c r="F2">
        <v>13.235299999999999</v>
      </c>
      <c r="G2">
        <v>117019.6</v>
      </c>
    </row>
    <row r="3" spans="3:7" x14ac:dyDescent="0.2">
      <c r="C3">
        <v>1</v>
      </c>
      <c r="D3">
        <v>4.4583012921348322E-2</v>
      </c>
      <c r="E3">
        <v>3967.8881500000002</v>
      </c>
      <c r="F3">
        <v>3.8746499999999999</v>
      </c>
      <c r="G3">
        <v>40771.199999999997</v>
      </c>
    </row>
    <row r="4" spans="3:7" x14ac:dyDescent="0.2">
      <c r="C4">
        <v>3</v>
      </c>
      <c r="D4">
        <v>0.17745335000000001</v>
      </c>
      <c r="E4">
        <v>15793.34815</v>
      </c>
      <c r="F4">
        <v>7.8615500000000011</v>
      </c>
      <c r="G4">
        <v>162281.25</v>
      </c>
    </row>
    <row r="5" spans="3:7" x14ac:dyDescent="0.2">
      <c r="C5">
        <v>18</v>
      </c>
      <c r="D5">
        <v>0.40712163089887649</v>
      </c>
      <c r="E5">
        <v>36233.825150000004</v>
      </c>
      <c r="F5">
        <v>20.1309</v>
      </c>
      <c r="G5">
        <v>372313.1</v>
      </c>
    </row>
    <row r="6" spans="3:7" x14ac:dyDescent="0.2">
      <c r="C6">
        <v>24</v>
      </c>
      <c r="D6">
        <v>0.17919211516853933</v>
      </c>
      <c r="E6">
        <v>15948.098249999999</v>
      </c>
      <c r="F6">
        <v>15.808749999999998</v>
      </c>
      <c r="G6">
        <v>163871.35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2024-03-30T00:22:32Z</dcterms:created>
  <dcterms:modified xsi:type="dcterms:W3CDTF">2024-03-30T12:18:40Z</dcterms:modified>
</cp:coreProperties>
</file>