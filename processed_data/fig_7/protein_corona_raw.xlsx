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housley/GaTech Dropbox/Nick Housley/papers_dropbox/tumor_agnostic_delivery/data/protein_corona/"/>
    </mc:Choice>
  </mc:AlternateContent>
  <xr:revisionPtr revIDLastSave="0" documentId="13_ncr:1_{C80480F2-E2DE-6F48-AE0E-ECEE9CC9C4A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Proteins" sheetId="1" r:id="rId1"/>
  </sheets>
  <definedNames>
    <definedName name="_xlnm._FilterDatabase" localSheetId="0" hidden="1">Proteins!$A$1:$DC$466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B3" i="1" l="1"/>
  <c r="CZ3" i="1"/>
  <c r="CZ4" i="1"/>
  <c r="CZ5" i="1"/>
  <c r="CZ6" i="1"/>
  <c r="CZ7" i="1"/>
  <c r="CZ8" i="1"/>
  <c r="CZ9" i="1"/>
  <c r="CZ10" i="1"/>
  <c r="CZ11" i="1"/>
  <c r="CZ12" i="1"/>
  <c r="CZ13" i="1"/>
  <c r="CZ14" i="1"/>
  <c r="CZ15" i="1"/>
  <c r="CZ16" i="1"/>
  <c r="CZ17" i="1"/>
  <c r="CZ18" i="1"/>
  <c r="CZ19" i="1"/>
  <c r="CZ20" i="1"/>
  <c r="CZ21" i="1"/>
  <c r="CZ22" i="1"/>
  <c r="CZ23" i="1"/>
  <c r="CZ24" i="1"/>
  <c r="CZ25" i="1"/>
  <c r="CZ26" i="1"/>
  <c r="CZ27" i="1"/>
  <c r="CZ28" i="1"/>
  <c r="CZ29" i="1"/>
  <c r="CZ30" i="1"/>
  <c r="CZ31" i="1"/>
  <c r="CZ32" i="1"/>
  <c r="CZ33" i="1"/>
  <c r="CZ34" i="1"/>
  <c r="CZ35" i="1"/>
  <c r="CZ36" i="1"/>
  <c r="CZ37" i="1"/>
  <c r="CZ38" i="1"/>
  <c r="CZ39" i="1"/>
  <c r="CZ40" i="1"/>
  <c r="CZ41" i="1"/>
  <c r="CZ42" i="1"/>
  <c r="CZ43" i="1"/>
  <c r="CZ44" i="1"/>
  <c r="CZ45" i="1"/>
  <c r="CZ46" i="1"/>
  <c r="CZ47" i="1"/>
  <c r="CZ48" i="1"/>
  <c r="CZ49" i="1"/>
  <c r="CZ50" i="1"/>
  <c r="CZ51" i="1"/>
  <c r="CZ52" i="1"/>
  <c r="CZ53" i="1"/>
  <c r="CZ54" i="1"/>
  <c r="CZ55" i="1"/>
  <c r="CZ56" i="1"/>
  <c r="CZ57" i="1"/>
  <c r="CZ58" i="1"/>
  <c r="CZ59" i="1"/>
  <c r="CZ60" i="1"/>
  <c r="CZ61" i="1"/>
  <c r="CZ62" i="1"/>
  <c r="CZ63" i="1"/>
  <c r="CZ64" i="1"/>
  <c r="CZ65" i="1"/>
  <c r="CZ66" i="1"/>
  <c r="CZ67" i="1"/>
  <c r="CZ68" i="1"/>
  <c r="CZ69" i="1"/>
  <c r="CZ70" i="1"/>
  <c r="CZ71" i="1"/>
  <c r="CZ72" i="1"/>
  <c r="CZ73" i="1"/>
  <c r="CZ74" i="1"/>
  <c r="CZ75" i="1"/>
  <c r="CZ76" i="1"/>
  <c r="CZ77" i="1"/>
  <c r="CZ78" i="1"/>
  <c r="CZ79" i="1"/>
  <c r="CZ80" i="1"/>
  <c r="CZ81" i="1"/>
  <c r="CZ82" i="1"/>
  <c r="CZ83" i="1"/>
  <c r="CZ84" i="1"/>
  <c r="CZ85" i="1"/>
  <c r="CZ86" i="1"/>
  <c r="CZ87" i="1"/>
  <c r="CZ88" i="1"/>
  <c r="CZ89" i="1"/>
  <c r="CZ90" i="1"/>
  <c r="CZ91" i="1"/>
  <c r="CZ92" i="1"/>
  <c r="CZ93" i="1"/>
  <c r="CZ94" i="1"/>
  <c r="CZ95" i="1"/>
  <c r="CZ96" i="1"/>
  <c r="CZ97" i="1"/>
  <c r="CZ98" i="1"/>
  <c r="CZ99" i="1"/>
  <c r="CZ100" i="1"/>
  <c r="CZ101" i="1"/>
  <c r="CZ102" i="1"/>
  <c r="CZ103" i="1"/>
  <c r="CZ104" i="1"/>
  <c r="CZ105" i="1"/>
  <c r="CZ106" i="1"/>
  <c r="CZ107" i="1"/>
  <c r="CZ108" i="1"/>
  <c r="CZ109" i="1"/>
  <c r="CZ110" i="1"/>
  <c r="CZ111" i="1"/>
  <c r="CZ112" i="1"/>
  <c r="CZ113" i="1"/>
  <c r="CZ114" i="1"/>
  <c r="CZ115" i="1"/>
  <c r="CZ116" i="1"/>
  <c r="CZ117" i="1"/>
  <c r="CZ118" i="1"/>
  <c r="CZ119" i="1"/>
  <c r="CZ120" i="1"/>
  <c r="CZ121" i="1"/>
  <c r="CZ122" i="1"/>
  <c r="CZ123" i="1"/>
  <c r="CZ124" i="1"/>
  <c r="CZ125" i="1"/>
  <c r="CZ126" i="1"/>
  <c r="CZ127" i="1"/>
  <c r="CZ128" i="1"/>
  <c r="CZ129" i="1"/>
  <c r="CZ130" i="1"/>
  <c r="CZ131" i="1"/>
  <c r="CZ132" i="1"/>
  <c r="CZ133" i="1"/>
  <c r="CZ134" i="1"/>
  <c r="CZ135" i="1"/>
  <c r="CZ136" i="1"/>
  <c r="CZ137" i="1"/>
  <c r="CZ138" i="1"/>
  <c r="CZ139" i="1"/>
  <c r="CZ140" i="1"/>
  <c r="CZ141" i="1"/>
  <c r="CZ142" i="1"/>
  <c r="CZ143" i="1"/>
  <c r="CZ144" i="1"/>
  <c r="CZ145" i="1"/>
  <c r="CZ146" i="1"/>
  <c r="CZ147" i="1"/>
  <c r="CZ148" i="1"/>
  <c r="CZ149" i="1"/>
  <c r="CZ150" i="1"/>
  <c r="CZ151" i="1"/>
  <c r="CZ152" i="1"/>
  <c r="CZ153" i="1"/>
  <c r="CZ154" i="1"/>
  <c r="CZ155" i="1"/>
  <c r="CZ156" i="1"/>
  <c r="CZ157" i="1"/>
  <c r="CZ158" i="1"/>
  <c r="CZ159" i="1"/>
  <c r="CZ160" i="1"/>
  <c r="CZ161" i="1"/>
  <c r="CZ162" i="1"/>
  <c r="CZ163" i="1"/>
  <c r="CZ164" i="1"/>
  <c r="CZ165" i="1"/>
  <c r="CZ166" i="1"/>
  <c r="CZ167" i="1"/>
  <c r="CZ168" i="1"/>
  <c r="CZ169" i="1"/>
  <c r="CZ170" i="1"/>
  <c r="CZ171" i="1"/>
  <c r="CZ172" i="1"/>
  <c r="CZ173" i="1"/>
  <c r="CZ174" i="1"/>
  <c r="CZ175" i="1"/>
  <c r="CZ176" i="1"/>
  <c r="CZ177" i="1"/>
  <c r="CZ178" i="1"/>
  <c r="CZ179" i="1"/>
  <c r="CZ180" i="1"/>
  <c r="CZ181" i="1"/>
  <c r="CZ182" i="1"/>
  <c r="CZ183" i="1"/>
  <c r="CZ184" i="1"/>
  <c r="CZ185" i="1"/>
  <c r="CZ186" i="1"/>
  <c r="CZ187" i="1"/>
  <c r="CZ188" i="1"/>
  <c r="CZ189" i="1"/>
  <c r="CZ190" i="1"/>
  <c r="CZ191" i="1"/>
  <c r="CZ192" i="1"/>
  <c r="CZ193" i="1"/>
  <c r="CZ194" i="1"/>
  <c r="CZ195" i="1"/>
  <c r="CZ196" i="1"/>
  <c r="CZ197" i="1"/>
  <c r="CZ198" i="1"/>
  <c r="CZ199" i="1"/>
  <c r="CZ200" i="1"/>
  <c r="CZ201" i="1"/>
  <c r="CZ202" i="1"/>
  <c r="CZ203" i="1"/>
  <c r="CZ204" i="1"/>
  <c r="CZ205" i="1"/>
  <c r="CZ206" i="1"/>
  <c r="CZ207" i="1"/>
  <c r="CZ208" i="1"/>
  <c r="CZ209" i="1"/>
  <c r="CZ210" i="1"/>
  <c r="CZ211" i="1"/>
  <c r="CZ212" i="1"/>
  <c r="CZ213" i="1"/>
  <c r="CZ214" i="1"/>
  <c r="CZ215" i="1"/>
  <c r="CZ216" i="1"/>
  <c r="CZ217" i="1"/>
  <c r="CZ218" i="1"/>
  <c r="CZ219" i="1"/>
  <c r="CZ220" i="1"/>
  <c r="CZ221" i="1"/>
  <c r="CZ222" i="1"/>
  <c r="CZ223" i="1"/>
  <c r="CZ224" i="1"/>
  <c r="CZ225" i="1"/>
  <c r="CZ226" i="1"/>
  <c r="CZ227" i="1"/>
  <c r="CZ228" i="1"/>
  <c r="CZ229" i="1"/>
  <c r="CZ230" i="1"/>
  <c r="CZ231" i="1"/>
  <c r="CZ232" i="1"/>
  <c r="CZ233" i="1"/>
  <c r="CZ234" i="1"/>
  <c r="CZ235" i="1"/>
  <c r="CZ236" i="1"/>
  <c r="CZ237" i="1"/>
  <c r="CZ238" i="1"/>
  <c r="CZ239" i="1"/>
  <c r="CZ240" i="1"/>
  <c r="CZ241" i="1"/>
  <c r="CZ242" i="1"/>
  <c r="CZ243" i="1"/>
  <c r="CZ244" i="1"/>
  <c r="CZ245" i="1"/>
  <c r="CZ246" i="1"/>
  <c r="CZ247" i="1"/>
  <c r="CZ248" i="1"/>
  <c r="CZ249" i="1"/>
  <c r="CZ250" i="1"/>
  <c r="CZ251" i="1"/>
  <c r="CZ252" i="1"/>
  <c r="CZ253" i="1"/>
  <c r="CZ254" i="1"/>
  <c r="CZ255" i="1"/>
  <c r="CZ256" i="1"/>
  <c r="CZ257" i="1"/>
  <c r="CZ258" i="1"/>
  <c r="CZ259" i="1"/>
  <c r="CZ260" i="1"/>
  <c r="CZ261" i="1"/>
  <c r="CZ262" i="1"/>
  <c r="CZ263" i="1"/>
  <c r="CZ264" i="1"/>
  <c r="CZ265" i="1"/>
  <c r="CZ266" i="1"/>
  <c r="CZ267" i="1"/>
  <c r="CZ268" i="1"/>
  <c r="CZ269" i="1"/>
  <c r="CZ270" i="1"/>
  <c r="CZ271" i="1"/>
  <c r="CZ272" i="1"/>
  <c r="CZ273" i="1"/>
  <c r="CZ274" i="1"/>
  <c r="CZ275" i="1"/>
  <c r="CZ276" i="1"/>
  <c r="CZ277" i="1"/>
  <c r="CZ278" i="1"/>
  <c r="CZ279" i="1"/>
  <c r="CZ280" i="1"/>
  <c r="CZ281" i="1"/>
  <c r="CZ282" i="1"/>
  <c r="CZ283" i="1"/>
  <c r="CZ284" i="1"/>
  <c r="CZ285" i="1"/>
  <c r="CZ286" i="1"/>
  <c r="CZ287" i="1"/>
  <c r="CZ288" i="1"/>
  <c r="CZ289" i="1"/>
  <c r="CZ290" i="1"/>
  <c r="CZ291" i="1"/>
  <c r="CZ292" i="1"/>
  <c r="CZ293" i="1"/>
  <c r="CZ294" i="1"/>
  <c r="CZ295" i="1"/>
  <c r="CZ296" i="1"/>
  <c r="CZ297" i="1"/>
  <c r="CZ298" i="1"/>
  <c r="CZ299" i="1"/>
  <c r="CZ300" i="1"/>
  <c r="CZ301" i="1"/>
  <c r="CZ302" i="1"/>
  <c r="CZ303" i="1"/>
  <c r="CZ304" i="1"/>
  <c r="CZ305" i="1"/>
  <c r="CZ306" i="1"/>
  <c r="CZ307" i="1"/>
  <c r="CZ308" i="1"/>
  <c r="CZ309" i="1"/>
  <c r="CZ310" i="1"/>
  <c r="CZ311" i="1"/>
  <c r="CZ312" i="1"/>
  <c r="CZ313" i="1"/>
  <c r="CZ314" i="1"/>
  <c r="CZ315" i="1"/>
  <c r="CZ316" i="1"/>
  <c r="CZ317" i="1"/>
  <c r="CZ318" i="1"/>
  <c r="CZ319" i="1"/>
  <c r="CZ320" i="1"/>
  <c r="CZ321" i="1"/>
  <c r="CZ322" i="1"/>
  <c r="CZ323" i="1"/>
  <c r="CZ324" i="1"/>
  <c r="CZ325" i="1"/>
  <c r="CZ326" i="1"/>
  <c r="CZ327" i="1"/>
  <c r="CZ328" i="1"/>
  <c r="CZ329" i="1"/>
  <c r="CZ330" i="1"/>
  <c r="CZ331" i="1"/>
  <c r="CZ332" i="1"/>
  <c r="CZ333" i="1"/>
  <c r="CZ334" i="1"/>
  <c r="CZ335" i="1"/>
  <c r="CZ336" i="1"/>
  <c r="CZ337" i="1"/>
  <c r="CZ338" i="1"/>
  <c r="CZ339" i="1"/>
  <c r="CZ340" i="1"/>
  <c r="CZ341" i="1"/>
  <c r="CZ342" i="1"/>
  <c r="CZ343" i="1"/>
  <c r="CZ344" i="1"/>
  <c r="CZ345" i="1"/>
  <c r="CZ346" i="1"/>
  <c r="CZ347" i="1"/>
  <c r="CZ348" i="1"/>
  <c r="CZ349" i="1"/>
  <c r="CZ350" i="1"/>
  <c r="CZ351" i="1"/>
  <c r="CZ352" i="1"/>
  <c r="CZ353" i="1"/>
  <c r="CZ354" i="1"/>
  <c r="CZ355" i="1"/>
  <c r="CZ356" i="1"/>
  <c r="CZ357" i="1"/>
  <c r="CZ358" i="1"/>
  <c r="CZ359" i="1"/>
  <c r="CZ360" i="1"/>
  <c r="CZ361" i="1"/>
  <c r="CZ362" i="1"/>
  <c r="CZ363" i="1"/>
  <c r="CZ364" i="1"/>
  <c r="CZ365" i="1"/>
  <c r="CZ366" i="1"/>
  <c r="CZ367" i="1"/>
  <c r="CZ368" i="1"/>
  <c r="CZ369" i="1"/>
  <c r="CZ370" i="1"/>
  <c r="CZ371" i="1"/>
  <c r="CZ372" i="1"/>
  <c r="CZ373" i="1"/>
  <c r="CZ374" i="1"/>
  <c r="CZ375" i="1"/>
  <c r="CZ376" i="1"/>
  <c r="CZ377" i="1"/>
  <c r="CZ378" i="1"/>
  <c r="CZ379" i="1"/>
  <c r="CZ380" i="1"/>
  <c r="CZ381" i="1"/>
  <c r="CZ382" i="1"/>
  <c r="CZ383" i="1"/>
  <c r="CZ384" i="1"/>
  <c r="CZ385" i="1"/>
  <c r="CZ386" i="1"/>
  <c r="CZ387" i="1"/>
  <c r="CZ388" i="1"/>
  <c r="CZ389" i="1"/>
  <c r="CZ390" i="1"/>
  <c r="CZ391" i="1"/>
  <c r="CZ392" i="1"/>
  <c r="CZ393" i="1"/>
  <c r="CZ394" i="1"/>
  <c r="CZ395" i="1"/>
  <c r="CZ396" i="1"/>
  <c r="CZ397" i="1"/>
  <c r="CZ398" i="1"/>
  <c r="CZ399" i="1"/>
  <c r="CZ400" i="1"/>
  <c r="CZ401" i="1"/>
  <c r="CZ402" i="1"/>
  <c r="CZ403" i="1"/>
  <c r="CZ404" i="1"/>
  <c r="CZ405" i="1"/>
  <c r="CZ406" i="1"/>
  <c r="CZ407" i="1"/>
  <c r="CZ408" i="1"/>
  <c r="CZ409" i="1"/>
  <c r="CZ410" i="1"/>
  <c r="CZ411" i="1"/>
  <c r="CZ412" i="1"/>
  <c r="CZ413" i="1"/>
  <c r="CZ414" i="1"/>
  <c r="CZ415" i="1"/>
  <c r="CZ416" i="1"/>
  <c r="CZ417" i="1"/>
  <c r="CZ418" i="1"/>
  <c r="CZ419" i="1"/>
  <c r="CZ420" i="1"/>
  <c r="CZ421" i="1"/>
  <c r="CZ422" i="1"/>
  <c r="CZ423" i="1"/>
  <c r="CZ424" i="1"/>
  <c r="CZ425" i="1"/>
  <c r="CZ426" i="1"/>
  <c r="CZ427" i="1"/>
  <c r="CZ428" i="1"/>
  <c r="CZ429" i="1"/>
  <c r="CZ430" i="1"/>
  <c r="CZ431" i="1"/>
  <c r="CZ432" i="1"/>
  <c r="CZ433" i="1"/>
  <c r="CZ434" i="1"/>
  <c r="CZ435" i="1"/>
  <c r="CZ436" i="1"/>
  <c r="CZ437" i="1"/>
  <c r="CZ438" i="1"/>
  <c r="CZ439" i="1"/>
  <c r="CZ440" i="1"/>
  <c r="CZ441" i="1"/>
  <c r="CZ442" i="1"/>
  <c r="CZ443" i="1"/>
  <c r="CZ444" i="1"/>
  <c r="CZ445" i="1"/>
  <c r="CZ446" i="1"/>
  <c r="CZ447" i="1"/>
  <c r="CZ448" i="1"/>
  <c r="CZ449" i="1"/>
  <c r="CZ450" i="1"/>
  <c r="CZ451" i="1"/>
  <c r="CZ452" i="1"/>
  <c r="CZ453" i="1"/>
  <c r="CZ454" i="1"/>
  <c r="CZ455" i="1"/>
  <c r="CZ456" i="1"/>
  <c r="CZ457" i="1"/>
  <c r="CZ458" i="1"/>
  <c r="CZ459" i="1"/>
  <c r="CZ460" i="1"/>
  <c r="CZ461" i="1"/>
  <c r="CZ462" i="1"/>
  <c r="CZ463" i="1"/>
  <c r="CZ464" i="1"/>
  <c r="CZ465" i="1"/>
  <c r="CZ466" i="1"/>
  <c r="DC466" i="1" s="1"/>
  <c r="CZ2" i="1"/>
  <c r="CT30" i="1"/>
  <c r="CT39" i="1"/>
  <c r="CT110" i="1"/>
  <c r="DC110" i="1" s="1"/>
  <c r="CT48" i="1"/>
  <c r="CT7" i="1"/>
  <c r="CT170" i="1"/>
  <c r="CT161" i="1"/>
  <c r="CT222" i="1"/>
  <c r="CT171" i="1"/>
  <c r="CT107" i="1"/>
  <c r="CT6" i="1"/>
  <c r="DC6" i="1" s="1"/>
  <c r="CT46" i="1"/>
  <c r="DC46" i="1" s="1"/>
  <c r="CT62" i="1"/>
  <c r="DC62" i="1" s="1"/>
  <c r="CT47" i="1"/>
  <c r="CT81" i="1"/>
  <c r="CT37" i="1"/>
  <c r="DC37" i="1" s="1"/>
  <c r="CT157" i="1"/>
  <c r="DC157" i="1" s="1"/>
  <c r="CT132" i="1"/>
  <c r="DC132" i="1" s="1"/>
  <c r="CT26" i="1"/>
  <c r="CT75" i="1"/>
  <c r="DC75" i="1" s="1"/>
  <c r="CT22" i="1"/>
  <c r="DC22" i="1" s="1"/>
  <c r="CT78" i="1"/>
  <c r="CT40" i="1"/>
  <c r="CT93" i="1"/>
  <c r="DC93" i="1" s="1"/>
  <c r="CT133" i="1"/>
  <c r="DC133" i="1" s="1"/>
  <c r="CT15" i="1"/>
  <c r="CT38" i="1"/>
  <c r="DC38" i="1" s="1"/>
  <c r="CT44" i="1"/>
  <c r="DC44" i="1" s="1"/>
  <c r="CT167" i="1"/>
  <c r="CT29" i="1"/>
  <c r="DC29" i="1" s="1"/>
  <c r="CT220" i="1"/>
  <c r="DC220" i="1" s="1"/>
  <c r="CT111" i="1"/>
  <c r="CT24" i="1"/>
  <c r="CT64" i="1"/>
  <c r="CT77" i="1"/>
  <c r="DC77" i="1" s="1"/>
  <c r="CT73" i="1"/>
  <c r="DC73" i="1" s="1"/>
  <c r="CT28" i="1"/>
  <c r="DC28" i="1" s="1"/>
  <c r="CT71" i="1"/>
  <c r="CT150" i="1"/>
  <c r="CT126" i="1"/>
  <c r="CT54" i="1"/>
  <c r="CT33" i="1"/>
  <c r="CT55" i="1"/>
  <c r="CT14" i="1"/>
  <c r="DC14" i="1" s="1"/>
  <c r="CT11" i="1"/>
  <c r="DC11" i="1" s="1"/>
  <c r="CT234" i="1"/>
  <c r="CT94" i="1"/>
  <c r="CT180" i="1"/>
  <c r="DC180" i="1" s="1"/>
  <c r="CT92" i="1"/>
  <c r="DC92" i="1" s="1"/>
  <c r="CT13" i="1"/>
  <c r="DC13" i="1" s="1"/>
  <c r="CT82" i="1"/>
  <c r="CT87" i="1"/>
  <c r="DC87" i="1" s="1"/>
  <c r="CT88" i="1"/>
  <c r="DC88" i="1" s="1"/>
  <c r="CT119" i="1"/>
  <c r="CT52" i="1"/>
  <c r="DC52" i="1" s="1"/>
  <c r="CT49" i="1"/>
  <c r="CT50" i="1"/>
  <c r="CT192" i="1"/>
  <c r="CT159" i="1"/>
  <c r="CT80" i="1"/>
  <c r="CT207" i="1"/>
  <c r="CT17" i="1"/>
  <c r="DC17" i="1" s="1"/>
  <c r="CT89" i="1"/>
  <c r="CT210" i="1"/>
  <c r="CT191" i="1"/>
  <c r="CT35" i="1"/>
  <c r="CT32" i="1"/>
  <c r="CT232" i="1"/>
  <c r="CT235" i="1"/>
  <c r="DC235" i="1" s="1"/>
  <c r="CT113" i="1"/>
  <c r="DC113" i="1" s="1"/>
  <c r="CT109" i="1"/>
  <c r="DC109" i="1" s="1"/>
  <c r="CT189" i="1"/>
  <c r="DC189" i="1" s="1"/>
  <c r="CT19" i="1"/>
  <c r="DC19" i="1" s="1"/>
  <c r="CT68" i="1"/>
  <c r="DC68" i="1" s="1"/>
  <c r="CT4" i="1"/>
  <c r="DC4" i="1" s="1"/>
  <c r="CT56" i="1"/>
  <c r="CT27" i="1"/>
  <c r="DC27" i="1" s="1"/>
  <c r="CT164" i="1"/>
  <c r="DC164" i="1" s="1"/>
  <c r="CT121" i="1"/>
  <c r="CT128" i="1"/>
  <c r="CT101" i="1"/>
  <c r="DC101" i="1" s="1"/>
  <c r="CT83" i="1"/>
  <c r="CT43" i="1"/>
  <c r="DC43" i="1" s="1"/>
  <c r="CT42" i="1"/>
  <c r="CT137" i="1"/>
  <c r="DC137" i="1" s="1"/>
  <c r="CT236" i="1"/>
  <c r="DC236" i="1" s="1"/>
  <c r="CT86" i="1"/>
  <c r="CT84" i="1"/>
  <c r="DC84" i="1" s="1"/>
  <c r="CT120" i="1"/>
  <c r="CT53" i="1"/>
  <c r="DC53" i="1" s="1"/>
  <c r="CT76" i="1"/>
  <c r="DC76" i="1" s="1"/>
  <c r="CT124" i="1"/>
  <c r="DC124" i="1" s="1"/>
  <c r="CT221" i="1"/>
  <c r="DC221" i="1" s="1"/>
  <c r="CT108" i="1"/>
  <c r="DC108" i="1" s="1"/>
  <c r="CT9" i="1"/>
  <c r="CT140" i="1"/>
  <c r="DC140" i="1" s="1"/>
  <c r="CT117" i="1"/>
  <c r="DC117" i="1" s="1"/>
  <c r="CT104" i="1"/>
  <c r="CT51" i="1"/>
  <c r="DC51" i="1" s="1"/>
  <c r="CT237" i="1"/>
  <c r="DC237" i="1" s="1"/>
  <c r="CT169" i="1"/>
  <c r="DC169" i="1" s="1"/>
  <c r="CT57" i="1"/>
  <c r="DC57" i="1" s="1"/>
  <c r="CT152" i="1"/>
  <c r="CT158" i="1"/>
  <c r="CT115" i="1"/>
  <c r="DC115" i="1" s="1"/>
  <c r="CT144" i="1"/>
  <c r="CT10" i="1"/>
  <c r="CT147" i="1"/>
  <c r="DC147" i="1" s="1"/>
  <c r="CT225" i="1"/>
  <c r="DC225" i="1" s="1"/>
  <c r="CT34" i="1"/>
  <c r="CT143" i="1"/>
  <c r="CT31" i="1"/>
  <c r="CT135" i="1"/>
  <c r="CT214" i="1"/>
  <c r="CT69" i="1"/>
  <c r="DC69" i="1" s="1"/>
  <c r="CT131" i="1"/>
  <c r="DC131" i="1" s="1"/>
  <c r="CT65" i="1"/>
  <c r="DC65" i="1" s="1"/>
  <c r="CT99" i="1"/>
  <c r="CT112" i="1"/>
  <c r="CT106" i="1"/>
  <c r="CT156" i="1"/>
  <c r="DC156" i="1" s="1"/>
  <c r="CT21" i="1"/>
  <c r="DC21" i="1" s="1"/>
  <c r="CT96" i="1"/>
  <c r="CT182" i="1"/>
  <c r="DC182" i="1" s="1"/>
  <c r="CT160" i="1"/>
  <c r="DC160" i="1" s="1"/>
  <c r="CT127" i="1"/>
  <c r="CT45" i="1"/>
  <c r="DC45" i="1" s="1"/>
  <c r="CT208" i="1"/>
  <c r="CT151" i="1"/>
  <c r="CT118" i="1"/>
  <c r="CT172" i="1"/>
  <c r="DC172" i="1" s="1"/>
  <c r="CT138" i="1"/>
  <c r="CT41" i="1"/>
  <c r="DC41" i="1" s="1"/>
  <c r="CT230" i="1"/>
  <c r="CT91" i="1"/>
  <c r="CT216" i="1"/>
  <c r="CT186" i="1"/>
  <c r="CT228" i="1"/>
  <c r="DC228" i="1" s="1"/>
  <c r="CT217" i="1"/>
  <c r="DC217" i="1" s="1"/>
  <c r="CT173" i="1"/>
  <c r="DC173" i="1" s="1"/>
  <c r="CT200" i="1"/>
  <c r="DC200" i="1" s="1"/>
  <c r="CT238" i="1"/>
  <c r="CT184" i="1"/>
  <c r="CT177" i="1"/>
  <c r="CT197" i="1"/>
  <c r="DC197" i="1" s="1"/>
  <c r="CT231" i="1"/>
  <c r="CT194" i="1"/>
  <c r="CT187" i="1"/>
  <c r="DC187" i="1" s="1"/>
  <c r="CT61" i="1"/>
  <c r="DC61" i="1" s="1"/>
  <c r="CT219" i="1"/>
  <c r="CT36" i="1"/>
  <c r="DC36" i="1" s="1"/>
  <c r="CT95" i="1"/>
  <c r="CT79" i="1"/>
  <c r="CT179" i="1"/>
  <c r="CT227" i="1"/>
  <c r="DC227" i="1" s="1"/>
  <c r="CT218" i="1"/>
  <c r="CT176" i="1"/>
  <c r="DC176" i="1" s="1"/>
  <c r="CT185" i="1"/>
  <c r="DC185" i="1" s="1"/>
  <c r="CT85" i="1"/>
  <c r="DC85" i="1" s="1"/>
  <c r="CT5" i="1"/>
  <c r="DC5" i="1" s="1"/>
  <c r="CT196" i="1"/>
  <c r="DC196" i="1" s="1"/>
  <c r="CT66" i="1"/>
  <c r="CT229" i="1"/>
  <c r="DC229" i="1" s="1"/>
  <c r="CT165" i="1"/>
  <c r="DC165" i="1" s="1"/>
  <c r="CT98" i="1"/>
  <c r="CT190" i="1"/>
  <c r="CT183" i="1"/>
  <c r="CT59" i="1"/>
  <c r="DC59" i="1" s="1"/>
  <c r="CT18" i="1"/>
  <c r="CT205" i="1"/>
  <c r="DC205" i="1" s="1"/>
  <c r="CT199" i="1"/>
  <c r="CT195" i="1"/>
  <c r="DC195" i="1" s="1"/>
  <c r="CT74" i="1"/>
  <c r="CT25" i="1"/>
  <c r="DC25" i="1" s="1"/>
  <c r="CT168" i="1"/>
  <c r="CT213" i="1"/>
  <c r="DC213" i="1" s="1"/>
  <c r="CT166" i="1"/>
  <c r="DC166" i="1" s="1"/>
  <c r="CT136" i="1"/>
  <c r="CT204" i="1"/>
  <c r="DC204" i="1" s="1"/>
  <c r="CT58" i="1"/>
  <c r="CT16" i="1"/>
  <c r="DC16" i="1" s="1"/>
  <c r="CT226" i="1"/>
  <c r="CT239" i="1"/>
  <c r="CT23" i="1"/>
  <c r="CT215" i="1"/>
  <c r="CT209" i="1"/>
  <c r="CT178" i="1"/>
  <c r="CT188" i="1"/>
  <c r="DC188" i="1" s="1"/>
  <c r="CT63" i="1"/>
  <c r="CT202" i="1"/>
  <c r="CT102" i="1"/>
  <c r="DC102" i="1" s="1"/>
  <c r="CT142" i="1"/>
  <c r="CT181" i="1"/>
  <c r="DC181" i="1" s="1"/>
  <c r="CT193" i="1"/>
  <c r="CT206" i="1"/>
  <c r="DC206" i="1" s="1"/>
  <c r="CT103" i="1"/>
  <c r="DC103" i="1" s="1"/>
  <c r="CT174" i="1"/>
  <c r="DC174" i="1" s="1"/>
  <c r="CT148" i="1"/>
  <c r="DC148" i="1" s="1"/>
  <c r="CT12" i="1"/>
  <c r="DC12" i="1" s="1"/>
  <c r="CT240" i="1"/>
  <c r="CT198" i="1"/>
  <c r="DC198" i="1" s="1"/>
  <c r="CT241" i="1"/>
  <c r="CT242" i="1"/>
  <c r="CT141" i="1"/>
  <c r="DC141" i="1" s="1"/>
  <c r="CT60" i="1"/>
  <c r="DC60" i="1" s="1"/>
  <c r="CT243" i="1"/>
  <c r="DC243" i="1" s="1"/>
  <c r="CT203" i="1"/>
  <c r="DC203" i="1" s="1"/>
  <c r="CT244" i="1"/>
  <c r="DC244" i="1" s="1"/>
  <c r="CT245" i="1"/>
  <c r="DC245" i="1" s="1"/>
  <c r="CT246" i="1"/>
  <c r="CT247" i="1"/>
  <c r="CT233" i="1"/>
  <c r="DC233" i="1" s="1"/>
  <c r="CT248" i="1"/>
  <c r="DC248" i="1" s="1"/>
  <c r="CT249" i="1"/>
  <c r="DC249" i="1" s="1"/>
  <c r="CT250" i="1"/>
  <c r="DC250" i="1" s="1"/>
  <c r="CT251" i="1"/>
  <c r="DC251" i="1" s="1"/>
  <c r="CT252" i="1"/>
  <c r="DC252" i="1" s="1"/>
  <c r="CT253" i="1"/>
  <c r="DC253" i="1" s="1"/>
  <c r="CT254" i="1"/>
  <c r="DC254" i="1" s="1"/>
  <c r="CT105" i="1"/>
  <c r="DC105" i="1" s="1"/>
  <c r="CT130" i="1"/>
  <c r="CT2" i="1"/>
  <c r="DC2" i="1" s="1"/>
  <c r="CT255" i="1"/>
  <c r="CT8" i="1"/>
  <c r="CT224" i="1"/>
  <c r="CT256" i="1"/>
  <c r="CT257" i="1"/>
  <c r="DC257" i="1" s="1"/>
  <c r="CT258" i="1"/>
  <c r="CT259" i="1"/>
  <c r="DC259" i="1" s="1"/>
  <c r="CT114" i="1"/>
  <c r="CT70" i="1"/>
  <c r="DC70" i="1" s="1"/>
  <c r="CT129" i="1"/>
  <c r="DC129" i="1" s="1"/>
  <c r="CT260" i="1"/>
  <c r="DC260" i="1" s="1"/>
  <c r="CT261" i="1"/>
  <c r="DC261" i="1" s="1"/>
  <c r="CT262" i="1"/>
  <c r="DC262" i="1" s="1"/>
  <c r="CT263" i="1"/>
  <c r="DC263" i="1" s="1"/>
  <c r="CT264" i="1"/>
  <c r="DC264" i="1" s="1"/>
  <c r="CT265" i="1"/>
  <c r="DC265" i="1" s="1"/>
  <c r="CT266" i="1"/>
  <c r="DC266" i="1" s="1"/>
  <c r="CT267" i="1"/>
  <c r="DC267" i="1" s="1"/>
  <c r="CT268" i="1"/>
  <c r="DC268" i="1" s="1"/>
  <c r="CT269" i="1"/>
  <c r="DC269" i="1" s="1"/>
  <c r="CT270" i="1"/>
  <c r="DC270" i="1" s="1"/>
  <c r="CT271" i="1"/>
  <c r="DC271" i="1" s="1"/>
  <c r="CT100" i="1"/>
  <c r="DC100" i="1" s="1"/>
  <c r="CT211" i="1"/>
  <c r="DC211" i="1" s="1"/>
  <c r="CT125" i="1"/>
  <c r="DC125" i="1" s="1"/>
  <c r="CT123" i="1"/>
  <c r="DC123" i="1" s="1"/>
  <c r="CT272" i="1"/>
  <c r="CT273" i="1"/>
  <c r="CT274" i="1"/>
  <c r="CT116" i="1"/>
  <c r="DC116" i="1" s="1"/>
  <c r="CT275" i="1"/>
  <c r="DC275" i="1" s="1"/>
  <c r="CT276" i="1"/>
  <c r="DC276" i="1" s="1"/>
  <c r="CT277" i="1"/>
  <c r="DC277" i="1" s="1"/>
  <c r="CT278" i="1"/>
  <c r="CT67" i="1"/>
  <c r="DC67" i="1" s="1"/>
  <c r="CT153" i="1"/>
  <c r="DC153" i="1" s="1"/>
  <c r="CT279" i="1"/>
  <c r="CT280" i="1"/>
  <c r="CT281" i="1"/>
  <c r="DC281" i="1" s="1"/>
  <c r="CT90" i="1"/>
  <c r="CT201" i="1"/>
  <c r="DC201" i="1" s="1"/>
  <c r="CT20" i="1"/>
  <c r="DC20" i="1" s="1"/>
  <c r="CT282" i="1"/>
  <c r="CT283" i="1"/>
  <c r="DC283" i="1" s="1"/>
  <c r="CT145" i="1"/>
  <c r="DC145" i="1" s="1"/>
  <c r="CT284" i="1"/>
  <c r="DC284" i="1" s="1"/>
  <c r="CT285" i="1"/>
  <c r="DC285" i="1" s="1"/>
  <c r="CT286" i="1"/>
  <c r="CT287" i="1"/>
  <c r="CT288" i="1"/>
  <c r="CT289" i="1"/>
  <c r="DC289" i="1" s="1"/>
  <c r="CT146" i="1"/>
  <c r="CT139" i="1"/>
  <c r="DC139" i="1" s="1"/>
  <c r="CT290" i="1"/>
  <c r="CT149" i="1"/>
  <c r="DC149" i="1" s="1"/>
  <c r="CT291" i="1"/>
  <c r="DC291" i="1" s="1"/>
  <c r="CT292" i="1"/>
  <c r="DC292" i="1" s="1"/>
  <c r="CT293" i="1"/>
  <c r="DC293" i="1" s="1"/>
  <c r="CT175" i="1"/>
  <c r="CT294" i="1"/>
  <c r="CT295" i="1"/>
  <c r="CT296" i="1"/>
  <c r="CT297" i="1"/>
  <c r="DC297" i="1" s="1"/>
  <c r="CT298" i="1"/>
  <c r="CT299" i="1"/>
  <c r="DC299" i="1" s="1"/>
  <c r="CT97" i="1"/>
  <c r="DC97" i="1" s="1"/>
  <c r="CT300" i="1"/>
  <c r="DC300" i="1" s="1"/>
  <c r="CT301" i="1"/>
  <c r="DC301" i="1" s="1"/>
  <c r="CT302" i="1"/>
  <c r="DC302" i="1" s="1"/>
  <c r="CT303" i="1"/>
  <c r="DC303" i="1" s="1"/>
  <c r="CT304" i="1"/>
  <c r="DC304" i="1" s="1"/>
  <c r="CT212" i="1"/>
  <c r="DC212" i="1" s="1"/>
  <c r="CT305" i="1"/>
  <c r="DC305" i="1" s="1"/>
  <c r="CT155" i="1"/>
  <c r="DC155" i="1" s="1"/>
  <c r="CT306" i="1"/>
  <c r="CT307" i="1"/>
  <c r="DC307" i="1" s="1"/>
  <c r="CT308" i="1"/>
  <c r="DC308" i="1" s="1"/>
  <c r="CT309" i="1"/>
  <c r="DC309" i="1" s="1"/>
  <c r="CT162" i="1"/>
  <c r="CT310" i="1"/>
  <c r="DC310" i="1" s="1"/>
  <c r="CT311" i="1"/>
  <c r="CT134" i="1"/>
  <c r="DC134" i="1" s="1"/>
  <c r="CT312" i="1"/>
  <c r="CT313" i="1"/>
  <c r="DC313" i="1" s="1"/>
  <c r="CT314" i="1"/>
  <c r="CT122" i="1"/>
  <c r="CT223" i="1"/>
  <c r="CT315" i="1"/>
  <c r="DC315" i="1" s="1"/>
  <c r="CT316" i="1"/>
  <c r="DC316" i="1" s="1"/>
  <c r="CT3" i="1"/>
  <c r="DC3" i="1" s="1"/>
  <c r="CT317" i="1"/>
  <c r="DC317" i="1" s="1"/>
  <c r="CT318" i="1"/>
  <c r="CT319" i="1"/>
  <c r="CT320" i="1"/>
  <c r="CT321" i="1"/>
  <c r="DC321" i="1" s="1"/>
  <c r="CT322" i="1"/>
  <c r="CT323" i="1"/>
  <c r="DC323" i="1" s="1"/>
  <c r="CT324" i="1"/>
  <c r="DC324" i="1" s="1"/>
  <c r="CT325" i="1"/>
  <c r="DC325" i="1" s="1"/>
  <c r="CT326" i="1"/>
  <c r="CT327" i="1"/>
  <c r="CT328" i="1"/>
  <c r="CT329" i="1"/>
  <c r="DC329" i="1" s="1"/>
  <c r="CT330" i="1"/>
  <c r="CT331" i="1"/>
  <c r="DC331" i="1" s="1"/>
  <c r="CT332" i="1"/>
  <c r="DC332" i="1" s="1"/>
  <c r="CT333" i="1"/>
  <c r="DC333" i="1" s="1"/>
  <c r="CT334" i="1"/>
  <c r="CT335" i="1"/>
  <c r="CT336" i="1"/>
  <c r="CT337" i="1"/>
  <c r="DC337" i="1" s="1"/>
  <c r="CT338" i="1"/>
  <c r="CT339" i="1"/>
  <c r="DC339" i="1" s="1"/>
  <c r="CT340" i="1"/>
  <c r="DC340" i="1" s="1"/>
  <c r="CT341" i="1"/>
  <c r="DC341" i="1" s="1"/>
  <c r="CT342" i="1"/>
  <c r="CT343" i="1"/>
  <c r="CT344" i="1"/>
  <c r="CT345" i="1"/>
  <c r="DC345" i="1" s="1"/>
  <c r="CT346" i="1"/>
  <c r="CT347" i="1"/>
  <c r="DC347" i="1" s="1"/>
  <c r="CT348" i="1"/>
  <c r="DC348" i="1" s="1"/>
  <c r="CT349" i="1"/>
  <c r="DC349" i="1" s="1"/>
  <c r="CT350" i="1"/>
  <c r="CT351" i="1"/>
  <c r="CT352" i="1"/>
  <c r="CT353" i="1"/>
  <c r="DC353" i="1" s="1"/>
  <c r="CT354" i="1"/>
  <c r="CT355" i="1"/>
  <c r="DC355" i="1" s="1"/>
  <c r="CT356" i="1"/>
  <c r="DC356" i="1" s="1"/>
  <c r="CT357" i="1"/>
  <c r="DC357" i="1" s="1"/>
  <c r="CT358" i="1"/>
  <c r="CT359" i="1"/>
  <c r="CT360" i="1"/>
  <c r="CT361" i="1"/>
  <c r="DC361" i="1" s="1"/>
  <c r="CT362" i="1"/>
  <c r="CT363" i="1"/>
  <c r="DC363" i="1" s="1"/>
  <c r="CT364" i="1"/>
  <c r="DC364" i="1" s="1"/>
  <c r="CT365" i="1"/>
  <c r="DC365" i="1" s="1"/>
  <c r="CT366" i="1"/>
  <c r="CT367" i="1"/>
  <c r="CT368" i="1"/>
  <c r="CT369" i="1"/>
  <c r="DC369" i="1" s="1"/>
  <c r="CT370" i="1"/>
  <c r="CT371" i="1"/>
  <c r="DC371" i="1" s="1"/>
  <c r="CT372" i="1"/>
  <c r="DC372" i="1" s="1"/>
  <c r="CT373" i="1"/>
  <c r="DC373" i="1" s="1"/>
  <c r="CT374" i="1"/>
  <c r="CT375" i="1"/>
  <c r="CT376" i="1"/>
  <c r="CT377" i="1"/>
  <c r="DC377" i="1" s="1"/>
  <c r="CT378" i="1"/>
  <c r="CT379" i="1"/>
  <c r="DC379" i="1" s="1"/>
  <c r="CT380" i="1"/>
  <c r="DC380" i="1" s="1"/>
  <c r="CT381" i="1"/>
  <c r="DC381" i="1" s="1"/>
  <c r="CT382" i="1"/>
  <c r="CT383" i="1"/>
  <c r="CT384" i="1"/>
  <c r="CT385" i="1"/>
  <c r="DC385" i="1" s="1"/>
  <c r="CT386" i="1"/>
  <c r="CT387" i="1"/>
  <c r="DC387" i="1" s="1"/>
  <c r="CT388" i="1"/>
  <c r="DC388" i="1" s="1"/>
  <c r="CT389" i="1"/>
  <c r="DC389" i="1" s="1"/>
  <c r="CT390" i="1"/>
  <c r="CT391" i="1"/>
  <c r="CT392" i="1"/>
  <c r="CT393" i="1"/>
  <c r="DC393" i="1" s="1"/>
  <c r="CT394" i="1"/>
  <c r="CT395" i="1"/>
  <c r="DC395" i="1" s="1"/>
  <c r="CT396" i="1"/>
  <c r="DC396" i="1" s="1"/>
  <c r="CT397" i="1"/>
  <c r="DC397" i="1" s="1"/>
  <c r="CT398" i="1"/>
  <c r="CT399" i="1"/>
  <c r="CT400" i="1"/>
  <c r="CT401" i="1"/>
  <c r="DC401" i="1" s="1"/>
  <c r="CT402" i="1"/>
  <c r="CT403" i="1"/>
  <c r="DC403" i="1" s="1"/>
  <c r="CT404" i="1"/>
  <c r="DC404" i="1" s="1"/>
  <c r="CT405" i="1"/>
  <c r="DC405" i="1" s="1"/>
  <c r="CT406" i="1"/>
  <c r="CT407" i="1"/>
  <c r="CT408" i="1"/>
  <c r="CT409" i="1"/>
  <c r="DC409" i="1" s="1"/>
  <c r="CT410" i="1"/>
  <c r="CT411" i="1"/>
  <c r="DC411" i="1" s="1"/>
  <c r="CT412" i="1"/>
  <c r="DC412" i="1" s="1"/>
  <c r="CT413" i="1"/>
  <c r="DC413" i="1" s="1"/>
  <c r="CT414" i="1"/>
  <c r="CT415" i="1"/>
  <c r="CT416" i="1"/>
  <c r="CT417" i="1"/>
  <c r="DC417" i="1" s="1"/>
  <c r="CT418" i="1"/>
  <c r="CT419" i="1"/>
  <c r="DC419" i="1" s="1"/>
  <c r="CT420" i="1"/>
  <c r="DC420" i="1" s="1"/>
  <c r="CT421" i="1"/>
  <c r="DC421" i="1" s="1"/>
  <c r="CT422" i="1"/>
  <c r="CT423" i="1"/>
  <c r="CT424" i="1"/>
  <c r="CT425" i="1"/>
  <c r="DC425" i="1" s="1"/>
  <c r="CT426" i="1"/>
  <c r="CT427" i="1"/>
  <c r="DC427" i="1" s="1"/>
  <c r="CT428" i="1"/>
  <c r="DC428" i="1" s="1"/>
  <c r="CT429" i="1"/>
  <c r="DC429" i="1" s="1"/>
  <c r="CT430" i="1"/>
  <c r="CT431" i="1"/>
  <c r="CT432" i="1"/>
  <c r="CT433" i="1"/>
  <c r="DC433" i="1" s="1"/>
  <c r="CT434" i="1"/>
  <c r="CT435" i="1"/>
  <c r="DC435" i="1" s="1"/>
  <c r="CT436" i="1"/>
  <c r="DC436" i="1" s="1"/>
  <c r="CT437" i="1"/>
  <c r="DC437" i="1" s="1"/>
  <c r="CT154" i="1"/>
  <c r="CT438" i="1"/>
  <c r="DC438" i="1" s="1"/>
  <c r="CT439" i="1"/>
  <c r="DC439" i="1" s="1"/>
  <c r="CT440" i="1"/>
  <c r="DC440" i="1" s="1"/>
  <c r="CT441" i="1"/>
  <c r="DC441" i="1" s="1"/>
  <c r="CT163" i="1"/>
  <c r="DC163" i="1" s="1"/>
  <c r="CT442" i="1"/>
  <c r="CT443" i="1"/>
  <c r="DC443" i="1" s="1"/>
  <c r="CT444" i="1"/>
  <c r="DC444" i="1" s="1"/>
  <c r="CT445" i="1"/>
  <c r="DC445" i="1" s="1"/>
  <c r="CT446" i="1"/>
  <c r="DC446" i="1" s="1"/>
  <c r="CT447" i="1"/>
  <c r="CT448" i="1"/>
  <c r="CT449" i="1"/>
  <c r="DC449" i="1" s="1"/>
  <c r="CT450" i="1"/>
  <c r="CT451" i="1"/>
  <c r="DC451" i="1" s="1"/>
  <c r="CT452" i="1"/>
  <c r="DC452" i="1" s="1"/>
  <c r="CT453" i="1"/>
  <c r="DC453" i="1" s="1"/>
  <c r="CT454" i="1"/>
  <c r="DC454" i="1" s="1"/>
  <c r="CT455" i="1"/>
  <c r="CT456" i="1"/>
  <c r="CT457" i="1"/>
  <c r="DC457" i="1" s="1"/>
  <c r="CT458" i="1"/>
  <c r="CT459" i="1"/>
  <c r="DC459" i="1" s="1"/>
  <c r="CT460" i="1"/>
  <c r="DC460" i="1" s="1"/>
  <c r="CT461" i="1"/>
  <c r="DC461" i="1" s="1"/>
  <c r="CT462" i="1"/>
  <c r="DC462" i="1" s="1"/>
  <c r="CT463" i="1"/>
  <c r="CT464" i="1"/>
  <c r="CT465" i="1"/>
  <c r="DC465" i="1" s="1"/>
  <c r="CT72" i="1"/>
  <c r="CS72" i="1"/>
  <c r="CM30" i="1"/>
  <c r="CM39" i="1"/>
  <c r="CM110" i="1"/>
  <c r="CM48" i="1"/>
  <c r="CM7" i="1"/>
  <c r="CM170" i="1"/>
  <c r="CM161" i="1"/>
  <c r="CM222" i="1"/>
  <c r="CM171" i="1"/>
  <c r="CM107" i="1"/>
  <c r="CM6" i="1"/>
  <c r="CM46" i="1"/>
  <c r="CM62" i="1"/>
  <c r="CM47" i="1"/>
  <c r="CM81" i="1"/>
  <c r="CM37" i="1"/>
  <c r="CM157" i="1"/>
  <c r="CM132" i="1"/>
  <c r="CM26" i="1"/>
  <c r="CM75" i="1"/>
  <c r="CM22" i="1"/>
  <c r="CM78" i="1"/>
  <c r="CM40" i="1"/>
  <c r="CM93" i="1"/>
  <c r="CM133" i="1"/>
  <c r="CM15" i="1"/>
  <c r="CM38" i="1"/>
  <c r="CM44" i="1"/>
  <c r="CM167" i="1"/>
  <c r="CM29" i="1"/>
  <c r="CM220" i="1"/>
  <c r="CM111" i="1"/>
  <c r="CM24" i="1"/>
  <c r="CM64" i="1"/>
  <c r="CM77" i="1"/>
  <c r="CM73" i="1"/>
  <c r="CM28" i="1"/>
  <c r="CM71" i="1"/>
  <c r="CM150" i="1"/>
  <c r="CM126" i="1"/>
  <c r="CM54" i="1"/>
  <c r="CM33" i="1"/>
  <c r="CM55" i="1"/>
  <c r="CM14" i="1"/>
  <c r="CM11" i="1"/>
  <c r="CM234" i="1"/>
  <c r="CM94" i="1"/>
  <c r="CM180" i="1"/>
  <c r="CM92" i="1"/>
  <c r="CM13" i="1"/>
  <c r="CM82" i="1"/>
  <c r="CM87" i="1"/>
  <c r="CM88" i="1"/>
  <c r="CM119" i="1"/>
  <c r="CM52" i="1"/>
  <c r="CM49" i="1"/>
  <c r="CM50" i="1"/>
  <c r="CM192" i="1"/>
  <c r="CM159" i="1"/>
  <c r="CM80" i="1"/>
  <c r="CM207" i="1"/>
  <c r="CM17" i="1"/>
  <c r="CM89" i="1"/>
  <c r="CM210" i="1"/>
  <c r="CM191" i="1"/>
  <c r="CM35" i="1"/>
  <c r="CM32" i="1"/>
  <c r="CM232" i="1"/>
  <c r="CM235" i="1"/>
  <c r="CM113" i="1"/>
  <c r="CM109" i="1"/>
  <c r="CM189" i="1"/>
  <c r="CM19" i="1"/>
  <c r="CM68" i="1"/>
  <c r="CM4" i="1"/>
  <c r="CM56" i="1"/>
  <c r="CM27" i="1"/>
  <c r="CM164" i="1"/>
  <c r="CM121" i="1"/>
  <c r="CM128" i="1"/>
  <c r="CM101" i="1"/>
  <c r="CM83" i="1"/>
  <c r="CM43" i="1"/>
  <c r="CM42" i="1"/>
  <c r="CM137" i="1"/>
  <c r="CM236" i="1"/>
  <c r="CM86" i="1"/>
  <c r="CM84" i="1"/>
  <c r="CM120" i="1"/>
  <c r="CM53" i="1"/>
  <c r="CM76" i="1"/>
  <c r="CM124" i="1"/>
  <c r="CM221" i="1"/>
  <c r="CM108" i="1"/>
  <c r="CM9" i="1"/>
  <c r="CM140" i="1"/>
  <c r="CM117" i="1"/>
  <c r="CM104" i="1"/>
  <c r="CM51" i="1"/>
  <c r="CM237" i="1"/>
  <c r="CM169" i="1"/>
  <c r="CM57" i="1"/>
  <c r="CM152" i="1"/>
  <c r="CM158" i="1"/>
  <c r="CM115" i="1"/>
  <c r="CM144" i="1"/>
  <c r="CM10" i="1"/>
  <c r="CM147" i="1"/>
  <c r="CM225" i="1"/>
  <c r="CM34" i="1"/>
  <c r="CM143" i="1"/>
  <c r="CM31" i="1"/>
  <c r="CM135" i="1"/>
  <c r="CM214" i="1"/>
  <c r="CM69" i="1"/>
  <c r="CM131" i="1"/>
  <c r="CM65" i="1"/>
  <c r="CM99" i="1"/>
  <c r="CM112" i="1"/>
  <c r="CM106" i="1"/>
  <c r="CM156" i="1"/>
  <c r="CM21" i="1"/>
  <c r="CM96" i="1"/>
  <c r="CM182" i="1"/>
  <c r="CM160" i="1"/>
  <c r="CM127" i="1"/>
  <c r="CM45" i="1"/>
  <c r="CM208" i="1"/>
  <c r="CM151" i="1"/>
  <c r="CM118" i="1"/>
  <c r="CM172" i="1"/>
  <c r="CM138" i="1"/>
  <c r="CM41" i="1"/>
  <c r="CM230" i="1"/>
  <c r="CM91" i="1"/>
  <c r="CM216" i="1"/>
  <c r="CM186" i="1"/>
  <c r="CM228" i="1"/>
  <c r="CM217" i="1"/>
  <c r="CM173" i="1"/>
  <c r="CM200" i="1"/>
  <c r="CM238" i="1"/>
  <c r="CM184" i="1"/>
  <c r="CM177" i="1"/>
  <c r="CM197" i="1"/>
  <c r="CM231" i="1"/>
  <c r="CM194" i="1"/>
  <c r="CM187" i="1"/>
  <c r="CM61" i="1"/>
  <c r="CM219" i="1"/>
  <c r="CM36" i="1"/>
  <c r="CM95" i="1"/>
  <c r="CM79" i="1"/>
  <c r="CM179" i="1"/>
  <c r="CM227" i="1"/>
  <c r="CM218" i="1"/>
  <c r="CM176" i="1"/>
  <c r="CM185" i="1"/>
  <c r="CM85" i="1"/>
  <c r="CM5" i="1"/>
  <c r="CM196" i="1"/>
  <c r="CM66" i="1"/>
  <c r="CM229" i="1"/>
  <c r="CM165" i="1"/>
  <c r="CM98" i="1"/>
  <c r="CM190" i="1"/>
  <c r="CM183" i="1"/>
  <c r="CM59" i="1"/>
  <c r="CM18" i="1"/>
  <c r="CM205" i="1"/>
  <c r="CM199" i="1"/>
  <c r="CM195" i="1"/>
  <c r="CM74" i="1"/>
  <c r="CM25" i="1"/>
  <c r="CM168" i="1"/>
  <c r="CM213" i="1"/>
  <c r="CM166" i="1"/>
  <c r="CM136" i="1"/>
  <c r="CM204" i="1"/>
  <c r="CM58" i="1"/>
  <c r="CM16" i="1"/>
  <c r="CM226" i="1"/>
  <c r="CM239" i="1"/>
  <c r="CM23" i="1"/>
  <c r="CM215" i="1"/>
  <c r="CM209" i="1"/>
  <c r="CM178" i="1"/>
  <c r="CM188" i="1"/>
  <c r="CM63" i="1"/>
  <c r="CM202" i="1"/>
  <c r="CM102" i="1"/>
  <c r="CM142" i="1"/>
  <c r="CM181" i="1"/>
  <c r="CM193" i="1"/>
  <c r="CM206" i="1"/>
  <c r="CM103" i="1"/>
  <c r="CM174" i="1"/>
  <c r="CM148" i="1"/>
  <c r="CM12" i="1"/>
  <c r="CM240" i="1"/>
  <c r="CM198" i="1"/>
  <c r="CM241" i="1"/>
  <c r="CM242" i="1"/>
  <c r="CM141" i="1"/>
  <c r="CM60" i="1"/>
  <c r="CM243" i="1"/>
  <c r="CM203" i="1"/>
  <c r="CM244" i="1"/>
  <c r="CM245" i="1"/>
  <c r="CM246" i="1"/>
  <c r="CM247" i="1"/>
  <c r="CM233" i="1"/>
  <c r="CM248" i="1"/>
  <c r="CM249" i="1"/>
  <c r="CM250" i="1"/>
  <c r="CM251" i="1"/>
  <c r="CM252" i="1"/>
  <c r="CM253" i="1"/>
  <c r="CM254" i="1"/>
  <c r="CM105" i="1"/>
  <c r="CM130" i="1"/>
  <c r="CM2" i="1"/>
  <c r="CM255" i="1"/>
  <c r="CM8" i="1"/>
  <c r="CM224" i="1"/>
  <c r="CM256" i="1"/>
  <c r="CM257" i="1"/>
  <c r="CM258" i="1"/>
  <c r="CM259" i="1"/>
  <c r="CM114" i="1"/>
  <c r="CM70" i="1"/>
  <c r="CM129" i="1"/>
  <c r="CM260" i="1"/>
  <c r="CM261" i="1"/>
  <c r="CM262" i="1"/>
  <c r="CM263" i="1"/>
  <c r="CM264" i="1"/>
  <c r="CM265" i="1"/>
  <c r="CM266" i="1"/>
  <c r="CM267" i="1"/>
  <c r="CM268" i="1"/>
  <c r="CM269" i="1"/>
  <c r="CM270" i="1"/>
  <c r="CM271" i="1"/>
  <c r="CM100" i="1"/>
  <c r="CM211" i="1"/>
  <c r="CM125" i="1"/>
  <c r="CM123" i="1"/>
  <c r="CM272" i="1"/>
  <c r="CM273" i="1"/>
  <c r="CM274" i="1"/>
  <c r="CM116" i="1"/>
  <c r="CM275" i="1"/>
  <c r="CM276" i="1"/>
  <c r="CM277" i="1"/>
  <c r="CM278" i="1"/>
  <c r="CM67" i="1"/>
  <c r="CM153" i="1"/>
  <c r="CM279" i="1"/>
  <c r="CM280" i="1"/>
  <c r="CM281" i="1"/>
  <c r="CM90" i="1"/>
  <c r="CM201" i="1"/>
  <c r="CM20" i="1"/>
  <c r="CM282" i="1"/>
  <c r="CM283" i="1"/>
  <c r="CM145" i="1"/>
  <c r="CM284" i="1"/>
  <c r="CM285" i="1"/>
  <c r="CM286" i="1"/>
  <c r="CM287" i="1"/>
  <c r="CM288" i="1"/>
  <c r="CM289" i="1"/>
  <c r="CM146" i="1"/>
  <c r="CM139" i="1"/>
  <c r="CM290" i="1"/>
  <c r="CM149" i="1"/>
  <c r="CM291" i="1"/>
  <c r="CM292" i="1"/>
  <c r="CM293" i="1"/>
  <c r="CM175" i="1"/>
  <c r="CM294" i="1"/>
  <c r="CM295" i="1"/>
  <c r="CM296" i="1"/>
  <c r="CM297" i="1"/>
  <c r="CM298" i="1"/>
  <c r="CM299" i="1"/>
  <c r="CM97" i="1"/>
  <c r="CM300" i="1"/>
  <c r="CM301" i="1"/>
  <c r="CM302" i="1"/>
  <c r="CM303" i="1"/>
  <c r="CM304" i="1"/>
  <c r="CM212" i="1"/>
  <c r="CM305" i="1"/>
  <c r="CM155" i="1"/>
  <c r="CM306" i="1"/>
  <c r="CM307" i="1"/>
  <c r="CM308" i="1"/>
  <c r="CM309" i="1"/>
  <c r="CM162" i="1"/>
  <c r="CM310" i="1"/>
  <c r="CM311" i="1"/>
  <c r="CM134" i="1"/>
  <c r="CM312" i="1"/>
  <c r="CM313" i="1"/>
  <c r="CM314" i="1"/>
  <c r="CM122" i="1"/>
  <c r="CM223" i="1"/>
  <c r="CM315" i="1"/>
  <c r="CM316" i="1"/>
  <c r="CM3" i="1"/>
  <c r="CM317" i="1"/>
  <c r="CM318" i="1"/>
  <c r="CM319" i="1"/>
  <c r="CM320" i="1"/>
  <c r="CM321" i="1"/>
  <c r="CM322" i="1"/>
  <c r="CM323" i="1"/>
  <c r="CM324" i="1"/>
  <c r="CM325" i="1"/>
  <c r="CM326" i="1"/>
  <c r="CM327" i="1"/>
  <c r="CM328" i="1"/>
  <c r="CM329" i="1"/>
  <c r="CM330" i="1"/>
  <c r="CM331" i="1"/>
  <c r="CM332" i="1"/>
  <c r="CM333" i="1"/>
  <c r="CM334" i="1"/>
  <c r="CM335" i="1"/>
  <c r="CM336" i="1"/>
  <c r="CM337" i="1"/>
  <c r="CM338" i="1"/>
  <c r="CM339" i="1"/>
  <c r="CM340" i="1"/>
  <c r="CM341" i="1"/>
  <c r="CM342" i="1"/>
  <c r="CM343" i="1"/>
  <c r="CM344" i="1"/>
  <c r="CM345" i="1"/>
  <c r="CM346" i="1"/>
  <c r="CM347" i="1"/>
  <c r="CM348" i="1"/>
  <c r="CM349" i="1"/>
  <c r="CM350" i="1"/>
  <c r="CM351" i="1"/>
  <c r="CM352" i="1"/>
  <c r="CM353" i="1"/>
  <c r="CM354" i="1"/>
  <c r="CM355" i="1"/>
  <c r="CM356" i="1"/>
  <c r="CM357" i="1"/>
  <c r="CM358" i="1"/>
  <c r="CM359" i="1"/>
  <c r="CM360" i="1"/>
  <c r="CM361" i="1"/>
  <c r="CM362" i="1"/>
  <c r="CM363" i="1"/>
  <c r="CM364" i="1"/>
  <c r="CM365" i="1"/>
  <c r="CM366" i="1"/>
  <c r="CM367" i="1"/>
  <c r="CM368" i="1"/>
  <c r="CM369" i="1"/>
  <c r="CM370" i="1"/>
  <c r="CM371" i="1"/>
  <c r="CM372" i="1"/>
  <c r="CM373" i="1"/>
  <c r="CM374" i="1"/>
  <c r="CM375" i="1"/>
  <c r="CM376" i="1"/>
  <c r="CM377" i="1"/>
  <c r="CM378" i="1"/>
  <c r="CM379" i="1"/>
  <c r="CM380" i="1"/>
  <c r="CM381" i="1"/>
  <c r="CM382" i="1"/>
  <c r="CM383" i="1"/>
  <c r="CM384" i="1"/>
  <c r="CM385" i="1"/>
  <c r="CM386" i="1"/>
  <c r="CM387" i="1"/>
  <c r="CM388" i="1"/>
  <c r="CM389" i="1"/>
  <c r="CM390" i="1"/>
  <c r="CM391" i="1"/>
  <c r="CM392" i="1"/>
  <c r="CM393" i="1"/>
  <c r="CM394" i="1"/>
  <c r="CM395" i="1"/>
  <c r="CM396" i="1"/>
  <c r="CM397" i="1"/>
  <c r="CM398" i="1"/>
  <c r="CM399" i="1"/>
  <c r="CM400" i="1"/>
  <c r="CM401" i="1"/>
  <c r="CM402" i="1"/>
  <c r="CM403" i="1"/>
  <c r="CM404" i="1"/>
  <c r="CM405" i="1"/>
  <c r="CM406" i="1"/>
  <c r="CM407" i="1"/>
  <c r="CM408" i="1"/>
  <c r="CM409" i="1"/>
  <c r="CM410" i="1"/>
  <c r="CM411" i="1"/>
  <c r="CM412" i="1"/>
  <c r="CM413" i="1"/>
  <c r="CM414" i="1"/>
  <c r="CM415" i="1"/>
  <c r="CM416" i="1"/>
  <c r="CM417" i="1"/>
  <c r="CM418" i="1"/>
  <c r="CM419" i="1"/>
  <c r="CM420" i="1"/>
  <c r="CM421" i="1"/>
  <c r="CM422" i="1"/>
  <c r="CM423" i="1"/>
  <c r="CM424" i="1"/>
  <c r="CM425" i="1"/>
  <c r="CM426" i="1"/>
  <c r="CM427" i="1"/>
  <c r="CM428" i="1"/>
  <c r="CM429" i="1"/>
  <c r="CM430" i="1"/>
  <c r="CM431" i="1"/>
  <c r="CM432" i="1"/>
  <c r="CM433" i="1"/>
  <c r="CM434" i="1"/>
  <c r="CM435" i="1"/>
  <c r="CM436" i="1"/>
  <c r="CM437" i="1"/>
  <c r="CM154" i="1"/>
  <c r="CM438" i="1"/>
  <c r="CM439" i="1"/>
  <c r="CM440" i="1"/>
  <c r="CM441" i="1"/>
  <c r="CM163" i="1"/>
  <c r="CM442" i="1"/>
  <c r="CM443" i="1"/>
  <c r="CM444" i="1"/>
  <c r="CM445" i="1"/>
  <c r="CM446" i="1"/>
  <c r="CM447" i="1"/>
  <c r="CM448" i="1"/>
  <c r="CM449" i="1"/>
  <c r="CM450" i="1"/>
  <c r="CM451" i="1"/>
  <c r="CM452" i="1"/>
  <c r="CM453" i="1"/>
  <c r="CM454" i="1"/>
  <c r="CM455" i="1"/>
  <c r="CM456" i="1"/>
  <c r="CM457" i="1"/>
  <c r="CM458" i="1"/>
  <c r="CM459" i="1"/>
  <c r="CM460" i="1"/>
  <c r="CM461" i="1"/>
  <c r="CM462" i="1"/>
  <c r="CM463" i="1"/>
  <c r="CM464" i="1"/>
  <c r="CM465" i="1"/>
  <c r="CM72" i="1"/>
  <c r="CE164" i="1"/>
  <c r="CE53" i="1"/>
  <c r="CQ53" i="1" s="1"/>
  <c r="CE49" i="1"/>
  <c r="CE32" i="1"/>
  <c r="CE12" i="1"/>
  <c r="CE15" i="1"/>
  <c r="CE118" i="1"/>
  <c r="CE126" i="1"/>
  <c r="CQ126" i="1" s="1"/>
  <c r="CE37" i="1"/>
  <c r="CE132" i="1"/>
  <c r="CQ132" i="1" s="1"/>
  <c r="CE40" i="1"/>
  <c r="CE44" i="1"/>
  <c r="CQ44" i="1" s="1"/>
  <c r="CE159" i="1"/>
  <c r="CE5" i="1"/>
  <c r="CE77" i="1"/>
  <c r="CE35" i="1"/>
  <c r="CE19" i="1"/>
  <c r="CQ19" i="1" s="1"/>
  <c r="CE47" i="1"/>
  <c r="CE27" i="1"/>
  <c r="CE107" i="1"/>
  <c r="CE7" i="1"/>
  <c r="CE25" i="1"/>
  <c r="CQ25" i="1" s="1"/>
  <c r="CE6" i="1"/>
  <c r="CE192" i="1"/>
  <c r="CE232" i="1"/>
  <c r="CE54" i="1"/>
  <c r="CE240" i="1"/>
  <c r="CE58" i="1"/>
  <c r="CQ58" i="1" s="1"/>
  <c r="CE10" i="1"/>
  <c r="CE93" i="1"/>
  <c r="CE110" i="1"/>
  <c r="CE170" i="1"/>
  <c r="CE198" i="1"/>
  <c r="CQ198" i="1" s="1"/>
  <c r="CE39" i="1"/>
  <c r="CQ39" i="1" s="1"/>
  <c r="CE75" i="1"/>
  <c r="CE11" i="1"/>
  <c r="CE31" i="1"/>
  <c r="CQ31" i="1" s="1"/>
  <c r="CE48" i="1"/>
  <c r="CE50" i="1"/>
  <c r="CE171" i="1"/>
  <c r="CE241" i="1"/>
  <c r="CE59" i="1"/>
  <c r="CE242" i="1"/>
  <c r="CQ242" i="1" s="1"/>
  <c r="CE74" i="1"/>
  <c r="CE79" i="1"/>
  <c r="CQ79" i="1" s="1"/>
  <c r="CE81" i="1"/>
  <c r="CE167" i="1"/>
  <c r="CE46" i="1"/>
  <c r="CE141" i="1"/>
  <c r="CE207" i="1"/>
  <c r="CE60" i="1"/>
  <c r="CE128" i="1"/>
  <c r="CE243" i="1"/>
  <c r="CE13" i="1"/>
  <c r="CE42" i="1"/>
  <c r="CE191" i="1"/>
  <c r="CE138" i="1"/>
  <c r="CE203" i="1"/>
  <c r="CE86" i="1"/>
  <c r="CE244" i="1"/>
  <c r="CE38" i="1"/>
  <c r="CE245" i="1"/>
  <c r="CE246" i="1"/>
  <c r="CE33" i="1"/>
  <c r="CE127" i="1"/>
  <c r="CE247" i="1"/>
  <c r="CE76" i="1"/>
  <c r="CQ76" i="1" s="1"/>
  <c r="CE51" i="1"/>
  <c r="CE233" i="1"/>
  <c r="CE248" i="1"/>
  <c r="CE249" i="1"/>
  <c r="CE137" i="1"/>
  <c r="CE250" i="1"/>
  <c r="CE152" i="1"/>
  <c r="CE71" i="1"/>
  <c r="CE26" i="1"/>
  <c r="CE30" i="1"/>
  <c r="CQ30" i="1" s="1"/>
  <c r="CE45" i="1"/>
  <c r="CE28" i="1"/>
  <c r="CE29" i="1"/>
  <c r="CE34" i="1"/>
  <c r="CE251" i="1"/>
  <c r="CE43" i="1"/>
  <c r="CQ43" i="1" s="1"/>
  <c r="CE96" i="1"/>
  <c r="CE252" i="1"/>
  <c r="CQ252" i="1" s="1"/>
  <c r="CE253" i="1"/>
  <c r="CE16" i="1"/>
  <c r="CE83" i="1"/>
  <c r="CE64" i="1"/>
  <c r="CE82" i="1"/>
  <c r="CE254" i="1"/>
  <c r="CQ254" i="1" s="1"/>
  <c r="CE22" i="1"/>
  <c r="CE17" i="1"/>
  <c r="CE105" i="1"/>
  <c r="CE92" i="1"/>
  <c r="CE130" i="1"/>
  <c r="CE2" i="1"/>
  <c r="CE255" i="1"/>
  <c r="CE65" i="1"/>
  <c r="CE161" i="1"/>
  <c r="CE8" i="1"/>
  <c r="CQ8" i="1" s="1"/>
  <c r="CE106" i="1"/>
  <c r="CE95" i="1"/>
  <c r="CE102" i="1"/>
  <c r="CE230" i="1"/>
  <c r="CE224" i="1"/>
  <c r="CE256" i="1"/>
  <c r="CE56" i="1"/>
  <c r="CQ56" i="1" s="1"/>
  <c r="CE257" i="1"/>
  <c r="CE135" i="1"/>
  <c r="CE21" i="1"/>
  <c r="CE258" i="1"/>
  <c r="CE259" i="1"/>
  <c r="CE136" i="1"/>
  <c r="CQ136" i="1" s="1"/>
  <c r="CE114" i="1"/>
  <c r="CE70" i="1"/>
  <c r="CE129" i="1"/>
  <c r="CQ129" i="1" s="1"/>
  <c r="CE260" i="1"/>
  <c r="CE89" i="1"/>
  <c r="CQ89" i="1" s="1"/>
  <c r="CE9" i="1"/>
  <c r="CE202" i="1"/>
  <c r="CE261" i="1"/>
  <c r="CQ261" i="1" s="1"/>
  <c r="CE101" i="1"/>
  <c r="CE18" i="1"/>
  <c r="CE262" i="1"/>
  <c r="CE263" i="1"/>
  <c r="CE109" i="1"/>
  <c r="CQ109" i="1" s="1"/>
  <c r="CE24" i="1"/>
  <c r="CE264" i="1"/>
  <c r="CE55" i="1"/>
  <c r="CE117" i="1"/>
  <c r="CE36" i="1"/>
  <c r="CE222" i="1"/>
  <c r="CQ222" i="1" s="1"/>
  <c r="CE113" i="1"/>
  <c r="CQ113" i="1" s="1"/>
  <c r="CE111" i="1"/>
  <c r="CE265" i="1"/>
  <c r="CE72" i="1"/>
  <c r="CQ72" i="1" s="1"/>
  <c r="CE266" i="1"/>
  <c r="CE267" i="1"/>
  <c r="CE268" i="1"/>
  <c r="CE98" i="1"/>
  <c r="CQ98" i="1" s="1"/>
  <c r="CE140" i="1"/>
  <c r="CE158" i="1"/>
  <c r="CE269" i="1"/>
  <c r="CE87" i="1"/>
  <c r="CE61" i="1"/>
  <c r="CE270" i="1"/>
  <c r="CQ270" i="1" s="1"/>
  <c r="CE200" i="1"/>
  <c r="CE23" i="1"/>
  <c r="CQ23" i="1" s="1"/>
  <c r="CE271" i="1"/>
  <c r="CE225" i="1"/>
  <c r="CE100" i="1"/>
  <c r="CE177" i="1"/>
  <c r="CQ177" i="1" s="1"/>
  <c r="CE112" i="1"/>
  <c r="CE150" i="1"/>
  <c r="CE228" i="1"/>
  <c r="CE221" i="1"/>
  <c r="CQ221" i="1" s="1"/>
  <c r="CE211" i="1"/>
  <c r="CQ211" i="1" s="1"/>
  <c r="CE121" i="1"/>
  <c r="CQ121" i="1" s="1"/>
  <c r="CE125" i="1"/>
  <c r="CE94" i="1"/>
  <c r="CE80" i="1"/>
  <c r="CE108" i="1"/>
  <c r="CE123" i="1"/>
  <c r="CE272" i="1"/>
  <c r="CQ272" i="1" s="1"/>
  <c r="CE273" i="1"/>
  <c r="CE189" i="1"/>
  <c r="CE188" i="1"/>
  <c r="CE219" i="1"/>
  <c r="CE115" i="1"/>
  <c r="CE41" i="1"/>
  <c r="CE274" i="1"/>
  <c r="CE216" i="1"/>
  <c r="CQ216" i="1" s="1"/>
  <c r="CE116" i="1"/>
  <c r="CE57" i="1"/>
  <c r="CE180" i="1"/>
  <c r="CQ180" i="1" s="1"/>
  <c r="CE275" i="1"/>
  <c r="CE14" i="1"/>
  <c r="CE276" i="1"/>
  <c r="CE277" i="1"/>
  <c r="CE278" i="1"/>
  <c r="CQ278" i="1" s="1"/>
  <c r="CE67" i="1"/>
  <c r="CE148" i="1"/>
  <c r="CE183" i="1"/>
  <c r="CE153" i="1"/>
  <c r="CE229" i="1"/>
  <c r="CE176" i="1"/>
  <c r="CE220" i="1"/>
  <c r="CE279" i="1"/>
  <c r="CE63" i="1"/>
  <c r="CE280" i="1"/>
  <c r="CE281" i="1"/>
  <c r="CE90" i="1"/>
  <c r="CE201" i="1"/>
  <c r="CE99" i="1"/>
  <c r="CE213" i="1"/>
  <c r="CE68" i="1"/>
  <c r="CE20" i="1"/>
  <c r="CE206" i="1"/>
  <c r="CE78" i="1"/>
  <c r="CE282" i="1"/>
  <c r="CQ282" i="1" s="1"/>
  <c r="CE197" i="1"/>
  <c r="CE62" i="1"/>
  <c r="CE142" i="1"/>
  <c r="CE147" i="1"/>
  <c r="CE52" i="1"/>
  <c r="CE217" i="1"/>
  <c r="CE157" i="1"/>
  <c r="CE181" i="1"/>
  <c r="CQ181" i="1" s="1"/>
  <c r="CE124" i="1"/>
  <c r="CE174" i="1"/>
  <c r="CE283" i="1"/>
  <c r="CE205" i="1"/>
  <c r="CE169" i="1"/>
  <c r="CE199" i="1"/>
  <c r="CE145" i="1"/>
  <c r="CE284" i="1"/>
  <c r="CE73" i="1"/>
  <c r="CE185" i="1"/>
  <c r="CE285" i="1"/>
  <c r="CE160" i="1"/>
  <c r="CQ160" i="1" s="1"/>
  <c r="CE286" i="1"/>
  <c r="CQ286" i="1" s="1"/>
  <c r="CE182" i="1"/>
  <c r="CE287" i="1"/>
  <c r="CE288" i="1"/>
  <c r="CQ288" i="1" s="1"/>
  <c r="CE178" i="1"/>
  <c r="CE143" i="1"/>
  <c r="CE195" i="1"/>
  <c r="CQ195" i="1" s="1"/>
  <c r="CE289" i="1"/>
  <c r="CQ289" i="1" s="1"/>
  <c r="CE66" i="1"/>
  <c r="CE186" i="1"/>
  <c r="CE227" i="1"/>
  <c r="CE146" i="1"/>
  <c r="CE165" i="1"/>
  <c r="CE204" i="1"/>
  <c r="CQ204" i="1" s="1"/>
  <c r="CE166" i="1"/>
  <c r="CE133" i="1"/>
  <c r="CQ133" i="1" s="1"/>
  <c r="CE190" i="1"/>
  <c r="CQ190" i="1" s="1"/>
  <c r="CE144" i="1"/>
  <c r="CE210" i="1"/>
  <c r="CQ210" i="1" s="1"/>
  <c r="CE193" i="1"/>
  <c r="CE139" i="1"/>
  <c r="CE290" i="1"/>
  <c r="CE209" i="1"/>
  <c r="CE231" i="1"/>
  <c r="CE120" i="1"/>
  <c r="CE84" i="1"/>
  <c r="CQ84" i="1" s="1"/>
  <c r="CE151" i="1"/>
  <c r="CE149" i="1"/>
  <c r="CE214" i="1"/>
  <c r="CQ214" i="1" s="1"/>
  <c r="CE187" i="1"/>
  <c r="CE291" i="1"/>
  <c r="CE292" i="1"/>
  <c r="CE104" i="1"/>
  <c r="CE293" i="1"/>
  <c r="CQ293" i="1" s="1"/>
  <c r="CE175" i="1"/>
  <c r="CE294" i="1"/>
  <c r="CE226" i="1"/>
  <c r="CE173" i="1"/>
  <c r="CE208" i="1"/>
  <c r="CQ208" i="1" s="1"/>
  <c r="CE218" i="1"/>
  <c r="CE88" i="1"/>
  <c r="CE119" i="1"/>
  <c r="CE295" i="1"/>
  <c r="CE296" i="1"/>
  <c r="CE297" i="1"/>
  <c r="CE184" i="1"/>
  <c r="CE156" i="1"/>
  <c r="CE215" i="1"/>
  <c r="CQ215" i="1" s="1"/>
  <c r="CE168" i="1"/>
  <c r="CE179" i="1"/>
  <c r="CE131" i="1"/>
  <c r="CE196" i="1"/>
  <c r="CQ196" i="1" s="1"/>
  <c r="CE103" i="1"/>
  <c r="CE194" i="1"/>
  <c r="CQ194" i="1" s="1"/>
  <c r="CE298" i="1"/>
  <c r="CE91" i="1"/>
  <c r="CE299" i="1"/>
  <c r="CE85" i="1"/>
  <c r="CQ85" i="1" s="1"/>
  <c r="CE97" i="1"/>
  <c r="CQ97" i="1" s="1"/>
  <c r="CE300" i="1"/>
  <c r="CQ300" i="1" s="1"/>
  <c r="CE301" i="1"/>
  <c r="CQ301" i="1" s="1"/>
  <c r="CE69" i="1"/>
  <c r="CQ69" i="1" s="1"/>
  <c r="CE302" i="1"/>
  <c r="CE303" i="1"/>
  <c r="CE304" i="1"/>
  <c r="CE212" i="1"/>
  <c r="CE305" i="1"/>
  <c r="CE155" i="1"/>
  <c r="CQ155" i="1" s="1"/>
  <c r="CE306" i="1"/>
  <c r="CE307" i="1"/>
  <c r="CE308" i="1"/>
  <c r="CE309" i="1"/>
  <c r="CE162" i="1"/>
  <c r="CE310" i="1"/>
  <c r="CE311" i="1"/>
  <c r="CE134" i="1"/>
  <c r="CQ134" i="1" s="1"/>
  <c r="CE312" i="1"/>
  <c r="CE313" i="1"/>
  <c r="CE314" i="1"/>
  <c r="CE122" i="1"/>
  <c r="CE223" i="1"/>
  <c r="CE315" i="1"/>
  <c r="CE316" i="1"/>
  <c r="CE3" i="1"/>
  <c r="CQ3" i="1" s="1"/>
  <c r="CE317" i="1"/>
  <c r="CE318" i="1"/>
  <c r="CE172" i="1"/>
  <c r="CE319" i="1"/>
  <c r="CE235" i="1"/>
  <c r="CE320" i="1"/>
  <c r="CE321" i="1"/>
  <c r="CE322" i="1"/>
  <c r="CE323" i="1"/>
  <c r="CE324" i="1"/>
  <c r="CQ324" i="1" s="1"/>
  <c r="CE239" i="1"/>
  <c r="CE238" i="1"/>
  <c r="CE237" i="1"/>
  <c r="CE236" i="1"/>
  <c r="CE325" i="1"/>
  <c r="CE326" i="1"/>
  <c r="CE234" i="1"/>
  <c r="CE327" i="1"/>
  <c r="CQ327" i="1" s="1"/>
  <c r="CE328" i="1"/>
  <c r="CQ328" i="1" s="1"/>
  <c r="CE329" i="1"/>
  <c r="CQ329" i="1" s="1"/>
  <c r="CE330" i="1"/>
  <c r="CQ330" i="1" s="1"/>
  <c r="CE331" i="1"/>
  <c r="CQ331" i="1" s="1"/>
  <c r="CE332" i="1"/>
  <c r="CQ332" i="1" s="1"/>
  <c r="CE333" i="1"/>
  <c r="CQ333" i="1" s="1"/>
  <c r="CE334" i="1"/>
  <c r="CQ334" i="1" s="1"/>
  <c r="CE335" i="1"/>
  <c r="CQ335" i="1" s="1"/>
  <c r="CE336" i="1"/>
  <c r="CQ336" i="1" s="1"/>
  <c r="CE337" i="1"/>
  <c r="CQ337" i="1" s="1"/>
  <c r="CE338" i="1"/>
  <c r="CQ338" i="1" s="1"/>
  <c r="CE339" i="1"/>
  <c r="CQ339" i="1" s="1"/>
  <c r="CE340" i="1"/>
  <c r="CQ340" i="1" s="1"/>
  <c r="CE341" i="1"/>
  <c r="CQ341" i="1" s="1"/>
  <c r="CE342" i="1"/>
  <c r="CQ342" i="1" s="1"/>
  <c r="CE343" i="1"/>
  <c r="CQ343" i="1" s="1"/>
  <c r="CE344" i="1"/>
  <c r="CQ344" i="1" s="1"/>
  <c r="CE345" i="1"/>
  <c r="CQ345" i="1" s="1"/>
  <c r="CE346" i="1"/>
  <c r="CQ346" i="1" s="1"/>
  <c r="CE347" i="1"/>
  <c r="CQ347" i="1" s="1"/>
  <c r="CE348" i="1"/>
  <c r="CQ348" i="1" s="1"/>
  <c r="CE349" i="1"/>
  <c r="CQ349" i="1" s="1"/>
  <c r="CE350" i="1"/>
  <c r="CQ350" i="1" s="1"/>
  <c r="CE351" i="1"/>
  <c r="CQ351" i="1" s="1"/>
  <c r="CE352" i="1"/>
  <c r="CQ352" i="1" s="1"/>
  <c r="CE353" i="1"/>
  <c r="CQ353" i="1" s="1"/>
  <c r="CE354" i="1"/>
  <c r="CQ354" i="1" s="1"/>
  <c r="CE355" i="1"/>
  <c r="CQ355" i="1" s="1"/>
  <c r="CE356" i="1"/>
  <c r="CQ356" i="1" s="1"/>
  <c r="CE357" i="1"/>
  <c r="CQ357" i="1" s="1"/>
  <c r="CE358" i="1"/>
  <c r="CQ358" i="1" s="1"/>
  <c r="CE359" i="1"/>
  <c r="CQ359" i="1" s="1"/>
  <c r="CE360" i="1"/>
  <c r="CQ360" i="1" s="1"/>
  <c r="CE361" i="1"/>
  <c r="CQ361" i="1" s="1"/>
  <c r="CE362" i="1"/>
  <c r="CQ362" i="1" s="1"/>
  <c r="CE363" i="1"/>
  <c r="CQ363" i="1" s="1"/>
  <c r="CE364" i="1"/>
  <c r="CQ364" i="1" s="1"/>
  <c r="CE365" i="1"/>
  <c r="CQ365" i="1" s="1"/>
  <c r="CE366" i="1"/>
  <c r="CQ366" i="1" s="1"/>
  <c r="CE367" i="1"/>
  <c r="CQ367" i="1" s="1"/>
  <c r="CE368" i="1"/>
  <c r="CQ368" i="1" s="1"/>
  <c r="CE369" i="1"/>
  <c r="CQ369" i="1" s="1"/>
  <c r="CE370" i="1"/>
  <c r="CQ370" i="1" s="1"/>
  <c r="CE371" i="1"/>
  <c r="CQ371" i="1" s="1"/>
  <c r="CE372" i="1"/>
  <c r="CQ372" i="1" s="1"/>
  <c r="CE373" i="1"/>
  <c r="CQ373" i="1" s="1"/>
  <c r="CE374" i="1"/>
  <c r="CQ374" i="1" s="1"/>
  <c r="CE375" i="1"/>
  <c r="CQ375" i="1" s="1"/>
  <c r="CE376" i="1"/>
  <c r="CQ376" i="1" s="1"/>
  <c r="CE377" i="1"/>
  <c r="CQ377" i="1" s="1"/>
  <c r="CE378" i="1"/>
  <c r="CQ378" i="1" s="1"/>
  <c r="CE379" i="1"/>
  <c r="CQ379" i="1" s="1"/>
  <c r="CE380" i="1"/>
  <c r="CQ380" i="1" s="1"/>
  <c r="CE381" i="1"/>
  <c r="CQ381" i="1" s="1"/>
  <c r="CE382" i="1"/>
  <c r="CQ382" i="1" s="1"/>
  <c r="CE383" i="1"/>
  <c r="CQ383" i="1" s="1"/>
  <c r="CE384" i="1"/>
  <c r="CQ384" i="1" s="1"/>
  <c r="CE385" i="1"/>
  <c r="CQ385" i="1" s="1"/>
  <c r="CE386" i="1"/>
  <c r="CQ386" i="1" s="1"/>
  <c r="CE387" i="1"/>
  <c r="CQ387" i="1" s="1"/>
  <c r="CE388" i="1"/>
  <c r="CQ388" i="1" s="1"/>
  <c r="CE389" i="1"/>
  <c r="CQ389" i="1" s="1"/>
  <c r="CE390" i="1"/>
  <c r="CQ390" i="1" s="1"/>
  <c r="CE391" i="1"/>
  <c r="CQ391" i="1" s="1"/>
  <c r="CE392" i="1"/>
  <c r="CQ392" i="1" s="1"/>
  <c r="CE393" i="1"/>
  <c r="CQ393" i="1" s="1"/>
  <c r="CE394" i="1"/>
  <c r="CQ394" i="1" s="1"/>
  <c r="CE395" i="1"/>
  <c r="CQ395" i="1" s="1"/>
  <c r="CE396" i="1"/>
  <c r="CQ396" i="1" s="1"/>
  <c r="CE397" i="1"/>
  <c r="CQ397" i="1" s="1"/>
  <c r="CE398" i="1"/>
  <c r="CQ398" i="1" s="1"/>
  <c r="CE399" i="1"/>
  <c r="CQ399" i="1" s="1"/>
  <c r="CE400" i="1"/>
  <c r="CQ400" i="1" s="1"/>
  <c r="CE401" i="1"/>
  <c r="CQ401" i="1" s="1"/>
  <c r="CE402" i="1"/>
  <c r="CQ402" i="1" s="1"/>
  <c r="CE403" i="1"/>
  <c r="CQ403" i="1" s="1"/>
  <c r="CE404" i="1"/>
  <c r="CQ404" i="1" s="1"/>
  <c r="CE405" i="1"/>
  <c r="CQ405" i="1" s="1"/>
  <c r="CE406" i="1"/>
  <c r="CE407" i="1"/>
  <c r="CQ407" i="1" s="1"/>
  <c r="CE408" i="1"/>
  <c r="CQ408" i="1" s="1"/>
  <c r="CE409" i="1"/>
  <c r="CQ409" i="1" s="1"/>
  <c r="CE410" i="1"/>
  <c r="CQ410" i="1" s="1"/>
  <c r="CE411" i="1"/>
  <c r="CQ411" i="1" s="1"/>
  <c r="CE412" i="1"/>
  <c r="CQ412" i="1" s="1"/>
  <c r="CE413" i="1"/>
  <c r="CQ413" i="1" s="1"/>
  <c r="CE414" i="1"/>
  <c r="CQ414" i="1" s="1"/>
  <c r="CE415" i="1"/>
  <c r="CQ415" i="1" s="1"/>
  <c r="CE416" i="1"/>
  <c r="CQ416" i="1" s="1"/>
  <c r="CE417" i="1"/>
  <c r="CQ417" i="1" s="1"/>
  <c r="CE418" i="1"/>
  <c r="CQ418" i="1" s="1"/>
  <c r="CE419" i="1"/>
  <c r="CQ419" i="1" s="1"/>
  <c r="CE420" i="1"/>
  <c r="CQ420" i="1" s="1"/>
  <c r="CE421" i="1"/>
  <c r="CQ421" i="1" s="1"/>
  <c r="CE422" i="1"/>
  <c r="CQ422" i="1" s="1"/>
  <c r="CE423" i="1"/>
  <c r="CQ423" i="1" s="1"/>
  <c r="CE424" i="1"/>
  <c r="CQ424" i="1" s="1"/>
  <c r="CE425" i="1"/>
  <c r="CQ425" i="1" s="1"/>
  <c r="CE426" i="1"/>
  <c r="CQ426" i="1" s="1"/>
  <c r="CE427" i="1"/>
  <c r="CQ427" i="1" s="1"/>
  <c r="CE428" i="1"/>
  <c r="CQ428" i="1" s="1"/>
  <c r="CE429" i="1"/>
  <c r="CQ429" i="1" s="1"/>
  <c r="CE430" i="1"/>
  <c r="CQ430" i="1" s="1"/>
  <c r="CE431" i="1"/>
  <c r="CQ431" i="1" s="1"/>
  <c r="CE432" i="1"/>
  <c r="CQ432" i="1" s="1"/>
  <c r="CE433" i="1"/>
  <c r="CQ433" i="1" s="1"/>
  <c r="CE434" i="1"/>
  <c r="CQ434" i="1" s="1"/>
  <c r="CE435" i="1"/>
  <c r="CQ435" i="1" s="1"/>
  <c r="CE436" i="1"/>
  <c r="CQ436" i="1" s="1"/>
  <c r="CE437" i="1"/>
  <c r="CQ437" i="1" s="1"/>
  <c r="CE154" i="1"/>
  <c r="CQ154" i="1" s="1"/>
  <c r="CE438" i="1"/>
  <c r="CQ438" i="1" s="1"/>
  <c r="CE439" i="1"/>
  <c r="CQ439" i="1" s="1"/>
  <c r="CE440" i="1"/>
  <c r="CQ440" i="1" s="1"/>
  <c r="CE441" i="1"/>
  <c r="CQ441" i="1" s="1"/>
  <c r="CE163" i="1"/>
  <c r="CQ163" i="1" s="1"/>
  <c r="CE442" i="1"/>
  <c r="CQ442" i="1" s="1"/>
  <c r="CE443" i="1"/>
  <c r="CQ443" i="1" s="1"/>
  <c r="CE444" i="1"/>
  <c r="CQ444" i="1" s="1"/>
  <c r="CE445" i="1"/>
  <c r="CQ445" i="1" s="1"/>
  <c r="CE446" i="1"/>
  <c r="CQ446" i="1" s="1"/>
  <c r="CE447" i="1"/>
  <c r="CQ447" i="1" s="1"/>
  <c r="CE448" i="1"/>
  <c r="CQ448" i="1" s="1"/>
  <c r="CE449" i="1"/>
  <c r="CQ449" i="1" s="1"/>
  <c r="CE450" i="1"/>
  <c r="CQ450" i="1" s="1"/>
  <c r="CE451" i="1"/>
  <c r="CQ451" i="1" s="1"/>
  <c r="CE452" i="1"/>
  <c r="CQ452" i="1" s="1"/>
  <c r="CE453" i="1"/>
  <c r="CQ453" i="1" s="1"/>
  <c r="CE454" i="1"/>
  <c r="CQ454" i="1" s="1"/>
  <c r="CE455" i="1"/>
  <c r="CQ455" i="1" s="1"/>
  <c r="CE456" i="1"/>
  <c r="CQ456" i="1" s="1"/>
  <c r="CE457" i="1"/>
  <c r="CQ457" i="1" s="1"/>
  <c r="CE458" i="1"/>
  <c r="CQ458" i="1" s="1"/>
  <c r="CE459" i="1"/>
  <c r="CQ459" i="1" s="1"/>
  <c r="CE460" i="1"/>
  <c r="CQ460" i="1" s="1"/>
  <c r="CE461" i="1"/>
  <c r="CQ461" i="1" s="1"/>
  <c r="CE462" i="1"/>
  <c r="CQ462" i="1" s="1"/>
  <c r="CE463" i="1"/>
  <c r="CQ463" i="1" s="1"/>
  <c r="CE464" i="1"/>
  <c r="CQ464" i="1" s="1"/>
  <c r="CE465" i="1"/>
  <c r="CQ465" i="1" s="1"/>
  <c r="CE4" i="1"/>
  <c r="CX164" i="1"/>
  <c r="CY164" i="1"/>
  <c r="CX53" i="1"/>
  <c r="CY53" i="1"/>
  <c r="CX49" i="1"/>
  <c r="CY49" i="1"/>
  <c r="CX32" i="1"/>
  <c r="CY32" i="1"/>
  <c r="CX12" i="1"/>
  <c r="CY12" i="1"/>
  <c r="CX15" i="1"/>
  <c r="CY15" i="1"/>
  <c r="CX118" i="1"/>
  <c r="CY118" i="1"/>
  <c r="CX126" i="1"/>
  <c r="CY126" i="1"/>
  <c r="CX37" i="1"/>
  <c r="CY37" i="1"/>
  <c r="CX132" i="1"/>
  <c r="CY132" i="1"/>
  <c r="CX40" i="1"/>
  <c r="CY40" i="1"/>
  <c r="CX44" i="1"/>
  <c r="CY44" i="1"/>
  <c r="CX159" i="1"/>
  <c r="CY159" i="1"/>
  <c r="CX5" i="1"/>
  <c r="CY5" i="1"/>
  <c r="CX77" i="1"/>
  <c r="CY77" i="1"/>
  <c r="CX35" i="1"/>
  <c r="CY35" i="1"/>
  <c r="CX19" i="1"/>
  <c r="CY19" i="1"/>
  <c r="CX47" i="1"/>
  <c r="CY47" i="1"/>
  <c r="CX27" i="1"/>
  <c r="CY27" i="1"/>
  <c r="CX107" i="1"/>
  <c r="CY107" i="1"/>
  <c r="CX7" i="1"/>
  <c r="CY7" i="1"/>
  <c r="CX25" i="1"/>
  <c r="CY25" i="1"/>
  <c r="CX6" i="1"/>
  <c r="CY6" i="1"/>
  <c r="CX192" i="1"/>
  <c r="CY192" i="1"/>
  <c r="CX232" i="1"/>
  <c r="CY232" i="1"/>
  <c r="CX54" i="1"/>
  <c r="CY54" i="1"/>
  <c r="CX240" i="1"/>
  <c r="CY240" i="1"/>
  <c r="CX58" i="1"/>
  <c r="CY58" i="1"/>
  <c r="CX10" i="1"/>
  <c r="CY10" i="1"/>
  <c r="CX93" i="1"/>
  <c r="CY93" i="1"/>
  <c r="CX110" i="1"/>
  <c r="CY110" i="1"/>
  <c r="CX170" i="1"/>
  <c r="CY170" i="1"/>
  <c r="CX198" i="1"/>
  <c r="CY198" i="1"/>
  <c r="CX39" i="1"/>
  <c r="CY39" i="1"/>
  <c r="CX75" i="1"/>
  <c r="CY75" i="1"/>
  <c r="CX11" i="1"/>
  <c r="CY11" i="1"/>
  <c r="CX31" i="1"/>
  <c r="CY31" i="1"/>
  <c r="CX48" i="1"/>
  <c r="CY48" i="1"/>
  <c r="CX50" i="1"/>
  <c r="CY50" i="1"/>
  <c r="CX171" i="1"/>
  <c r="CY171" i="1"/>
  <c r="CX241" i="1"/>
  <c r="CY241" i="1"/>
  <c r="CX59" i="1"/>
  <c r="CY59" i="1"/>
  <c r="CX242" i="1"/>
  <c r="CY242" i="1"/>
  <c r="CX74" i="1"/>
  <c r="CY74" i="1"/>
  <c r="CX79" i="1"/>
  <c r="CY79" i="1"/>
  <c r="CX81" i="1"/>
  <c r="CY81" i="1"/>
  <c r="CX167" i="1"/>
  <c r="CY167" i="1"/>
  <c r="CX46" i="1"/>
  <c r="CY46" i="1"/>
  <c r="CX141" i="1"/>
  <c r="CY141" i="1"/>
  <c r="CX207" i="1"/>
  <c r="CY207" i="1"/>
  <c r="CX60" i="1"/>
  <c r="CY60" i="1"/>
  <c r="CX128" i="1"/>
  <c r="CY128" i="1"/>
  <c r="CX243" i="1"/>
  <c r="CY243" i="1"/>
  <c r="CX13" i="1"/>
  <c r="CY13" i="1"/>
  <c r="CX42" i="1"/>
  <c r="CY42" i="1"/>
  <c r="CX191" i="1"/>
  <c r="CY191" i="1"/>
  <c r="CX138" i="1"/>
  <c r="CY138" i="1"/>
  <c r="CX203" i="1"/>
  <c r="CY203" i="1"/>
  <c r="CX86" i="1"/>
  <c r="CY86" i="1"/>
  <c r="CX244" i="1"/>
  <c r="CY244" i="1"/>
  <c r="CX38" i="1"/>
  <c r="CY38" i="1"/>
  <c r="CX245" i="1"/>
  <c r="CY245" i="1"/>
  <c r="CX246" i="1"/>
  <c r="CY246" i="1"/>
  <c r="CX33" i="1"/>
  <c r="CY33" i="1"/>
  <c r="CX127" i="1"/>
  <c r="CY127" i="1"/>
  <c r="CX247" i="1"/>
  <c r="CY247" i="1"/>
  <c r="CX76" i="1"/>
  <c r="CY76" i="1"/>
  <c r="CX51" i="1"/>
  <c r="CY51" i="1"/>
  <c r="CX233" i="1"/>
  <c r="CY233" i="1"/>
  <c r="CX248" i="1"/>
  <c r="CY248" i="1"/>
  <c r="CX249" i="1"/>
  <c r="CY249" i="1"/>
  <c r="CX137" i="1"/>
  <c r="CY137" i="1"/>
  <c r="CX250" i="1"/>
  <c r="CY250" i="1"/>
  <c r="CX152" i="1"/>
  <c r="CY152" i="1"/>
  <c r="CX71" i="1"/>
  <c r="CY71" i="1"/>
  <c r="CX26" i="1"/>
  <c r="CY26" i="1"/>
  <c r="CX30" i="1"/>
  <c r="CY30" i="1"/>
  <c r="CX45" i="1"/>
  <c r="CY45" i="1"/>
  <c r="CX28" i="1"/>
  <c r="CY28" i="1"/>
  <c r="CX29" i="1"/>
  <c r="CY29" i="1"/>
  <c r="CX34" i="1"/>
  <c r="CY34" i="1"/>
  <c r="CX251" i="1"/>
  <c r="CY251" i="1"/>
  <c r="CX43" i="1"/>
  <c r="CY43" i="1"/>
  <c r="CX96" i="1"/>
  <c r="CY96" i="1"/>
  <c r="CX252" i="1"/>
  <c r="CY252" i="1"/>
  <c r="CX253" i="1"/>
  <c r="CY253" i="1"/>
  <c r="CX16" i="1"/>
  <c r="CY16" i="1"/>
  <c r="CX83" i="1"/>
  <c r="CY83" i="1"/>
  <c r="CX64" i="1"/>
  <c r="CY64" i="1"/>
  <c r="CX82" i="1"/>
  <c r="CY82" i="1"/>
  <c r="CX254" i="1"/>
  <c r="CY254" i="1"/>
  <c r="CX22" i="1"/>
  <c r="CY22" i="1"/>
  <c r="CX17" i="1"/>
  <c r="CY17" i="1"/>
  <c r="CX105" i="1"/>
  <c r="CY105" i="1"/>
  <c r="CX92" i="1"/>
  <c r="CY92" i="1"/>
  <c r="CX130" i="1"/>
  <c r="CY130" i="1"/>
  <c r="CX2" i="1"/>
  <c r="CY2" i="1"/>
  <c r="CX255" i="1"/>
  <c r="CY255" i="1"/>
  <c r="CX65" i="1"/>
  <c r="CY65" i="1"/>
  <c r="CX161" i="1"/>
  <c r="CY161" i="1"/>
  <c r="CX8" i="1"/>
  <c r="CY8" i="1"/>
  <c r="CX106" i="1"/>
  <c r="CY106" i="1"/>
  <c r="CX95" i="1"/>
  <c r="CY95" i="1"/>
  <c r="CX102" i="1"/>
  <c r="CY102" i="1"/>
  <c r="CX230" i="1"/>
  <c r="CY230" i="1"/>
  <c r="CX224" i="1"/>
  <c r="CY224" i="1"/>
  <c r="CX256" i="1"/>
  <c r="CY256" i="1"/>
  <c r="CX56" i="1"/>
  <c r="CY56" i="1"/>
  <c r="CX257" i="1"/>
  <c r="CY257" i="1"/>
  <c r="CX135" i="1"/>
  <c r="CY135" i="1"/>
  <c r="CX21" i="1"/>
  <c r="CY21" i="1"/>
  <c r="CX258" i="1"/>
  <c r="CY258" i="1"/>
  <c r="CX259" i="1"/>
  <c r="CY259" i="1"/>
  <c r="CX136" i="1"/>
  <c r="CY136" i="1"/>
  <c r="CX114" i="1"/>
  <c r="CY114" i="1"/>
  <c r="CX70" i="1"/>
  <c r="CY70" i="1"/>
  <c r="CX129" i="1"/>
  <c r="CY129" i="1"/>
  <c r="CX260" i="1"/>
  <c r="CY260" i="1"/>
  <c r="CX89" i="1"/>
  <c r="CY89" i="1"/>
  <c r="CX9" i="1"/>
  <c r="CY9" i="1"/>
  <c r="CX202" i="1"/>
  <c r="CY202" i="1"/>
  <c r="CX261" i="1"/>
  <c r="CY261" i="1"/>
  <c r="CX101" i="1"/>
  <c r="CY101" i="1"/>
  <c r="CX18" i="1"/>
  <c r="CY18" i="1"/>
  <c r="CX262" i="1"/>
  <c r="CY262" i="1"/>
  <c r="CX263" i="1"/>
  <c r="CY263" i="1"/>
  <c r="CX109" i="1"/>
  <c r="CY109" i="1"/>
  <c r="CX24" i="1"/>
  <c r="CY24" i="1"/>
  <c r="CX264" i="1"/>
  <c r="CY264" i="1"/>
  <c r="CX55" i="1"/>
  <c r="CY55" i="1"/>
  <c r="CX117" i="1"/>
  <c r="CY117" i="1"/>
  <c r="CX36" i="1"/>
  <c r="CY36" i="1"/>
  <c r="CX222" i="1"/>
  <c r="CY222" i="1"/>
  <c r="CX113" i="1"/>
  <c r="CY113" i="1"/>
  <c r="CX111" i="1"/>
  <c r="CY111" i="1"/>
  <c r="CX265" i="1"/>
  <c r="CY265" i="1"/>
  <c r="CX72" i="1"/>
  <c r="CY72" i="1"/>
  <c r="CX266" i="1"/>
  <c r="CY266" i="1"/>
  <c r="CX267" i="1"/>
  <c r="CY267" i="1"/>
  <c r="CX268" i="1"/>
  <c r="CY268" i="1"/>
  <c r="CX98" i="1"/>
  <c r="CY98" i="1"/>
  <c r="CX140" i="1"/>
  <c r="CY140" i="1"/>
  <c r="CX158" i="1"/>
  <c r="CY158" i="1"/>
  <c r="CX269" i="1"/>
  <c r="CY269" i="1"/>
  <c r="CX87" i="1"/>
  <c r="CY87" i="1"/>
  <c r="CX61" i="1"/>
  <c r="CY61" i="1"/>
  <c r="CX270" i="1"/>
  <c r="CY270" i="1"/>
  <c r="CX200" i="1"/>
  <c r="CY200" i="1"/>
  <c r="CX23" i="1"/>
  <c r="CY23" i="1"/>
  <c r="CX271" i="1"/>
  <c r="CY271" i="1"/>
  <c r="CX225" i="1"/>
  <c r="CY225" i="1"/>
  <c r="CX100" i="1"/>
  <c r="CY100" i="1"/>
  <c r="CX177" i="1"/>
  <c r="CY177" i="1"/>
  <c r="CX112" i="1"/>
  <c r="CY112" i="1"/>
  <c r="CX150" i="1"/>
  <c r="CY150" i="1"/>
  <c r="CX228" i="1"/>
  <c r="CY228" i="1"/>
  <c r="CX221" i="1"/>
  <c r="CY221" i="1"/>
  <c r="CX211" i="1"/>
  <c r="CY211" i="1"/>
  <c r="CX121" i="1"/>
  <c r="CY121" i="1"/>
  <c r="CX125" i="1"/>
  <c r="CY125" i="1"/>
  <c r="CX94" i="1"/>
  <c r="CY94" i="1"/>
  <c r="CX80" i="1"/>
  <c r="CY80" i="1"/>
  <c r="CX108" i="1"/>
  <c r="CY108" i="1"/>
  <c r="CX123" i="1"/>
  <c r="CY123" i="1"/>
  <c r="CX272" i="1"/>
  <c r="CY272" i="1"/>
  <c r="CX273" i="1"/>
  <c r="CY273" i="1"/>
  <c r="CX189" i="1"/>
  <c r="CY189" i="1"/>
  <c r="CX188" i="1"/>
  <c r="CY188" i="1"/>
  <c r="CX219" i="1"/>
  <c r="CY219" i="1"/>
  <c r="CX115" i="1"/>
  <c r="CY115" i="1"/>
  <c r="CX41" i="1"/>
  <c r="CY41" i="1"/>
  <c r="CX274" i="1"/>
  <c r="CY274" i="1"/>
  <c r="CX216" i="1"/>
  <c r="CY216" i="1"/>
  <c r="CX116" i="1"/>
  <c r="CY116" i="1"/>
  <c r="CX57" i="1"/>
  <c r="CY57" i="1"/>
  <c r="CX180" i="1"/>
  <c r="CY180" i="1"/>
  <c r="CX275" i="1"/>
  <c r="CY275" i="1"/>
  <c r="CX14" i="1"/>
  <c r="CY14" i="1"/>
  <c r="CX276" i="1"/>
  <c r="CY276" i="1"/>
  <c r="CX277" i="1"/>
  <c r="CY277" i="1"/>
  <c r="CX278" i="1"/>
  <c r="CY278" i="1"/>
  <c r="CX67" i="1"/>
  <c r="CY67" i="1"/>
  <c r="CX148" i="1"/>
  <c r="CY148" i="1"/>
  <c r="CX183" i="1"/>
  <c r="CY183" i="1"/>
  <c r="CX153" i="1"/>
  <c r="CY153" i="1"/>
  <c r="CX229" i="1"/>
  <c r="CY229" i="1"/>
  <c r="CX176" i="1"/>
  <c r="CY176" i="1"/>
  <c r="CX220" i="1"/>
  <c r="CY220" i="1"/>
  <c r="CX279" i="1"/>
  <c r="CY279" i="1"/>
  <c r="CX63" i="1"/>
  <c r="CY63" i="1"/>
  <c r="CX280" i="1"/>
  <c r="CY280" i="1"/>
  <c r="CX281" i="1"/>
  <c r="CY281" i="1"/>
  <c r="CX90" i="1"/>
  <c r="CY90" i="1"/>
  <c r="CX201" i="1"/>
  <c r="CY201" i="1"/>
  <c r="CX99" i="1"/>
  <c r="CY99" i="1"/>
  <c r="CX213" i="1"/>
  <c r="CY213" i="1"/>
  <c r="CX68" i="1"/>
  <c r="CY68" i="1"/>
  <c r="CX20" i="1"/>
  <c r="CY20" i="1"/>
  <c r="CX206" i="1"/>
  <c r="CY206" i="1"/>
  <c r="CX78" i="1"/>
  <c r="CY78" i="1"/>
  <c r="CX282" i="1"/>
  <c r="CY282" i="1"/>
  <c r="CX197" i="1"/>
  <c r="CY197" i="1"/>
  <c r="CX62" i="1"/>
  <c r="CY62" i="1"/>
  <c r="CX142" i="1"/>
  <c r="CY142" i="1"/>
  <c r="CX147" i="1"/>
  <c r="CY147" i="1"/>
  <c r="CX52" i="1"/>
  <c r="CY52" i="1"/>
  <c r="CX217" i="1"/>
  <c r="CY217" i="1"/>
  <c r="CX157" i="1"/>
  <c r="CY157" i="1"/>
  <c r="CX181" i="1"/>
  <c r="CY181" i="1"/>
  <c r="CX124" i="1"/>
  <c r="CY124" i="1"/>
  <c r="CX174" i="1"/>
  <c r="CY174" i="1"/>
  <c r="CX283" i="1"/>
  <c r="CY283" i="1"/>
  <c r="CX205" i="1"/>
  <c r="CY205" i="1"/>
  <c r="CX169" i="1"/>
  <c r="CY169" i="1"/>
  <c r="CX199" i="1"/>
  <c r="CY199" i="1"/>
  <c r="CX145" i="1"/>
  <c r="CY145" i="1"/>
  <c r="CX284" i="1"/>
  <c r="CY284" i="1"/>
  <c r="CX73" i="1"/>
  <c r="CY73" i="1"/>
  <c r="CX185" i="1"/>
  <c r="CY185" i="1"/>
  <c r="CX285" i="1"/>
  <c r="CY285" i="1"/>
  <c r="CX160" i="1"/>
  <c r="CY160" i="1"/>
  <c r="CX286" i="1"/>
  <c r="CY286" i="1"/>
  <c r="CX182" i="1"/>
  <c r="CY182" i="1"/>
  <c r="CX287" i="1"/>
  <c r="CY287" i="1"/>
  <c r="CX288" i="1"/>
  <c r="CY288" i="1"/>
  <c r="CX178" i="1"/>
  <c r="CY178" i="1"/>
  <c r="CX143" i="1"/>
  <c r="CY143" i="1"/>
  <c r="CX195" i="1"/>
  <c r="CY195" i="1"/>
  <c r="CX289" i="1"/>
  <c r="CY289" i="1"/>
  <c r="CX66" i="1"/>
  <c r="CY66" i="1"/>
  <c r="CX186" i="1"/>
  <c r="CY186" i="1"/>
  <c r="CX227" i="1"/>
  <c r="CY227" i="1"/>
  <c r="CX146" i="1"/>
  <c r="CY146" i="1"/>
  <c r="CX165" i="1"/>
  <c r="CY165" i="1"/>
  <c r="CX204" i="1"/>
  <c r="CY204" i="1"/>
  <c r="CX166" i="1"/>
  <c r="CY166" i="1"/>
  <c r="CX133" i="1"/>
  <c r="CY133" i="1"/>
  <c r="CX190" i="1"/>
  <c r="CY190" i="1"/>
  <c r="CX144" i="1"/>
  <c r="CY144" i="1"/>
  <c r="CX210" i="1"/>
  <c r="CY210" i="1"/>
  <c r="CX193" i="1"/>
  <c r="CY193" i="1"/>
  <c r="CX139" i="1"/>
  <c r="CY139" i="1"/>
  <c r="CX290" i="1"/>
  <c r="CY290" i="1"/>
  <c r="CX209" i="1"/>
  <c r="CY209" i="1"/>
  <c r="CX231" i="1"/>
  <c r="CY231" i="1"/>
  <c r="CX120" i="1"/>
  <c r="CY120" i="1"/>
  <c r="CX84" i="1"/>
  <c r="CY84" i="1"/>
  <c r="CX151" i="1"/>
  <c r="CY151" i="1"/>
  <c r="CX149" i="1"/>
  <c r="CY149" i="1"/>
  <c r="CX214" i="1"/>
  <c r="CY214" i="1"/>
  <c r="CX187" i="1"/>
  <c r="CY187" i="1"/>
  <c r="CX291" i="1"/>
  <c r="CY291" i="1"/>
  <c r="CX292" i="1"/>
  <c r="CY292" i="1"/>
  <c r="CX104" i="1"/>
  <c r="CY104" i="1"/>
  <c r="CX293" i="1"/>
  <c r="CY293" i="1"/>
  <c r="CX175" i="1"/>
  <c r="CY175" i="1"/>
  <c r="CX294" i="1"/>
  <c r="CY294" i="1"/>
  <c r="CX226" i="1"/>
  <c r="CY226" i="1"/>
  <c r="CX173" i="1"/>
  <c r="CY173" i="1"/>
  <c r="CX208" i="1"/>
  <c r="CY208" i="1"/>
  <c r="CX218" i="1"/>
  <c r="CY218" i="1"/>
  <c r="CX88" i="1"/>
  <c r="CY88" i="1"/>
  <c r="CX119" i="1"/>
  <c r="CY119" i="1"/>
  <c r="CX295" i="1"/>
  <c r="CY295" i="1"/>
  <c r="CX296" i="1"/>
  <c r="CY296" i="1"/>
  <c r="CX297" i="1"/>
  <c r="CY297" i="1"/>
  <c r="CX184" i="1"/>
  <c r="CY184" i="1"/>
  <c r="CX156" i="1"/>
  <c r="CY156" i="1"/>
  <c r="CX215" i="1"/>
  <c r="CY215" i="1"/>
  <c r="CX168" i="1"/>
  <c r="CY168" i="1"/>
  <c r="CX179" i="1"/>
  <c r="CY179" i="1"/>
  <c r="CX131" i="1"/>
  <c r="CY131" i="1"/>
  <c r="CX196" i="1"/>
  <c r="CY196" i="1"/>
  <c r="CX103" i="1"/>
  <c r="CY103" i="1"/>
  <c r="CX194" i="1"/>
  <c r="CY194" i="1"/>
  <c r="CX298" i="1"/>
  <c r="CY298" i="1"/>
  <c r="CX91" i="1"/>
  <c r="CY91" i="1"/>
  <c r="CX299" i="1"/>
  <c r="CY299" i="1"/>
  <c r="CX85" i="1"/>
  <c r="CY85" i="1"/>
  <c r="CX97" i="1"/>
  <c r="CY97" i="1"/>
  <c r="CX300" i="1"/>
  <c r="CY300" i="1"/>
  <c r="CX301" i="1"/>
  <c r="CY301" i="1"/>
  <c r="CX69" i="1"/>
  <c r="CY69" i="1"/>
  <c r="CX302" i="1"/>
  <c r="CY302" i="1"/>
  <c r="CX303" i="1"/>
  <c r="CY303" i="1"/>
  <c r="CX304" i="1"/>
  <c r="CY304" i="1"/>
  <c r="CX212" i="1"/>
  <c r="CY212" i="1"/>
  <c r="CX305" i="1"/>
  <c r="CY305" i="1"/>
  <c r="CX155" i="1"/>
  <c r="CY155" i="1"/>
  <c r="CX306" i="1"/>
  <c r="CY306" i="1"/>
  <c r="CX307" i="1"/>
  <c r="CY307" i="1"/>
  <c r="CX308" i="1"/>
  <c r="CY308" i="1"/>
  <c r="CX309" i="1"/>
  <c r="CY309" i="1"/>
  <c r="CX162" i="1"/>
  <c r="CY162" i="1"/>
  <c r="CX310" i="1"/>
  <c r="CY310" i="1"/>
  <c r="CX311" i="1"/>
  <c r="CY311" i="1"/>
  <c r="CX134" i="1"/>
  <c r="CY134" i="1"/>
  <c r="CX312" i="1"/>
  <c r="CY312" i="1"/>
  <c r="CX313" i="1"/>
  <c r="CY313" i="1"/>
  <c r="CX314" i="1"/>
  <c r="CY314" i="1"/>
  <c r="CX122" i="1"/>
  <c r="CY122" i="1"/>
  <c r="CX223" i="1"/>
  <c r="CY223" i="1"/>
  <c r="CX315" i="1"/>
  <c r="CY315" i="1"/>
  <c r="CX316" i="1"/>
  <c r="CY316" i="1"/>
  <c r="CX3" i="1"/>
  <c r="CY3" i="1"/>
  <c r="CX317" i="1"/>
  <c r="CY317" i="1"/>
  <c r="CX318" i="1"/>
  <c r="CY318" i="1"/>
  <c r="CX172" i="1"/>
  <c r="CY172" i="1"/>
  <c r="CX319" i="1"/>
  <c r="CY319" i="1"/>
  <c r="CX235" i="1"/>
  <c r="CY235" i="1"/>
  <c r="CX320" i="1"/>
  <c r="CY320" i="1"/>
  <c r="CX321" i="1"/>
  <c r="CY321" i="1"/>
  <c r="CX322" i="1"/>
  <c r="CY322" i="1"/>
  <c r="CX323" i="1"/>
  <c r="CY323" i="1"/>
  <c r="CX324" i="1"/>
  <c r="CY324" i="1"/>
  <c r="CX239" i="1"/>
  <c r="CY239" i="1"/>
  <c r="CX238" i="1"/>
  <c r="CY238" i="1"/>
  <c r="CX237" i="1"/>
  <c r="CY237" i="1"/>
  <c r="CX236" i="1"/>
  <c r="CY236" i="1"/>
  <c r="CX325" i="1"/>
  <c r="CY325" i="1"/>
  <c r="CX326" i="1"/>
  <c r="CY326" i="1"/>
  <c r="CX234" i="1"/>
  <c r="CY234" i="1"/>
  <c r="CX327" i="1"/>
  <c r="CY327" i="1"/>
  <c r="CX328" i="1"/>
  <c r="CY328" i="1"/>
  <c r="CX329" i="1"/>
  <c r="CY329" i="1"/>
  <c r="CX330" i="1"/>
  <c r="CY330" i="1"/>
  <c r="CX331" i="1"/>
  <c r="CY331" i="1"/>
  <c r="CX332" i="1"/>
  <c r="CY332" i="1"/>
  <c r="CX333" i="1"/>
  <c r="CY333" i="1"/>
  <c r="CX334" i="1"/>
  <c r="CY334" i="1"/>
  <c r="CX335" i="1"/>
  <c r="CY335" i="1"/>
  <c r="CX336" i="1"/>
  <c r="CY336" i="1"/>
  <c r="CX337" i="1"/>
  <c r="CY337" i="1"/>
  <c r="CX338" i="1"/>
  <c r="CY338" i="1"/>
  <c r="CX339" i="1"/>
  <c r="CY339" i="1"/>
  <c r="CX340" i="1"/>
  <c r="CY340" i="1"/>
  <c r="CX341" i="1"/>
  <c r="CY341" i="1"/>
  <c r="CX342" i="1"/>
  <c r="CY342" i="1"/>
  <c r="CX343" i="1"/>
  <c r="CY343" i="1"/>
  <c r="CX344" i="1"/>
  <c r="CY344" i="1"/>
  <c r="CX345" i="1"/>
  <c r="CY345" i="1"/>
  <c r="CX346" i="1"/>
  <c r="CY346" i="1"/>
  <c r="CX347" i="1"/>
  <c r="CY347" i="1"/>
  <c r="CX348" i="1"/>
  <c r="CY348" i="1"/>
  <c r="CX349" i="1"/>
  <c r="CY349" i="1"/>
  <c r="CX350" i="1"/>
  <c r="CY350" i="1"/>
  <c r="CX351" i="1"/>
  <c r="CY351" i="1"/>
  <c r="CX352" i="1"/>
  <c r="CY352" i="1"/>
  <c r="CX353" i="1"/>
  <c r="CY353" i="1"/>
  <c r="CX354" i="1"/>
  <c r="CY354" i="1"/>
  <c r="CX355" i="1"/>
  <c r="CY355" i="1"/>
  <c r="CX356" i="1"/>
  <c r="CY356" i="1"/>
  <c r="CX357" i="1"/>
  <c r="CY357" i="1"/>
  <c r="CX358" i="1"/>
  <c r="CY358" i="1"/>
  <c r="CX359" i="1"/>
  <c r="CY359" i="1"/>
  <c r="CX360" i="1"/>
  <c r="CY360" i="1"/>
  <c r="CX361" i="1"/>
  <c r="CY361" i="1"/>
  <c r="CX362" i="1"/>
  <c r="CY362" i="1"/>
  <c r="CX363" i="1"/>
  <c r="CY363" i="1"/>
  <c r="CX364" i="1"/>
  <c r="CY364" i="1"/>
  <c r="CX365" i="1"/>
  <c r="CY365" i="1"/>
  <c r="CX366" i="1"/>
  <c r="CY366" i="1"/>
  <c r="CX367" i="1"/>
  <c r="CY367" i="1"/>
  <c r="CX368" i="1"/>
  <c r="CY368" i="1"/>
  <c r="CX369" i="1"/>
  <c r="CY369" i="1"/>
  <c r="CX370" i="1"/>
  <c r="CY370" i="1"/>
  <c r="CX371" i="1"/>
  <c r="CY371" i="1"/>
  <c r="CX372" i="1"/>
  <c r="CY372" i="1"/>
  <c r="CX373" i="1"/>
  <c r="CY373" i="1"/>
  <c r="CX374" i="1"/>
  <c r="CY374" i="1"/>
  <c r="CX375" i="1"/>
  <c r="CY375" i="1"/>
  <c r="CX376" i="1"/>
  <c r="CY376" i="1"/>
  <c r="CX377" i="1"/>
  <c r="CY377" i="1"/>
  <c r="CX378" i="1"/>
  <c r="CY378" i="1"/>
  <c r="CX379" i="1"/>
  <c r="CY379" i="1"/>
  <c r="CX380" i="1"/>
  <c r="CY380" i="1"/>
  <c r="CX381" i="1"/>
  <c r="CY381" i="1"/>
  <c r="CX382" i="1"/>
  <c r="CY382" i="1"/>
  <c r="CX383" i="1"/>
  <c r="CY383" i="1"/>
  <c r="CX384" i="1"/>
  <c r="CY384" i="1"/>
  <c r="CX385" i="1"/>
  <c r="CY385" i="1"/>
  <c r="CX386" i="1"/>
  <c r="CY386" i="1"/>
  <c r="CX387" i="1"/>
  <c r="CY387" i="1"/>
  <c r="CX388" i="1"/>
  <c r="CY388" i="1"/>
  <c r="CX389" i="1"/>
  <c r="CY389" i="1"/>
  <c r="CX390" i="1"/>
  <c r="CY390" i="1"/>
  <c r="CX391" i="1"/>
  <c r="CY391" i="1"/>
  <c r="CX392" i="1"/>
  <c r="CY392" i="1"/>
  <c r="CX393" i="1"/>
  <c r="CY393" i="1"/>
  <c r="CX394" i="1"/>
  <c r="CY394" i="1"/>
  <c r="CX395" i="1"/>
  <c r="CY395" i="1"/>
  <c r="CX396" i="1"/>
  <c r="CY396" i="1"/>
  <c r="CX397" i="1"/>
  <c r="CY397" i="1"/>
  <c r="CX398" i="1"/>
  <c r="CY398" i="1"/>
  <c r="CX399" i="1"/>
  <c r="CY399" i="1"/>
  <c r="CX400" i="1"/>
  <c r="CY400" i="1"/>
  <c r="CX401" i="1"/>
  <c r="CY401" i="1"/>
  <c r="CX402" i="1"/>
  <c r="CY402" i="1"/>
  <c r="CX403" i="1"/>
  <c r="CY403" i="1"/>
  <c r="CX404" i="1"/>
  <c r="CY404" i="1"/>
  <c r="CX405" i="1"/>
  <c r="CY405" i="1"/>
  <c r="CX406" i="1"/>
  <c r="CY406" i="1"/>
  <c r="CX407" i="1"/>
  <c r="CY407" i="1"/>
  <c r="CX408" i="1"/>
  <c r="CY408" i="1"/>
  <c r="CX409" i="1"/>
  <c r="CY409" i="1"/>
  <c r="CX410" i="1"/>
  <c r="CY410" i="1"/>
  <c r="CX411" i="1"/>
  <c r="CY411" i="1"/>
  <c r="CX412" i="1"/>
  <c r="CY412" i="1"/>
  <c r="CX413" i="1"/>
  <c r="CY413" i="1"/>
  <c r="CX414" i="1"/>
  <c r="CY414" i="1"/>
  <c r="CX415" i="1"/>
  <c r="CY415" i="1"/>
  <c r="CX416" i="1"/>
  <c r="CY416" i="1"/>
  <c r="CX417" i="1"/>
  <c r="CY417" i="1"/>
  <c r="CX418" i="1"/>
  <c r="CY418" i="1"/>
  <c r="CX419" i="1"/>
  <c r="CY419" i="1"/>
  <c r="CX420" i="1"/>
  <c r="CY420" i="1"/>
  <c r="CX421" i="1"/>
  <c r="CY421" i="1"/>
  <c r="CX422" i="1"/>
  <c r="CY422" i="1"/>
  <c r="CX423" i="1"/>
  <c r="CY423" i="1"/>
  <c r="CX424" i="1"/>
  <c r="CY424" i="1"/>
  <c r="CX425" i="1"/>
  <c r="CY425" i="1"/>
  <c r="CX426" i="1"/>
  <c r="CY426" i="1"/>
  <c r="CX427" i="1"/>
  <c r="CY427" i="1"/>
  <c r="CX428" i="1"/>
  <c r="CY428" i="1"/>
  <c r="CX429" i="1"/>
  <c r="CY429" i="1"/>
  <c r="CX430" i="1"/>
  <c r="CY430" i="1"/>
  <c r="CX431" i="1"/>
  <c r="CY431" i="1"/>
  <c r="CX432" i="1"/>
  <c r="CY432" i="1"/>
  <c r="CX433" i="1"/>
  <c r="CY433" i="1"/>
  <c r="CX434" i="1"/>
  <c r="CY434" i="1"/>
  <c r="CX435" i="1"/>
  <c r="CY435" i="1"/>
  <c r="CX436" i="1"/>
  <c r="CY436" i="1"/>
  <c r="CX437" i="1"/>
  <c r="CY437" i="1"/>
  <c r="CX154" i="1"/>
  <c r="CY154" i="1"/>
  <c r="CX438" i="1"/>
  <c r="CY438" i="1"/>
  <c r="CX439" i="1"/>
  <c r="CY439" i="1"/>
  <c r="CX440" i="1"/>
  <c r="CY440" i="1"/>
  <c r="CX441" i="1"/>
  <c r="CY441" i="1"/>
  <c r="CX163" i="1"/>
  <c r="CY163" i="1"/>
  <c r="CX442" i="1"/>
  <c r="CY442" i="1"/>
  <c r="CX443" i="1"/>
  <c r="CY443" i="1"/>
  <c r="CX444" i="1"/>
  <c r="CY444" i="1"/>
  <c r="CX445" i="1"/>
  <c r="CY445" i="1"/>
  <c r="CX446" i="1"/>
  <c r="CY446" i="1"/>
  <c r="CX447" i="1"/>
  <c r="CY447" i="1"/>
  <c r="CX448" i="1"/>
  <c r="CY448" i="1"/>
  <c r="CX449" i="1"/>
  <c r="CY449" i="1"/>
  <c r="CX450" i="1"/>
  <c r="CY450" i="1"/>
  <c r="CX451" i="1"/>
  <c r="CY451" i="1"/>
  <c r="CX452" i="1"/>
  <c r="CY452" i="1"/>
  <c r="CX453" i="1"/>
  <c r="CY453" i="1"/>
  <c r="CX454" i="1"/>
  <c r="CY454" i="1"/>
  <c r="CX455" i="1"/>
  <c r="CY455" i="1"/>
  <c r="CX456" i="1"/>
  <c r="CY456" i="1"/>
  <c r="CX457" i="1"/>
  <c r="CY457" i="1"/>
  <c r="CX458" i="1"/>
  <c r="CY458" i="1"/>
  <c r="CX459" i="1"/>
  <c r="CY459" i="1"/>
  <c r="CX460" i="1"/>
  <c r="CY460" i="1"/>
  <c r="CX461" i="1"/>
  <c r="CY461" i="1"/>
  <c r="CX462" i="1"/>
  <c r="CY462" i="1"/>
  <c r="CX463" i="1"/>
  <c r="CY463" i="1"/>
  <c r="CX464" i="1"/>
  <c r="CY464" i="1"/>
  <c r="CX465" i="1"/>
  <c r="CY465" i="1"/>
  <c r="CY4" i="1"/>
  <c r="CX4" i="1"/>
  <c r="CB319" i="1"/>
  <c r="CJ62" i="1"/>
  <c r="CJ250" i="1"/>
  <c r="CK250" i="1"/>
  <c r="CL250" i="1"/>
  <c r="CJ161" i="1"/>
  <c r="CK161" i="1"/>
  <c r="CL161" i="1"/>
  <c r="CJ44" i="1"/>
  <c r="CK44" i="1"/>
  <c r="CL44" i="1"/>
  <c r="CJ137" i="1"/>
  <c r="CK137" i="1"/>
  <c r="CL137" i="1"/>
  <c r="CJ57" i="1"/>
  <c r="CK57" i="1"/>
  <c r="CL57" i="1"/>
  <c r="CJ74" i="1"/>
  <c r="CK74" i="1"/>
  <c r="CL74" i="1"/>
  <c r="CJ54" i="1"/>
  <c r="CK54" i="1"/>
  <c r="CL54" i="1"/>
  <c r="CJ71" i="1"/>
  <c r="CK71" i="1"/>
  <c r="CL71" i="1"/>
  <c r="CJ220" i="1"/>
  <c r="CK220" i="1"/>
  <c r="CL220" i="1"/>
  <c r="CJ81" i="1"/>
  <c r="CK81" i="1"/>
  <c r="CL81" i="1"/>
  <c r="CJ30" i="1"/>
  <c r="CK30" i="1"/>
  <c r="CL30" i="1"/>
  <c r="CJ76" i="1"/>
  <c r="CK76" i="1"/>
  <c r="CL76" i="1"/>
  <c r="CJ19" i="1"/>
  <c r="CK19" i="1"/>
  <c r="CL19" i="1"/>
  <c r="CJ267" i="1"/>
  <c r="CK267" i="1"/>
  <c r="CL267" i="1"/>
  <c r="CJ92" i="1"/>
  <c r="CK92" i="1"/>
  <c r="CL92" i="1"/>
  <c r="CJ222" i="1"/>
  <c r="CK222" i="1"/>
  <c r="CL222" i="1"/>
  <c r="CJ22" i="1"/>
  <c r="CK22" i="1"/>
  <c r="CL22" i="1"/>
  <c r="CJ111" i="1"/>
  <c r="CK111" i="1"/>
  <c r="CL111" i="1"/>
  <c r="CJ72" i="1"/>
  <c r="CK72" i="1"/>
  <c r="CL72" i="1"/>
  <c r="CJ23" i="1"/>
  <c r="CK23" i="1"/>
  <c r="CL23" i="1"/>
  <c r="CJ232" i="1"/>
  <c r="CK232" i="1"/>
  <c r="CL232" i="1"/>
  <c r="CJ24" i="1"/>
  <c r="CK24" i="1"/>
  <c r="CL24" i="1"/>
  <c r="CJ39" i="1"/>
  <c r="CK39" i="1"/>
  <c r="CL39" i="1"/>
  <c r="CJ34" i="1"/>
  <c r="CK34" i="1"/>
  <c r="CL34" i="1"/>
  <c r="CJ89" i="1"/>
  <c r="CK89" i="1"/>
  <c r="CL89" i="1"/>
  <c r="CJ140" i="1"/>
  <c r="CK140" i="1"/>
  <c r="CL140" i="1"/>
  <c r="CJ48" i="1"/>
  <c r="CK48" i="1"/>
  <c r="CL48" i="1"/>
  <c r="CJ121" i="1"/>
  <c r="CK121" i="1"/>
  <c r="CL121" i="1"/>
  <c r="CJ17" i="1"/>
  <c r="CK17" i="1"/>
  <c r="CL17" i="1"/>
  <c r="CJ82" i="1"/>
  <c r="CK82" i="1"/>
  <c r="CL82" i="1"/>
  <c r="CJ112" i="1"/>
  <c r="CK112" i="1"/>
  <c r="CL112" i="1"/>
  <c r="CJ11" i="1"/>
  <c r="CK11" i="1"/>
  <c r="CL11" i="1"/>
  <c r="CJ75" i="1"/>
  <c r="CK75" i="1"/>
  <c r="CL75" i="1"/>
  <c r="CJ88" i="1"/>
  <c r="CK88" i="1"/>
  <c r="CL88" i="1"/>
  <c r="CJ126" i="1"/>
  <c r="CK126" i="1"/>
  <c r="CL126" i="1"/>
  <c r="CJ150" i="1"/>
  <c r="CK150" i="1"/>
  <c r="CL150" i="1"/>
  <c r="CJ84" i="1"/>
  <c r="CK84" i="1"/>
  <c r="CL84" i="1"/>
  <c r="CJ38" i="1"/>
  <c r="CK38" i="1"/>
  <c r="CL38" i="1"/>
  <c r="CJ29" i="1"/>
  <c r="CK29" i="1"/>
  <c r="CL29" i="1"/>
  <c r="CJ77" i="1"/>
  <c r="CK77" i="1"/>
  <c r="CL77" i="1"/>
  <c r="CJ33" i="1"/>
  <c r="CK33" i="1"/>
  <c r="CL33" i="1"/>
  <c r="CJ18" i="1"/>
  <c r="CK18" i="1"/>
  <c r="CL18" i="1"/>
  <c r="CJ164" i="1"/>
  <c r="CK164" i="1"/>
  <c r="CL164" i="1"/>
  <c r="CJ80" i="1"/>
  <c r="CK80" i="1"/>
  <c r="CL80" i="1"/>
  <c r="CJ41" i="1"/>
  <c r="CK41" i="1"/>
  <c r="CL41" i="1"/>
  <c r="CJ5" i="1"/>
  <c r="CK5" i="1"/>
  <c r="CL5" i="1"/>
  <c r="CJ128" i="1"/>
  <c r="CK128" i="1"/>
  <c r="CL128" i="1"/>
  <c r="CJ152" i="1"/>
  <c r="CK152" i="1"/>
  <c r="CL152" i="1"/>
  <c r="CJ50" i="1"/>
  <c r="CK50" i="1"/>
  <c r="CL50" i="1"/>
  <c r="CJ42" i="1"/>
  <c r="CK42" i="1"/>
  <c r="CL42" i="1"/>
  <c r="CJ120" i="1"/>
  <c r="CK120" i="1"/>
  <c r="CL120" i="1"/>
  <c r="CJ46" i="1"/>
  <c r="CK46" i="1"/>
  <c r="CL46" i="1"/>
  <c r="CJ159" i="1"/>
  <c r="CK159" i="1"/>
  <c r="CL159" i="1"/>
  <c r="CJ61" i="1"/>
  <c r="CK61" i="1"/>
  <c r="CL61" i="1"/>
  <c r="CJ319" i="1"/>
  <c r="CK319" i="1"/>
  <c r="CL319" i="1"/>
  <c r="CJ263" i="1"/>
  <c r="CK263" i="1"/>
  <c r="CL263" i="1"/>
  <c r="CJ219" i="1"/>
  <c r="CK219" i="1"/>
  <c r="CL219" i="1"/>
  <c r="CJ157" i="1"/>
  <c r="CK157" i="1"/>
  <c r="CL157" i="1"/>
  <c r="CJ221" i="1"/>
  <c r="CK221" i="1"/>
  <c r="CL221" i="1"/>
  <c r="CJ246" i="1"/>
  <c r="CK246" i="1"/>
  <c r="CL246" i="1"/>
  <c r="CJ56" i="1"/>
  <c r="CK56" i="1"/>
  <c r="CL56" i="1"/>
  <c r="CJ138" i="1"/>
  <c r="CK138" i="1"/>
  <c r="CL138" i="1"/>
  <c r="CJ37" i="1"/>
  <c r="CK37" i="1"/>
  <c r="CL37" i="1"/>
  <c r="CJ68" i="1"/>
  <c r="CK68" i="1"/>
  <c r="CL68" i="1"/>
  <c r="CJ36" i="1"/>
  <c r="CK36" i="1"/>
  <c r="CL36" i="1"/>
  <c r="CJ43" i="1"/>
  <c r="CK43" i="1"/>
  <c r="CL43" i="1"/>
  <c r="CJ115" i="1"/>
  <c r="CK115" i="1"/>
  <c r="CL115" i="1"/>
  <c r="CJ133" i="1"/>
  <c r="CK133" i="1"/>
  <c r="CL133" i="1"/>
  <c r="CJ144" i="1"/>
  <c r="CK144" i="1"/>
  <c r="CL144" i="1"/>
  <c r="CJ98" i="1"/>
  <c r="CK98" i="1"/>
  <c r="CL98" i="1"/>
  <c r="CJ10" i="1"/>
  <c r="CK10" i="1"/>
  <c r="CL10" i="1"/>
  <c r="CJ63" i="1"/>
  <c r="CK63" i="1"/>
  <c r="CL63" i="1"/>
  <c r="CJ16" i="1"/>
  <c r="CK16" i="1"/>
  <c r="CL16" i="1"/>
  <c r="CJ135" i="1"/>
  <c r="CK135" i="1"/>
  <c r="CL135" i="1"/>
  <c r="CJ210" i="1"/>
  <c r="CK210" i="1"/>
  <c r="CL210" i="1"/>
  <c r="CJ40" i="1"/>
  <c r="CK40" i="1"/>
  <c r="CL40" i="1"/>
  <c r="CJ64" i="1"/>
  <c r="CK64" i="1"/>
  <c r="CL64" i="1"/>
  <c r="CJ51" i="1"/>
  <c r="CK51" i="1"/>
  <c r="CL51" i="1"/>
  <c r="CJ59" i="1"/>
  <c r="CK59" i="1"/>
  <c r="CL59" i="1"/>
  <c r="CJ45" i="1"/>
  <c r="CK45" i="1"/>
  <c r="CL45" i="1"/>
  <c r="CJ147" i="1"/>
  <c r="CK147" i="1"/>
  <c r="CL147" i="1"/>
  <c r="CJ31" i="1"/>
  <c r="CK31" i="1"/>
  <c r="CL31" i="1"/>
  <c r="CJ94" i="1"/>
  <c r="CK94" i="1"/>
  <c r="CL94" i="1"/>
  <c r="CJ87" i="1"/>
  <c r="CK87" i="1"/>
  <c r="CL87" i="1"/>
  <c r="CJ28" i="1"/>
  <c r="CK28" i="1"/>
  <c r="CL28" i="1"/>
  <c r="CJ27" i="1"/>
  <c r="CK27" i="1"/>
  <c r="CL27" i="1"/>
  <c r="CJ249" i="1"/>
  <c r="CK249" i="1"/>
  <c r="CL249" i="1"/>
  <c r="CJ169" i="1"/>
  <c r="CK169" i="1"/>
  <c r="CL169" i="1"/>
  <c r="CJ35" i="1"/>
  <c r="CK35" i="1"/>
  <c r="CL35" i="1"/>
  <c r="CJ200" i="1"/>
  <c r="CK200" i="1"/>
  <c r="CL200" i="1"/>
  <c r="CJ83" i="1"/>
  <c r="CK83" i="1"/>
  <c r="CL83" i="1"/>
  <c r="CJ9" i="1"/>
  <c r="CK9" i="1"/>
  <c r="CL9" i="1"/>
  <c r="CJ180" i="1"/>
  <c r="CK180" i="1"/>
  <c r="CL180" i="1"/>
  <c r="CJ269" i="1"/>
  <c r="CK269" i="1"/>
  <c r="CL269" i="1"/>
  <c r="CJ55" i="1"/>
  <c r="CK55" i="1"/>
  <c r="CL55" i="1"/>
  <c r="CJ235" i="1"/>
  <c r="CK235" i="1"/>
  <c r="CL235" i="1"/>
  <c r="CJ93" i="1"/>
  <c r="CK93" i="1"/>
  <c r="CL93" i="1"/>
  <c r="CJ192" i="1"/>
  <c r="CK192" i="1"/>
  <c r="CL192" i="1"/>
  <c r="CJ99" i="1"/>
  <c r="CK99" i="1"/>
  <c r="CL99" i="1"/>
  <c r="CJ256" i="1"/>
  <c r="CK256" i="1"/>
  <c r="CL256" i="1"/>
  <c r="CJ101" i="1"/>
  <c r="CK101" i="1"/>
  <c r="CL101" i="1"/>
  <c r="CJ119" i="1"/>
  <c r="CK119" i="1"/>
  <c r="CL119" i="1"/>
  <c r="CJ320" i="1"/>
  <c r="CK320" i="1"/>
  <c r="CL320" i="1"/>
  <c r="CJ117" i="1"/>
  <c r="CK117" i="1"/>
  <c r="CL117" i="1"/>
  <c r="CJ158" i="1"/>
  <c r="CK158" i="1"/>
  <c r="CL158" i="1"/>
  <c r="CJ191" i="1"/>
  <c r="CK191" i="1"/>
  <c r="CL191" i="1"/>
  <c r="CJ108" i="1"/>
  <c r="CK108" i="1"/>
  <c r="CL108" i="1"/>
  <c r="CJ167" i="1"/>
  <c r="CK167" i="1"/>
  <c r="CL167" i="1"/>
  <c r="CJ218" i="1"/>
  <c r="CK218" i="1"/>
  <c r="CL218" i="1"/>
  <c r="CJ78" i="1"/>
  <c r="CK78" i="1"/>
  <c r="CL78" i="1"/>
  <c r="CJ136" i="1"/>
  <c r="CK136" i="1"/>
  <c r="CL136" i="1"/>
  <c r="CJ7" i="1"/>
  <c r="CK7" i="1"/>
  <c r="CL7" i="1"/>
  <c r="CJ21" i="1"/>
  <c r="CK21" i="1"/>
  <c r="CL21" i="1"/>
  <c r="CJ65" i="1"/>
  <c r="CK65" i="1"/>
  <c r="CL65" i="1"/>
  <c r="CJ260" i="1"/>
  <c r="CK260" i="1"/>
  <c r="CL260" i="1"/>
  <c r="CJ241" i="1"/>
  <c r="CK241" i="1"/>
  <c r="CL241" i="1"/>
  <c r="CJ199" i="1"/>
  <c r="CK199" i="1"/>
  <c r="CL199" i="1"/>
  <c r="CJ148" i="1"/>
  <c r="CK148" i="1"/>
  <c r="CL148" i="1"/>
  <c r="CJ107" i="1"/>
  <c r="CK107" i="1"/>
  <c r="CL107" i="1"/>
  <c r="CJ189" i="1"/>
  <c r="CK189" i="1"/>
  <c r="CL189" i="1"/>
  <c r="CJ217" i="1"/>
  <c r="CK217" i="1"/>
  <c r="CL217" i="1"/>
  <c r="CJ321" i="1"/>
  <c r="CK321" i="1"/>
  <c r="CL321" i="1"/>
  <c r="CJ207" i="1"/>
  <c r="CK207" i="1"/>
  <c r="CL207" i="1"/>
  <c r="CJ245" i="1"/>
  <c r="CK245" i="1"/>
  <c r="CL245" i="1"/>
  <c r="CJ104" i="1"/>
  <c r="CK104" i="1"/>
  <c r="CL104" i="1"/>
  <c r="CJ96" i="1"/>
  <c r="CK96" i="1"/>
  <c r="CL96" i="1"/>
  <c r="CJ86" i="1"/>
  <c r="CK86" i="1"/>
  <c r="CL86" i="1"/>
  <c r="CJ229" i="1"/>
  <c r="CK229" i="1"/>
  <c r="CL229" i="1"/>
  <c r="CJ47" i="1"/>
  <c r="CK47" i="1"/>
  <c r="CL47" i="1"/>
  <c r="CJ228" i="1"/>
  <c r="CK228" i="1"/>
  <c r="CL228" i="1"/>
  <c r="CJ202" i="1"/>
  <c r="CK202" i="1"/>
  <c r="CL202" i="1"/>
  <c r="CJ322" i="1"/>
  <c r="CK322" i="1"/>
  <c r="CL322" i="1"/>
  <c r="CJ204" i="1"/>
  <c r="CK204" i="1"/>
  <c r="CL204" i="1"/>
  <c r="CJ103" i="1"/>
  <c r="CK103" i="1"/>
  <c r="CL103" i="1"/>
  <c r="CJ13" i="1"/>
  <c r="CK13" i="1"/>
  <c r="CL13" i="1"/>
  <c r="CJ170" i="1"/>
  <c r="CK170" i="1"/>
  <c r="CL170" i="1"/>
  <c r="CJ173" i="1"/>
  <c r="CK173" i="1"/>
  <c r="CL173" i="1"/>
  <c r="CJ171" i="1"/>
  <c r="CK171" i="1"/>
  <c r="CL171" i="1"/>
  <c r="CJ4" i="1"/>
  <c r="CK4" i="1"/>
  <c r="CL4" i="1"/>
  <c r="CJ323" i="1"/>
  <c r="CK323" i="1"/>
  <c r="CL323" i="1"/>
  <c r="CJ291" i="1"/>
  <c r="CK291" i="1"/>
  <c r="CL291" i="1"/>
  <c r="CJ53" i="1"/>
  <c r="CK53" i="1"/>
  <c r="CL53" i="1"/>
  <c r="CJ279" i="1"/>
  <c r="CK279" i="1"/>
  <c r="CL279" i="1"/>
  <c r="CJ124" i="1"/>
  <c r="CK124" i="1"/>
  <c r="CL124" i="1"/>
  <c r="CJ324" i="1"/>
  <c r="CK324" i="1"/>
  <c r="CL324" i="1"/>
  <c r="CJ187" i="1"/>
  <c r="CK187" i="1"/>
  <c r="CL187" i="1"/>
  <c r="CJ113" i="1"/>
  <c r="CK113" i="1"/>
  <c r="CL113" i="1"/>
  <c r="CJ26" i="1"/>
  <c r="CK26" i="1"/>
  <c r="CL26" i="1"/>
  <c r="CJ286" i="1"/>
  <c r="CK286" i="1"/>
  <c r="CL286" i="1"/>
  <c r="CJ239" i="1"/>
  <c r="CK239" i="1"/>
  <c r="CL239" i="1"/>
  <c r="CJ109" i="1"/>
  <c r="CK109" i="1"/>
  <c r="CL109" i="1"/>
  <c r="CJ73" i="1"/>
  <c r="CK73" i="1"/>
  <c r="CL73" i="1"/>
  <c r="CJ193" i="1"/>
  <c r="CK193" i="1"/>
  <c r="CL193" i="1"/>
  <c r="CJ271" i="1"/>
  <c r="CK271" i="1"/>
  <c r="CL271" i="1"/>
  <c r="CJ262" i="1"/>
  <c r="CK262" i="1"/>
  <c r="CL262" i="1"/>
  <c r="CJ118" i="1"/>
  <c r="CK118" i="1"/>
  <c r="CL118" i="1"/>
  <c r="CJ238" i="1"/>
  <c r="CK238" i="1"/>
  <c r="CL238" i="1"/>
  <c r="CJ79" i="1"/>
  <c r="CK79" i="1"/>
  <c r="CL79" i="1"/>
  <c r="CJ160" i="1"/>
  <c r="CK160" i="1"/>
  <c r="CL160" i="1"/>
  <c r="CJ190" i="1"/>
  <c r="CK190" i="1"/>
  <c r="CL190" i="1"/>
  <c r="CJ225" i="1"/>
  <c r="CK225" i="1"/>
  <c r="CL225" i="1"/>
  <c r="CJ277" i="1"/>
  <c r="CK277" i="1"/>
  <c r="CL277" i="1"/>
  <c r="CJ52" i="1"/>
  <c r="CK52" i="1"/>
  <c r="CL52" i="1"/>
  <c r="CJ231" i="1"/>
  <c r="CK231" i="1"/>
  <c r="CL231" i="1"/>
  <c r="CJ205" i="1"/>
  <c r="CK205" i="1"/>
  <c r="CL205" i="1"/>
  <c r="CJ213" i="1"/>
  <c r="CK213" i="1"/>
  <c r="CL213" i="1"/>
  <c r="CJ237" i="1"/>
  <c r="CK237" i="1"/>
  <c r="CL237" i="1"/>
  <c r="CJ15" i="1"/>
  <c r="CK15" i="1"/>
  <c r="CL15" i="1"/>
  <c r="CJ196" i="1"/>
  <c r="CK196" i="1"/>
  <c r="CL196" i="1"/>
  <c r="CJ183" i="1"/>
  <c r="CK183" i="1"/>
  <c r="CL183" i="1"/>
  <c r="CJ261" i="1"/>
  <c r="CK261" i="1"/>
  <c r="CL261" i="1"/>
  <c r="CJ182" i="1"/>
  <c r="CK182" i="1"/>
  <c r="CL182" i="1"/>
  <c r="CJ66" i="1"/>
  <c r="CK66" i="1"/>
  <c r="CL66" i="1"/>
  <c r="CJ197" i="1"/>
  <c r="CK197" i="1"/>
  <c r="CL197" i="1"/>
  <c r="CJ110" i="1"/>
  <c r="CK110" i="1"/>
  <c r="CL110" i="1"/>
  <c r="CJ195" i="1"/>
  <c r="CK195" i="1"/>
  <c r="CL195" i="1"/>
  <c r="CJ14" i="1"/>
  <c r="CK14" i="1"/>
  <c r="CL14" i="1"/>
  <c r="CJ236" i="1"/>
  <c r="CK236" i="1"/>
  <c r="CL236" i="1"/>
  <c r="CJ102" i="1"/>
  <c r="CK102" i="1"/>
  <c r="CL102" i="1"/>
  <c r="CJ179" i="1"/>
  <c r="CK179" i="1"/>
  <c r="CL179" i="1"/>
  <c r="CJ143" i="1"/>
  <c r="CK143" i="1"/>
  <c r="CL143" i="1"/>
  <c r="CJ216" i="1"/>
  <c r="CK216" i="1"/>
  <c r="CL216" i="1"/>
  <c r="CJ131" i="1"/>
  <c r="CK131" i="1"/>
  <c r="CL131" i="1"/>
  <c r="CJ253" i="1"/>
  <c r="CK253" i="1"/>
  <c r="CL253" i="1"/>
  <c r="CJ165" i="1"/>
  <c r="CK165" i="1"/>
  <c r="CL165" i="1"/>
  <c r="CJ325" i="1"/>
  <c r="CK325" i="1"/>
  <c r="CL325" i="1"/>
  <c r="CJ58" i="1"/>
  <c r="CK58" i="1"/>
  <c r="CL58" i="1"/>
  <c r="CJ214" i="1"/>
  <c r="CK214" i="1"/>
  <c r="CL214" i="1"/>
  <c r="CJ264" i="1"/>
  <c r="CK264" i="1"/>
  <c r="CL264" i="1"/>
  <c r="CJ95" i="1"/>
  <c r="CK95" i="1"/>
  <c r="CL95" i="1"/>
  <c r="CJ194" i="1"/>
  <c r="CK194" i="1"/>
  <c r="CL194" i="1"/>
  <c r="CJ142" i="1"/>
  <c r="CK142" i="1"/>
  <c r="CL142" i="1"/>
  <c r="CJ127" i="1"/>
  <c r="CK127" i="1"/>
  <c r="CL127" i="1"/>
  <c r="CJ255" i="1"/>
  <c r="CK255" i="1"/>
  <c r="CL255" i="1"/>
  <c r="CJ177" i="1"/>
  <c r="CK177" i="1"/>
  <c r="CL177" i="1"/>
  <c r="CJ32" i="1"/>
  <c r="CK32" i="1"/>
  <c r="CL32" i="1"/>
  <c r="CJ178" i="1"/>
  <c r="CK178" i="1"/>
  <c r="CL178" i="1"/>
  <c r="CJ294" i="1"/>
  <c r="CK294" i="1"/>
  <c r="CL294" i="1"/>
  <c r="CJ25" i="1"/>
  <c r="CK25" i="1"/>
  <c r="CL25" i="1"/>
  <c r="CJ132" i="1"/>
  <c r="CK132" i="1"/>
  <c r="CL132" i="1"/>
  <c r="CJ156" i="1"/>
  <c r="CK156" i="1"/>
  <c r="CL156" i="1"/>
  <c r="CJ168" i="1"/>
  <c r="CK168" i="1"/>
  <c r="CL168" i="1"/>
  <c r="CJ278" i="1"/>
  <c r="CK278" i="1"/>
  <c r="CL278" i="1"/>
  <c r="CJ326" i="1"/>
  <c r="CK326" i="1"/>
  <c r="CL326" i="1"/>
  <c r="CJ283" i="1"/>
  <c r="CK283" i="1"/>
  <c r="CL283" i="1"/>
  <c r="CJ258" i="1"/>
  <c r="CK258" i="1"/>
  <c r="CL258" i="1"/>
  <c r="CJ188" i="1"/>
  <c r="CK188" i="1"/>
  <c r="CL188" i="1"/>
  <c r="CJ49" i="1"/>
  <c r="CK49" i="1"/>
  <c r="CL49" i="1"/>
  <c r="CJ274" i="1"/>
  <c r="CK274" i="1"/>
  <c r="CL274" i="1"/>
  <c r="CJ265" i="1"/>
  <c r="CK265" i="1"/>
  <c r="CL265" i="1"/>
  <c r="CJ106" i="1"/>
  <c r="CK106" i="1"/>
  <c r="CL106" i="1"/>
  <c r="CJ174" i="1"/>
  <c r="CK174" i="1"/>
  <c r="CL174" i="1"/>
  <c r="CJ227" i="1"/>
  <c r="CK227" i="1"/>
  <c r="CL227" i="1"/>
  <c r="CJ181" i="1"/>
  <c r="CK181" i="1"/>
  <c r="CL181" i="1"/>
  <c r="CJ185" i="1"/>
  <c r="CK185" i="1"/>
  <c r="CL185" i="1"/>
  <c r="CJ208" i="1"/>
  <c r="CK208" i="1"/>
  <c r="CL208" i="1"/>
  <c r="CJ184" i="1"/>
  <c r="CK184" i="1"/>
  <c r="CL184" i="1"/>
  <c r="CJ292" i="1"/>
  <c r="CK292" i="1"/>
  <c r="CL292" i="1"/>
  <c r="CJ226" i="1"/>
  <c r="CK226" i="1"/>
  <c r="CL226" i="1"/>
  <c r="CJ276" i="1"/>
  <c r="CK276" i="1"/>
  <c r="CL276" i="1"/>
  <c r="CJ275" i="1"/>
  <c r="CK275" i="1"/>
  <c r="CL275" i="1"/>
  <c r="CJ215" i="1"/>
  <c r="CK215" i="1"/>
  <c r="CL215" i="1"/>
  <c r="CJ282" i="1"/>
  <c r="CK282" i="1"/>
  <c r="CL282" i="1"/>
  <c r="CJ186" i="1"/>
  <c r="CK186" i="1"/>
  <c r="CL186" i="1"/>
  <c r="CJ166" i="1"/>
  <c r="CK166" i="1"/>
  <c r="CL166" i="1"/>
  <c r="CJ234" i="1"/>
  <c r="CK234" i="1"/>
  <c r="CL234" i="1"/>
  <c r="CJ6" i="1"/>
  <c r="CK6" i="1"/>
  <c r="CL6" i="1"/>
  <c r="CJ206" i="1"/>
  <c r="CK206" i="1"/>
  <c r="CL206" i="1"/>
  <c r="CJ151" i="1"/>
  <c r="CK151" i="1"/>
  <c r="CL151" i="1"/>
  <c r="CJ281" i="1"/>
  <c r="CK281" i="1"/>
  <c r="CL281" i="1"/>
  <c r="CJ230" i="1"/>
  <c r="CK230" i="1"/>
  <c r="CL230" i="1"/>
  <c r="CJ209" i="1"/>
  <c r="CK209" i="1"/>
  <c r="CL209" i="1"/>
  <c r="CJ176" i="1"/>
  <c r="CK176" i="1"/>
  <c r="CL176" i="1"/>
  <c r="CJ299" i="1"/>
  <c r="CK299" i="1"/>
  <c r="CL299" i="1"/>
  <c r="CJ91" i="1"/>
  <c r="CK91" i="1"/>
  <c r="CL91" i="1"/>
  <c r="CJ85" i="1"/>
  <c r="CK85" i="1"/>
  <c r="CL85" i="1"/>
  <c r="CJ302" i="1"/>
  <c r="CK302" i="1"/>
  <c r="CL302" i="1"/>
  <c r="CJ69" i="1"/>
  <c r="CK69" i="1"/>
  <c r="CL69" i="1"/>
  <c r="CJ327" i="1"/>
  <c r="CK327" i="1"/>
  <c r="CL327" i="1"/>
  <c r="CJ328" i="1"/>
  <c r="CK328" i="1"/>
  <c r="CL328" i="1"/>
  <c r="CJ314" i="1"/>
  <c r="CK314" i="1"/>
  <c r="CL314" i="1"/>
  <c r="CJ318" i="1"/>
  <c r="CK318" i="1"/>
  <c r="CL318" i="1"/>
  <c r="CJ329" i="1"/>
  <c r="CK329" i="1"/>
  <c r="CL329" i="1"/>
  <c r="CJ172" i="1"/>
  <c r="CK172" i="1"/>
  <c r="CL172" i="1"/>
  <c r="CJ330" i="1"/>
  <c r="CK330" i="1"/>
  <c r="CL330" i="1"/>
  <c r="CJ298" i="1"/>
  <c r="CK298" i="1"/>
  <c r="CL298" i="1"/>
  <c r="CJ20" i="1"/>
  <c r="CK20" i="1"/>
  <c r="CL20" i="1"/>
  <c r="CJ295" i="1"/>
  <c r="CK295" i="1"/>
  <c r="CL295" i="1"/>
  <c r="CJ254" i="1"/>
  <c r="CK254" i="1"/>
  <c r="CL254" i="1"/>
  <c r="CJ247" i="1"/>
  <c r="CK247" i="1"/>
  <c r="CL247" i="1"/>
  <c r="CJ296" i="1"/>
  <c r="CK296" i="1"/>
  <c r="CL296" i="1"/>
  <c r="CJ266" i="1"/>
  <c r="CK266" i="1"/>
  <c r="CL266" i="1"/>
  <c r="CJ149" i="1"/>
  <c r="CK149" i="1"/>
  <c r="CL149" i="1"/>
  <c r="CJ257" i="1"/>
  <c r="CK257" i="1"/>
  <c r="CL257" i="1"/>
  <c r="CJ252" i="1"/>
  <c r="CK252" i="1"/>
  <c r="CL252" i="1"/>
  <c r="CJ244" i="1"/>
  <c r="CK244" i="1"/>
  <c r="CL244" i="1"/>
  <c r="CJ198" i="1"/>
  <c r="CK198" i="1"/>
  <c r="CL198" i="1"/>
  <c r="CJ141" i="1"/>
  <c r="CK141" i="1"/>
  <c r="CL141" i="1"/>
  <c r="CJ90" i="1"/>
  <c r="CK90" i="1"/>
  <c r="CL90" i="1"/>
  <c r="CJ123" i="1"/>
  <c r="CK123" i="1"/>
  <c r="CL123" i="1"/>
  <c r="CJ211" i="1"/>
  <c r="CK211" i="1"/>
  <c r="CL211" i="1"/>
  <c r="CJ97" i="1"/>
  <c r="CK97" i="1"/>
  <c r="CL97" i="1"/>
  <c r="CJ248" i="1"/>
  <c r="CK248" i="1"/>
  <c r="CL248" i="1"/>
  <c r="CJ268" i="1"/>
  <c r="CK268" i="1"/>
  <c r="CL268" i="1"/>
  <c r="CJ300" i="1"/>
  <c r="CK300" i="1"/>
  <c r="CL300" i="1"/>
  <c r="CJ301" i="1"/>
  <c r="CK301" i="1"/>
  <c r="CL301" i="1"/>
  <c r="CJ12" i="1"/>
  <c r="CK12" i="1"/>
  <c r="CL12" i="1"/>
  <c r="CJ242" i="1"/>
  <c r="CK242" i="1"/>
  <c r="CL242" i="1"/>
  <c r="CJ270" i="1"/>
  <c r="CK270" i="1"/>
  <c r="CL270" i="1"/>
  <c r="CJ259" i="1"/>
  <c r="CK259" i="1"/>
  <c r="CL259" i="1"/>
  <c r="CJ175" i="1"/>
  <c r="CK175" i="1"/>
  <c r="CL175" i="1"/>
  <c r="CJ303" i="1"/>
  <c r="CK303" i="1"/>
  <c r="CL303" i="1"/>
  <c r="CJ304" i="1"/>
  <c r="CK304" i="1"/>
  <c r="CL304" i="1"/>
  <c r="CJ129" i="1"/>
  <c r="CK129" i="1"/>
  <c r="CL129" i="1"/>
  <c r="CJ273" i="1"/>
  <c r="CK273" i="1"/>
  <c r="CL273" i="1"/>
  <c r="CJ285" i="1"/>
  <c r="CK285" i="1"/>
  <c r="CL285" i="1"/>
  <c r="CJ203" i="1"/>
  <c r="CK203" i="1"/>
  <c r="CL203" i="1"/>
  <c r="CJ212" i="1"/>
  <c r="CK212" i="1"/>
  <c r="CL212" i="1"/>
  <c r="CJ67" i="1"/>
  <c r="CK67" i="1"/>
  <c r="CL67" i="1"/>
  <c r="CJ125" i="1"/>
  <c r="CK125" i="1"/>
  <c r="CL125" i="1"/>
  <c r="CJ305" i="1"/>
  <c r="CK305" i="1"/>
  <c r="CL305" i="1"/>
  <c r="CJ243" i="1"/>
  <c r="CK243" i="1"/>
  <c r="CL243" i="1"/>
  <c r="CJ293" i="1"/>
  <c r="CK293" i="1"/>
  <c r="CL293" i="1"/>
  <c r="CJ155" i="1"/>
  <c r="CK155" i="1"/>
  <c r="CL155" i="1"/>
  <c r="CJ306" i="1"/>
  <c r="CK306" i="1"/>
  <c r="CL306" i="1"/>
  <c r="CJ100" i="1"/>
  <c r="CK100" i="1"/>
  <c r="CL100" i="1"/>
  <c r="CJ307" i="1"/>
  <c r="CK307" i="1"/>
  <c r="CL307" i="1"/>
  <c r="CJ308" i="1"/>
  <c r="CK308" i="1"/>
  <c r="CL308" i="1"/>
  <c r="CJ288" i="1"/>
  <c r="CK288" i="1"/>
  <c r="CL288" i="1"/>
  <c r="CJ114" i="1"/>
  <c r="CK114" i="1"/>
  <c r="CL114" i="1"/>
  <c r="CJ290" i="1"/>
  <c r="CK290" i="1"/>
  <c r="CL290" i="1"/>
  <c r="CJ105" i="1"/>
  <c r="CK105" i="1"/>
  <c r="CL105" i="1"/>
  <c r="CJ70" i="1"/>
  <c r="CK70" i="1"/>
  <c r="CL70" i="1"/>
  <c r="CJ309" i="1"/>
  <c r="CK309" i="1"/>
  <c r="CL309" i="1"/>
  <c r="CJ162" i="1"/>
  <c r="CK162" i="1"/>
  <c r="CL162" i="1"/>
  <c r="CJ233" i="1"/>
  <c r="CK233" i="1"/>
  <c r="CL233" i="1"/>
  <c r="CJ310" i="1"/>
  <c r="CK310" i="1"/>
  <c r="CL310" i="1"/>
  <c r="CJ311" i="1"/>
  <c r="CK311" i="1"/>
  <c r="CL311" i="1"/>
  <c r="CJ224" i="1"/>
  <c r="CK224" i="1"/>
  <c r="CL224" i="1"/>
  <c r="CJ134" i="1"/>
  <c r="CK134" i="1"/>
  <c r="CL134" i="1"/>
  <c r="CJ116" i="1"/>
  <c r="CK116" i="1"/>
  <c r="CL116" i="1"/>
  <c r="CJ146" i="1"/>
  <c r="CK146" i="1"/>
  <c r="CL146" i="1"/>
  <c r="CJ153" i="1"/>
  <c r="CK153" i="1"/>
  <c r="CL153" i="1"/>
  <c r="CJ2" i="1"/>
  <c r="CK2" i="1"/>
  <c r="CL2" i="1"/>
  <c r="CJ312" i="1"/>
  <c r="CK312" i="1"/>
  <c r="CL312" i="1"/>
  <c r="CJ313" i="1"/>
  <c r="CK313" i="1"/>
  <c r="CL313" i="1"/>
  <c r="CJ122" i="1"/>
  <c r="CK122" i="1"/>
  <c r="CL122" i="1"/>
  <c r="CJ297" i="1"/>
  <c r="CK297" i="1"/>
  <c r="CL297" i="1"/>
  <c r="CJ223" i="1"/>
  <c r="CK223" i="1"/>
  <c r="CL223" i="1"/>
  <c r="CJ315" i="1"/>
  <c r="CK315" i="1"/>
  <c r="CL315" i="1"/>
  <c r="CJ272" i="1"/>
  <c r="CK272" i="1"/>
  <c r="CL272" i="1"/>
  <c r="CJ201" i="1"/>
  <c r="CK201" i="1"/>
  <c r="CL201" i="1"/>
  <c r="CJ316" i="1"/>
  <c r="CK316" i="1"/>
  <c r="CL316" i="1"/>
  <c r="CJ284" i="1"/>
  <c r="CK284" i="1"/>
  <c r="CL284" i="1"/>
  <c r="CJ240" i="1"/>
  <c r="CK240" i="1"/>
  <c r="CL240" i="1"/>
  <c r="CJ145" i="1"/>
  <c r="CK145" i="1"/>
  <c r="CL145" i="1"/>
  <c r="CJ3" i="1"/>
  <c r="CK3" i="1"/>
  <c r="CL3" i="1"/>
  <c r="CJ60" i="1"/>
  <c r="CK60" i="1"/>
  <c r="CL60" i="1"/>
  <c r="CJ317" i="1"/>
  <c r="CK317" i="1"/>
  <c r="CL317" i="1"/>
  <c r="CJ280" i="1"/>
  <c r="CK280" i="1"/>
  <c r="CL280" i="1"/>
  <c r="CJ287" i="1"/>
  <c r="CK287" i="1"/>
  <c r="CL287" i="1"/>
  <c r="CJ289" i="1"/>
  <c r="CK289" i="1"/>
  <c r="CL289" i="1"/>
  <c r="CJ139" i="1"/>
  <c r="CK139" i="1"/>
  <c r="CL139" i="1"/>
  <c r="CJ331" i="1"/>
  <c r="CK331" i="1"/>
  <c r="CL331" i="1"/>
  <c r="CJ332" i="1"/>
  <c r="CK332" i="1"/>
  <c r="CL332" i="1"/>
  <c r="CJ333" i="1"/>
  <c r="CK333" i="1"/>
  <c r="CL333" i="1"/>
  <c r="CJ334" i="1"/>
  <c r="CK334" i="1"/>
  <c r="CL334" i="1"/>
  <c r="CJ335" i="1"/>
  <c r="CK335" i="1"/>
  <c r="CL335" i="1"/>
  <c r="CJ336" i="1"/>
  <c r="CK336" i="1"/>
  <c r="CL336" i="1"/>
  <c r="CJ337" i="1"/>
  <c r="CK337" i="1"/>
  <c r="CL337" i="1"/>
  <c r="CJ338" i="1"/>
  <c r="CK338" i="1"/>
  <c r="CL338" i="1"/>
  <c r="CJ339" i="1"/>
  <c r="CK339" i="1"/>
  <c r="CL339" i="1"/>
  <c r="CJ340" i="1"/>
  <c r="CK340" i="1"/>
  <c r="CL340" i="1"/>
  <c r="CJ341" i="1"/>
  <c r="CK341" i="1"/>
  <c r="CL341" i="1"/>
  <c r="CJ342" i="1"/>
  <c r="CK342" i="1"/>
  <c r="CL342" i="1"/>
  <c r="CJ343" i="1"/>
  <c r="CK343" i="1"/>
  <c r="CL343" i="1"/>
  <c r="CJ344" i="1"/>
  <c r="CK344" i="1"/>
  <c r="CL344" i="1"/>
  <c r="CJ345" i="1"/>
  <c r="CK345" i="1"/>
  <c r="CL345" i="1"/>
  <c r="CJ346" i="1"/>
  <c r="CK346" i="1"/>
  <c r="CL346" i="1"/>
  <c r="CJ347" i="1"/>
  <c r="CK347" i="1"/>
  <c r="CL347" i="1"/>
  <c r="CJ348" i="1"/>
  <c r="CK348" i="1"/>
  <c r="CL348" i="1"/>
  <c r="CJ349" i="1"/>
  <c r="CK349" i="1"/>
  <c r="CL349" i="1"/>
  <c r="CJ350" i="1"/>
  <c r="CK350" i="1"/>
  <c r="CL350" i="1"/>
  <c r="CJ351" i="1"/>
  <c r="CK351" i="1"/>
  <c r="CL351" i="1"/>
  <c r="CJ352" i="1"/>
  <c r="CK352" i="1"/>
  <c r="CL352" i="1"/>
  <c r="CJ353" i="1"/>
  <c r="CK353" i="1"/>
  <c r="CL353" i="1"/>
  <c r="CJ354" i="1"/>
  <c r="CK354" i="1"/>
  <c r="CL354" i="1"/>
  <c r="CJ355" i="1"/>
  <c r="CK355" i="1"/>
  <c r="CL355" i="1"/>
  <c r="CJ356" i="1"/>
  <c r="CK356" i="1"/>
  <c r="CL356" i="1"/>
  <c r="CJ357" i="1"/>
  <c r="CK357" i="1"/>
  <c r="CL357" i="1"/>
  <c r="CJ358" i="1"/>
  <c r="CK358" i="1"/>
  <c r="CL358" i="1"/>
  <c r="CJ359" i="1"/>
  <c r="CK359" i="1"/>
  <c r="CL359" i="1"/>
  <c r="CJ360" i="1"/>
  <c r="CK360" i="1"/>
  <c r="CL360" i="1"/>
  <c r="CJ361" i="1"/>
  <c r="CK361" i="1"/>
  <c r="CL361" i="1"/>
  <c r="CJ362" i="1"/>
  <c r="CK362" i="1"/>
  <c r="CL362" i="1"/>
  <c r="CJ363" i="1"/>
  <c r="CK363" i="1"/>
  <c r="CL363" i="1"/>
  <c r="CJ364" i="1"/>
  <c r="CK364" i="1"/>
  <c r="CL364" i="1"/>
  <c r="CJ365" i="1"/>
  <c r="CK365" i="1"/>
  <c r="CL365" i="1"/>
  <c r="CJ366" i="1"/>
  <c r="CK366" i="1"/>
  <c r="CL366" i="1"/>
  <c r="CJ367" i="1"/>
  <c r="CK367" i="1"/>
  <c r="CL367" i="1"/>
  <c r="CJ368" i="1"/>
  <c r="CK368" i="1"/>
  <c r="CL368" i="1"/>
  <c r="CJ369" i="1"/>
  <c r="CK369" i="1"/>
  <c r="CL369" i="1"/>
  <c r="CJ370" i="1"/>
  <c r="CK370" i="1"/>
  <c r="CL370" i="1"/>
  <c r="CJ371" i="1"/>
  <c r="CK371" i="1"/>
  <c r="CL371" i="1"/>
  <c r="CJ372" i="1"/>
  <c r="CK372" i="1"/>
  <c r="CL372" i="1"/>
  <c r="CJ373" i="1"/>
  <c r="CK373" i="1"/>
  <c r="CL373" i="1"/>
  <c r="CJ374" i="1"/>
  <c r="CK374" i="1"/>
  <c r="CL374" i="1"/>
  <c r="CJ375" i="1"/>
  <c r="CK375" i="1"/>
  <c r="CL375" i="1"/>
  <c r="CJ376" i="1"/>
  <c r="CK376" i="1"/>
  <c r="CL376" i="1"/>
  <c r="CJ377" i="1"/>
  <c r="CK377" i="1"/>
  <c r="CL377" i="1"/>
  <c r="CJ378" i="1"/>
  <c r="CK378" i="1"/>
  <c r="CL378" i="1"/>
  <c r="CJ379" i="1"/>
  <c r="CK379" i="1"/>
  <c r="CL379" i="1"/>
  <c r="CJ380" i="1"/>
  <c r="CK380" i="1"/>
  <c r="CL380" i="1"/>
  <c r="CJ381" i="1"/>
  <c r="CK381" i="1"/>
  <c r="CL381" i="1"/>
  <c r="CJ382" i="1"/>
  <c r="CK382" i="1"/>
  <c r="CL382" i="1"/>
  <c r="CJ383" i="1"/>
  <c r="CK383" i="1"/>
  <c r="CL383" i="1"/>
  <c r="CJ384" i="1"/>
  <c r="CK384" i="1"/>
  <c r="CL384" i="1"/>
  <c r="CJ385" i="1"/>
  <c r="CK385" i="1"/>
  <c r="CL385" i="1"/>
  <c r="CJ386" i="1"/>
  <c r="CK386" i="1"/>
  <c r="CL386" i="1"/>
  <c r="CJ387" i="1"/>
  <c r="CK387" i="1"/>
  <c r="CL387" i="1"/>
  <c r="CJ388" i="1"/>
  <c r="CK388" i="1"/>
  <c r="CL388" i="1"/>
  <c r="CJ389" i="1"/>
  <c r="CK389" i="1"/>
  <c r="CL389" i="1"/>
  <c r="CJ390" i="1"/>
  <c r="CK390" i="1"/>
  <c r="CL390" i="1"/>
  <c r="CJ391" i="1"/>
  <c r="CK391" i="1"/>
  <c r="CL391" i="1"/>
  <c r="CJ392" i="1"/>
  <c r="CK392" i="1"/>
  <c r="CL392" i="1"/>
  <c r="CJ393" i="1"/>
  <c r="CK393" i="1"/>
  <c r="CL393" i="1"/>
  <c r="CJ394" i="1"/>
  <c r="CK394" i="1"/>
  <c r="CL394" i="1"/>
  <c r="CJ395" i="1"/>
  <c r="CK395" i="1"/>
  <c r="CL395" i="1"/>
  <c r="CJ396" i="1"/>
  <c r="CK396" i="1"/>
  <c r="CL396" i="1"/>
  <c r="CJ397" i="1"/>
  <c r="CK397" i="1"/>
  <c r="CL397" i="1"/>
  <c r="CJ398" i="1"/>
  <c r="CK398" i="1"/>
  <c r="CL398" i="1"/>
  <c r="CJ399" i="1"/>
  <c r="CK399" i="1"/>
  <c r="CL399" i="1"/>
  <c r="CJ400" i="1"/>
  <c r="CK400" i="1"/>
  <c r="CL400" i="1"/>
  <c r="CJ401" i="1"/>
  <c r="CK401" i="1"/>
  <c r="CL401" i="1"/>
  <c r="CJ402" i="1"/>
  <c r="CK402" i="1"/>
  <c r="CL402" i="1"/>
  <c r="CJ403" i="1"/>
  <c r="CK403" i="1"/>
  <c r="CL403" i="1"/>
  <c r="CJ404" i="1"/>
  <c r="CK404" i="1"/>
  <c r="CL404" i="1"/>
  <c r="CJ405" i="1"/>
  <c r="CK405" i="1"/>
  <c r="CL405" i="1"/>
  <c r="CJ406" i="1"/>
  <c r="CK406" i="1"/>
  <c r="CL406" i="1"/>
  <c r="CJ407" i="1"/>
  <c r="CK407" i="1"/>
  <c r="CL407" i="1"/>
  <c r="CJ408" i="1"/>
  <c r="CK408" i="1"/>
  <c r="CL408" i="1"/>
  <c r="CJ409" i="1"/>
  <c r="CK409" i="1"/>
  <c r="CL409" i="1"/>
  <c r="CJ410" i="1"/>
  <c r="CK410" i="1"/>
  <c r="CL410" i="1"/>
  <c r="CJ411" i="1"/>
  <c r="CK411" i="1"/>
  <c r="CL411" i="1"/>
  <c r="CJ412" i="1"/>
  <c r="CK412" i="1"/>
  <c r="CL412" i="1"/>
  <c r="CJ413" i="1"/>
  <c r="CK413" i="1"/>
  <c r="CL413" i="1"/>
  <c r="CJ414" i="1"/>
  <c r="CK414" i="1"/>
  <c r="CL414" i="1"/>
  <c r="CJ415" i="1"/>
  <c r="CK415" i="1"/>
  <c r="CL415" i="1"/>
  <c r="CJ416" i="1"/>
  <c r="CK416" i="1"/>
  <c r="CL416" i="1"/>
  <c r="CJ417" i="1"/>
  <c r="CK417" i="1"/>
  <c r="CL417" i="1"/>
  <c r="CJ418" i="1"/>
  <c r="CK418" i="1"/>
  <c r="CL418" i="1"/>
  <c r="CJ419" i="1"/>
  <c r="CK419" i="1"/>
  <c r="CL419" i="1"/>
  <c r="CJ420" i="1"/>
  <c r="CK420" i="1"/>
  <c r="CL420" i="1"/>
  <c r="CJ421" i="1"/>
  <c r="CK421" i="1"/>
  <c r="CL421" i="1"/>
  <c r="CJ422" i="1"/>
  <c r="CK422" i="1"/>
  <c r="CL422" i="1"/>
  <c r="CJ423" i="1"/>
  <c r="CK423" i="1"/>
  <c r="CL423" i="1"/>
  <c r="CJ424" i="1"/>
  <c r="CK424" i="1"/>
  <c r="CL424" i="1"/>
  <c r="CJ425" i="1"/>
  <c r="CK425" i="1"/>
  <c r="CL425" i="1"/>
  <c r="CJ426" i="1"/>
  <c r="CK426" i="1"/>
  <c r="CL426" i="1"/>
  <c r="CJ427" i="1"/>
  <c r="CK427" i="1"/>
  <c r="CL427" i="1"/>
  <c r="CJ428" i="1"/>
  <c r="CK428" i="1"/>
  <c r="CL428" i="1"/>
  <c r="CJ429" i="1"/>
  <c r="CK429" i="1"/>
  <c r="CL429" i="1"/>
  <c r="CJ430" i="1"/>
  <c r="CK430" i="1"/>
  <c r="CL430" i="1"/>
  <c r="CJ431" i="1"/>
  <c r="CK431" i="1"/>
  <c r="CL431" i="1"/>
  <c r="CJ432" i="1"/>
  <c r="CK432" i="1"/>
  <c r="CL432" i="1"/>
  <c r="CJ433" i="1"/>
  <c r="CK433" i="1"/>
  <c r="CL433" i="1"/>
  <c r="CJ434" i="1"/>
  <c r="CK434" i="1"/>
  <c r="CL434" i="1"/>
  <c r="CJ435" i="1"/>
  <c r="CK435" i="1"/>
  <c r="CL435" i="1"/>
  <c r="CJ436" i="1"/>
  <c r="CK436" i="1"/>
  <c r="CL436" i="1"/>
  <c r="CJ437" i="1"/>
  <c r="CK437" i="1"/>
  <c r="CL437" i="1"/>
  <c r="CJ154" i="1"/>
  <c r="CK154" i="1"/>
  <c r="CL154" i="1"/>
  <c r="CJ251" i="1"/>
  <c r="CK251" i="1"/>
  <c r="CL251" i="1"/>
  <c r="CJ438" i="1"/>
  <c r="CK438" i="1"/>
  <c r="CL438" i="1"/>
  <c r="CJ439" i="1"/>
  <c r="CK439" i="1"/>
  <c r="CL439" i="1"/>
  <c r="CJ8" i="1"/>
  <c r="CK8" i="1"/>
  <c r="CL8" i="1"/>
  <c r="CJ440" i="1"/>
  <c r="CK440" i="1"/>
  <c r="CL440" i="1"/>
  <c r="CJ441" i="1"/>
  <c r="CK441" i="1"/>
  <c r="CL441" i="1"/>
  <c r="CJ163" i="1"/>
  <c r="CK163" i="1"/>
  <c r="CL163" i="1"/>
  <c r="CJ442" i="1"/>
  <c r="CK442" i="1"/>
  <c r="CL442" i="1"/>
  <c r="CJ443" i="1"/>
  <c r="CK443" i="1"/>
  <c r="CL443" i="1"/>
  <c r="CJ444" i="1"/>
  <c r="CK444" i="1"/>
  <c r="CL444" i="1"/>
  <c r="CJ130" i="1"/>
  <c r="CK130" i="1"/>
  <c r="CL130" i="1"/>
  <c r="CJ445" i="1"/>
  <c r="CK445" i="1"/>
  <c r="CL445" i="1"/>
  <c r="CJ446" i="1"/>
  <c r="CK446" i="1"/>
  <c r="CL446" i="1"/>
  <c r="CJ447" i="1"/>
  <c r="CK447" i="1"/>
  <c r="CL447" i="1"/>
  <c r="CJ448" i="1"/>
  <c r="CK448" i="1"/>
  <c r="CL448" i="1"/>
  <c r="CJ449" i="1"/>
  <c r="CK449" i="1"/>
  <c r="CL449" i="1"/>
  <c r="CJ450" i="1"/>
  <c r="CK450" i="1"/>
  <c r="CL450" i="1"/>
  <c r="CJ451" i="1"/>
  <c r="CK451" i="1"/>
  <c r="CL451" i="1"/>
  <c r="CJ452" i="1"/>
  <c r="CK452" i="1"/>
  <c r="CL452" i="1"/>
  <c r="CJ453" i="1"/>
  <c r="CK453" i="1"/>
  <c r="CL453" i="1"/>
  <c r="CJ454" i="1"/>
  <c r="CK454" i="1"/>
  <c r="CL454" i="1"/>
  <c r="CJ455" i="1"/>
  <c r="CK455" i="1"/>
  <c r="CL455" i="1"/>
  <c r="CJ456" i="1"/>
  <c r="CK456" i="1"/>
  <c r="CL456" i="1"/>
  <c r="CJ457" i="1"/>
  <c r="CK457" i="1"/>
  <c r="CL457" i="1"/>
  <c r="CJ458" i="1"/>
  <c r="CK458" i="1"/>
  <c r="CL458" i="1"/>
  <c r="CJ459" i="1"/>
  <c r="CK459" i="1"/>
  <c r="CL459" i="1"/>
  <c r="CJ460" i="1"/>
  <c r="CK460" i="1"/>
  <c r="CL460" i="1"/>
  <c r="CJ461" i="1"/>
  <c r="CK461" i="1"/>
  <c r="CL461" i="1"/>
  <c r="CJ462" i="1"/>
  <c r="CK462" i="1"/>
  <c r="CL462" i="1"/>
  <c r="CJ463" i="1"/>
  <c r="CK463" i="1"/>
  <c r="CL463" i="1"/>
  <c r="CJ464" i="1"/>
  <c r="CK464" i="1"/>
  <c r="CL464" i="1"/>
  <c r="CJ465" i="1"/>
  <c r="CK465" i="1"/>
  <c r="CL465" i="1"/>
  <c r="DC286" i="1" l="1"/>
  <c r="DC56" i="1"/>
  <c r="DC80" i="1"/>
  <c r="DC48" i="1"/>
  <c r="DC96" i="1"/>
  <c r="DC32" i="1"/>
  <c r="DC430" i="1"/>
  <c r="DC422" i="1"/>
  <c r="DC414" i="1"/>
  <c r="DC406" i="1"/>
  <c r="DC398" i="1"/>
  <c r="DC390" i="1"/>
  <c r="DC382" i="1"/>
  <c r="DC374" i="1"/>
  <c r="DC366" i="1"/>
  <c r="DC358" i="1"/>
  <c r="DC350" i="1"/>
  <c r="DC342" i="1"/>
  <c r="DC334" i="1"/>
  <c r="DC326" i="1"/>
  <c r="DC318" i="1"/>
  <c r="DC72" i="1"/>
  <c r="DC8" i="1"/>
  <c r="DC311" i="1"/>
  <c r="DC287" i="1"/>
  <c r="DC255" i="1"/>
  <c r="DC239" i="1"/>
  <c r="DC183" i="1"/>
  <c r="DC91" i="1"/>
  <c r="DC219" i="1"/>
  <c r="DC99" i="1"/>
  <c r="DC463" i="1"/>
  <c r="DC455" i="1"/>
  <c r="DC447" i="1"/>
  <c r="DC223" i="1"/>
  <c r="DC63" i="1"/>
  <c r="DC207" i="1"/>
  <c r="DC167" i="1"/>
  <c r="DC431" i="1"/>
  <c r="DC423" i="1"/>
  <c r="DC415" i="1"/>
  <c r="DC407" i="1"/>
  <c r="DC399" i="1"/>
  <c r="DC391" i="1"/>
  <c r="DC383" i="1"/>
  <c r="DC375" i="1"/>
  <c r="DC367" i="1"/>
  <c r="DC359" i="1"/>
  <c r="DC351" i="1"/>
  <c r="DC343" i="1"/>
  <c r="DC335" i="1"/>
  <c r="DC327" i="1"/>
  <c r="DC319" i="1"/>
  <c r="DC295" i="1"/>
  <c r="DC279" i="1"/>
  <c r="DC247" i="1"/>
  <c r="DC199" i="1"/>
  <c r="DC159" i="1"/>
  <c r="DC55" i="1"/>
  <c r="DC179" i="1"/>
  <c r="DC83" i="1"/>
  <c r="DC35" i="1"/>
  <c r="DC107" i="1"/>
  <c r="DC175" i="1"/>
  <c r="DC215" i="1"/>
  <c r="DC79" i="1"/>
  <c r="DC171" i="1"/>
  <c r="DC23" i="1"/>
  <c r="DC7" i="1"/>
  <c r="CQ120" i="1"/>
  <c r="CQ20" i="1"/>
  <c r="CQ67" i="1"/>
  <c r="CQ140" i="1"/>
  <c r="CQ260" i="1"/>
  <c r="CQ135" i="1"/>
  <c r="CQ106" i="1"/>
  <c r="CQ245" i="1"/>
  <c r="CQ93" i="1"/>
  <c r="CQ209" i="1"/>
  <c r="CQ283" i="1"/>
  <c r="CQ142" i="1"/>
  <c r="CQ213" i="1"/>
  <c r="CQ123" i="1"/>
  <c r="CQ228" i="1"/>
  <c r="CQ107" i="1"/>
  <c r="CQ318" i="1"/>
  <c r="CQ313" i="1"/>
  <c r="CQ307" i="1"/>
  <c r="CQ267" i="1"/>
  <c r="CQ117" i="1"/>
  <c r="CQ101" i="1"/>
  <c r="CQ256" i="1"/>
  <c r="CQ240" i="1"/>
  <c r="CQ49" i="1"/>
  <c r="CQ189" i="1"/>
  <c r="CQ158" i="1"/>
  <c r="CQ111" i="1"/>
  <c r="CQ95" i="1"/>
  <c r="DC464" i="1"/>
  <c r="DC456" i="1"/>
  <c r="DC448" i="1"/>
  <c r="DC432" i="1"/>
  <c r="DC424" i="1"/>
  <c r="DC416" i="1"/>
  <c r="DC408" i="1"/>
  <c r="DC400" i="1"/>
  <c r="DC392" i="1"/>
  <c r="DC384" i="1"/>
  <c r="DC376" i="1"/>
  <c r="DC368" i="1"/>
  <c r="DC360" i="1"/>
  <c r="DC352" i="1"/>
  <c r="DC344" i="1"/>
  <c r="DC336" i="1"/>
  <c r="DC328" i="1"/>
  <c r="DC320" i="1"/>
  <c r="DC296" i="1"/>
  <c r="DC280" i="1"/>
  <c r="DC232" i="1"/>
  <c r="DC312" i="1"/>
  <c r="DC272" i="1"/>
  <c r="DC224" i="1"/>
  <c r="DC288" i="1"/>
  <c r="CQ231" i="1"/>
  <c r="CQ205" i="1"/>
  <c r="CQ68" i="1"/>
  <c r="DC434" i="1"/>
  <c r="DC426" i="1"/>
  <c r="DC418" i="1"/>
  <c r="DC410" i="1"/>
  <c r="DC402" i="1"/>
  <c r="DC394" i="1"/>
  <c r="DC386" i="1"/>
  <c r="DC378" i="1"/>
  <c r="DC370" i="1"/>
  <c r="DC362" i="1"/>
  <c r="DC354" i="1"/>
  <c r="DC346" i="1"/>
  <c r="DC338" i="1"/>
  <c r="DC330" i="1"/>
  <c r="DC322" i="1"/>
  <c r="DC298" i="1"/>
  <c r="DC90" i="1"/>
  <c r="DC114" i="1"/>
  <c r="DC202" i="1"/>
  <c r="DC226" i="1"/>
  <c r="DC190" i="1"/>
  <c r="DC238" i="1"/>
  <c r="DC230" i="1"/>
  <c r="DC127" i="1"/>
  <c r="DC34" i="1"/>
  <c r="DC119" i="1"/>
  <c r="DC234" i="1"/>
  <c r="DC71" i="1"/>
  <c r="DC78" i="1"/>
  <c r="DC47" i="1"/>
  <c r="DC170" i="1"/>
  <c r="DC162" i="1"/>
  <c r="DC130" i="1"/>
  <c r="DC74" i="1"/>
  <c r="DC98" i="1"/>
  <c r="DC122" i="1"/>
  <c r="DC290" i="1"/>
  <c r="DC258" i="1"/>
  <c r="DC58" i="1"/>
  <c r="DC218" i="1"/>
  <c r="DC138" i="1"/>
  <c r="DC42" i="1"/>
  <c r="DC314" i="1"/>
  <c r="DC274" i="1"/>
  <c r="DC242" i="1"/>
  <c r="DC178" i="1"/>
  <c r="DC194" i="1"/>
  <c r="DC10" i="1"/>
  <c r="DC82" i="1"/>
  <c r="DC26" i="1"/>
  <c r="DC154" i="1"/>
  <c r="DC294" i="1"/>
  <c r="DC146" i="1"/>
  <c r="DC66" i="1"/>
  <c r="CQ406" i="1"/>
  <c r="DC306" i="1"/>
  <c r="DC282" i="1"/>
  <c r="DC18" i="1"/>
  <c r="DC186" i="1"/>
  <c r="DC50" i="1"/>
  <c r="DC458" i="1"/>
  <c r="DC450" i="1"/>
  <c r="DC442" i="1"/>
  <c r="DC278" i="1"/>
  <c r="DC95" i="1"/>
  <c r="DC106" i="1"/>
  <c r="DC210" i="1"/>
  <c r="CQ104" i="1"/>
  <c r="CQ66" i="1"/>
  <c r="CQ273" i="1"/>
  <c r="CQ253" i="1"/>
  <c r="CQ13" i="1"/>
  <c r="CQ15" i="1"/>
  <c r="DC168" i="1"/>
  <c r="DC184" i="1"/>
  <c r="DC112" i="1"/>
  <c r="DC143" i="1"/>
  <c r="DC152" i="1"/>
  <c r="DC9" i="1"/>
  <c r="DC86" i="1"/>
  <c r="DC121" i="1"/>
  <c r="DC89" i="1"/>
  <c r="DC94" i="1"/>
  <c r="DC150" i="1"/>
  <c r="DC40" i="1"/>
  <c r="DC81" i="1"/>
  <c r="DC161" i="1"/>
  <c r="CQ326" i="1"/>
  <c r="CQ294" i="1"/>
  <c r="CQ193" i="1"/>
  <c r="CQ146" i="1"/>
  <c r="CQ153" i="1"/>
  <c r="CQ64" i="1"/>
  <c r="CQ241" i="1"/>
  <c r="DC273" i="1"/>
  <c r="DC256" i="1"/>
  <c r="DC246" i="1"/>
  <c r="DC241" i="1"/>
  <c r="DC193" i="1"/>
  <c r="DC209" i="1"/>
  <c r="DC136" i="1"/>
  <c r="DC231" i="1"/>
  <c r="DC118" i="1"/>
  <c r="DC214" i="1"/>
  <c r="DC144" i="1"/>
  <c r="DC104" i="1"/>
  <c r="DC192" i="1"/>
  <c r="DC33" i="1"/>
  <c r="DC64" i="1"/>
  <c r="DC15" i="1"/>
  <c r="DC39" i="1"/>
  <c r="CQ269" i="1"/>
  <c r="CQ83" i="1"/>
  <c r="CQ33" i="1"/>
  <c r="CQ192" i="1"/>
  <c r="CQ35" i="1"/>
  <c r="DC151" i="1"/>
  <c r="DC135" i="1"/>
  <c r="DC120" i="1"/>
  <c r="DC191" i="1"/>
  <c r="DC54" i="1"/>
  <c r="DC24" i="1"/>
  <c r="DC30" i="1"/>
  <c r="CQ320" i="1"/>
  <c r="CQ179" i="1"/>
  <c r="CQ144" i="1"/>
  <c r="CQ182" i="1"/>
  <c r="CQ280" i="1"/>
  <c r="CQ21" i="1"/>
  <c r="CQ246" i="1"/>
  <c r="CQ42" i="1"/>
  <c r="CQ118" i="1"/>
  <c r="DC240" i="1"/>
  <c r="DC142" i="1"/>
  <c r="DC177" i="1"/>
  <c r="DC216" i="1"/>
  <c r="DC208" i="1"/>
  <c r="DC31" i="1"/>
  <c r="DC158" i="1"/>
  <c r="DC128" i="1"/>
  <c r="DC49" i="1"/>
  <c r="DC126" i="1"/>
  <c r="DC111" i="1"/>
  <c r="DC222" i="1"/>
  <c r="CQ172" i="1"/>
  <c r="CQ314" i="1"/>
  <c r="CQ308" i="1"/>
  <c r="CQ302" i="1"/>
  <c r="CQ298" i="1"/>
  <c r="CQ156" i="1"/>
  <c r="CQ291" i="1"/>
  <c r="CQ166" i="1"/>
  <c r="CQ274" i="1"/>
  <c r="CQ268" i="1"/>
  <c r="CQ18" i="1"/>
  <c r="CQ96" i="1"/>
  <c r="CQ26" i="1"/>
  <c r="CQ51" i="1"/>
  <c r="CQ244" i="1"/>
  <c r="CQ128" i="1"/>
  <c r="CQ32" i="1"/>
  <c r="CQ317" i="1"/>
  <c r="CQ312" i="1"/>
  <c r="CQ306" i="1"/>
  <c r="CQ197" i="1"/>
  <c r="CQ115" i="1"/>
  <c r="CQ224" i="1"/>
  <c r="CQ251" i="1"/>
  <c r="CQ59" i="1"/>
  <c r="CQ54" i="1"/>
  <c r="CQ325" i="1"/>
  <c r="CQ175" i="1"/>
  <c r="CQ151" i="1"/>
  <c r="CQ157" i="1"/>
  <c r="CQ24" i="1"/>
  <c r="CQ191" i="1"/>
  <c r="CQ171" i="1"/>
  <c r="CQ236" i="1"/>
  <c r="CQ315" i="1"/>
  <c r="CQ310" i="1"/>
  <c r="CQ212" i="1"/>
  <c r="CQ119" i="1"/>
  <c r="CQ186" i="1"/>
  <c r="CQ199" i="1"/>
  <c r="CQ217" i="1"/>
  <c r="CQ206" i="1"/>
  <c r="CQ148" i="1"/>
  <c r="CQ57" i="1"/>
  <c r="CQ92" i="1"/>
  <c r="CQ249" i="1"/>
  <c r="CQ50" i="1"/>
  <c r="CQ110" i="1"/>
  <c r="CQ6" i="1"/>
  <c r="CQ77" i="1"/>
  <c r="CQ237" i="1"/>
  <c r="CQ116" i="1"/>
  <c r="CQ271" i="1"/>
  <c r="CQ263" i="1"/>
  <c r="CQ105" i="1"/>
  <c r="CQ48" i="1"/>
  <c r="CQ5" i="1"/>
  <c r="CQ187" i="1"/>
  <c r="CQ173" i="1"/>
  <c r="CQ168" i="1"/>
  <c r="CQ52" i="1"/>
  <c r="CQ45" i="1"/>
  <c r="CQ81" i="1"/>
  <c r="CQ238" i="1"/>
  <c r="CQ319" i="1"/>
  <c r="CQ122" i="1"/>
  <c r="CQ309" i="1"/>
  <c r="CQ303" i="1"/>
  <c r="CQ91" i="1"/>
  <c r="CQ218" i="1"/>
  <c r="CQ292" i="1"/>
  <c r="CQ147" i="1"/>
  <c r="CQ279" i="1"/>
  <c r="CQ262" i="1"/>
  <c r="CQ257" i="1"/>
  <c r="CQ17" i="1"/>
  <c r="CQ233" i="1"/>
  <c r="CQ38" i="1"/>
  <c r="CQ243" i="1"/>
  <c r="CQ10" i="1"/>
  <c r="CQ159" i="1"/>
  <c r="CQ12" i="1"/>
  <c r="CQ220" i="1"/>
  <c r="CQ161" i="1"/>
  <c r="CQ299" i="1"/>
  <c r="CQ277" i="1"/>
  <c r="CQ143" i="1"/>
  <c r="CQ108" i="1"/>
  <c r="CQ234" i="1"/>
  <c r="CQ323" i="1"/>
  <c r="CQ103" i="1"/>
  <c r="CQ226" i="1"/>
  <c r="CQ139" i="1"/>
  <c r="CQ165" i="1"/>
  <c r="CQ178" i="1"/>
  <c r="CQ73" i="1"/>
  <c r="CQ124" i="1"/>
  <c r="CQ201" i="1"/>
  <c r="CQ229" i="1"/>
  <c r="CQ112" i="1"/>
  <c r="CQ266" i="1"/>
  <c r="CQ55" i="1"/>
  <c r="CQ82" i="1"/>
  <c r="CQ247" i="1"/>
  <c r="CQ239" i="1"/>
  <c r="CQ114" i="1"/>
  <c r="CQ71" i="1"/>
  <c r="CQ322" i="1"/>
  <c r="CQ296" i="1"/>
  <c r="CQ90" i="1"/>
  <c r="CQ219" i="1"/>
  <c r="CQ94" i="1"/>
  <c r="CQ202" i="1"/>
  <c r="CQ230" i="1"/>
  <c r="CQ2" i="1"/>
  <c r="CQ34" i="1"/>
  <c r="CQ37" i="1"/>
  <c r="CQ36" i="1"/>
  <c r="CQ70" i="1"/>
  <c r="CQ184" i="1"/>
  <c r="CQ290" i="1"/>
  <c r="CQ185" i="1"/>
  <c r="CQ99" i="1"/>
  <c r="CQ276" i="1"/>
  <c r="CQ150" i="1"/>
  <c r="CQ4" i="1"/>
  <c r="CQ316" i="1"/>
  <c r="CQ311" i="1"/>
  <c r="CQ305" i="1"/>
  <c r="CQ131" i="1"/>
  <c r="CQ295" i="1"/>
  <c r="CQ227" i="1"/>
  <c r="CQ287" i="1"/>
  <c r="CQ145" i="1"/>
  <c r="CQ78" i="1"/>
  <c r="CQ183" i="1"/>
  <c r="CQ125" i="1"/>
  <c r="CQ265" i="1"/>
  <c r="CQ9" i="1"/>
  <c r="CQ102" i="1"/>
  <c r="CQ29" i="1"/>
  <c r="CQ321" i="1"/>
  <c r="CQ281" i="1"/>
  <c r="CQ100" i="1"/>
  <c r="CQ130" i="1"/>
  <c r="CQ137" i="1"/>
  <c r="CQ225" i="1"/>
  <c r="CQ16" i="1"/>
  <c r="CQ28" i="1"/>
  <c r="CQ167" i="1"/>
  <c r="CQ235" i="1"/>
  <c r="CQ223" i="1"/>
  <c r="CQ162" i="1"/>
  <c r="CQ304" i="1"/>
  <c r="CQ88" i="1"/>
  <c r="CQ169" i="1"/>
  <c r="CQ63" i="1"/>
  <c r="CQ248" i="1"/>
  <c r="CQ285" i="1"/>
  <c r="CQ200" i="1"/>
  <c r="CQ22" i="1"/>
  <c r="CQ74" i="1"/>
  <c r="CQ11" i="1"/>
  <c r="CQ7" i="1"/>
  <c r="CQ174" i="1"/>
  <c r="CQ62" i="1"/>
  <c r="CQ176" i="1"/>
  <c r="CQ41" i="1"/>
  <c r="CQ65" i="1"/>
  <c r="CQ297" i="1"/>
  <c r="CQ61" i="1"/>
  <c r="CQ207" i="1"/>
  <c r="CQ149" i="1"/>
  <c r="CQ275" i="1"/>
  <c r="CQ264" i="1"/>
  <c r="CQ259" i="1"/>
  <c r="CQ255" i="1"/>
  <c r="CQ250" i="1"/>
  <c r="CQ203" i="1"/>
  <c r="CQ152" i="1"/>
  <c r="CQ86" i="1"/>
  <c r="CQ40" i="1"/>
  <c r="CQ127" i="1"/>
  <c r="CQ164" i="1"/>
  <c r="CQ47" i="1"/>
  <c r="CQ170" i="1"/>
  <c r="CQ60" i="1"/>
  <c r="CQ27" i="1"/>
  <c r="CQ284" i="1"/>
  <c r="CQ258" i="1"/>
  <c r="CQ141" i="1"/>
  <c r="CQ188" i="1"/>
  <c r="CQ138" i="1"/>
  <c r="CQ232" i="1"/>
  <c r="CQ80" i="1"/>
  <c r="CQ87" i="1"/>
  <c r="CQ14" i="1"/>
  <c r="CQ75" i="1"/>
  <c r="CQ46" i="1"/>
  <c r="CN319" i="1"/>
  <c r="CL62" i="1"/>
  <c r="CK62" i="1"/>
  <c r="CR136" i="1"/>
  <c r="DA136" i="1" s="1"/>
  <c r="CS136" i="1"/>
  <c r="DB136" i="1" s="1"/>
  <c r="CR58" i="1"/>
  <c r="DA58" i="1" s="1"/>
  <c r="CS58" i="1"/>
  <c r="DB58" i="1" s="1"/>
  <c r="CR298" i="1"/>
  <c r="DA298" i="1" s="1"/>
  <c r="CS298" i="1"/>
  <c r="DB298" i="1" s="1"/>
  <c r="CR20" i="1"/>
  <c r="DA20" i="1" s="1"/>
  <c r="CS20" i="1"/>
  <c r="DB20" i="1" s="1"/>
  <c r="CR5" i="1"/>
  <c r="DA5" i="1" s="1"/>
  <c r="CS5" i="1"/>
  <c r="DB5" i="1" s="1"/>
  <c r="CR49" i="1"/>
  <c r="DA49" i="1" s="1"/>
  <c r="CS49" i="1"/>
  <c r="DB49" i="1" s="1"/>
  <c r="CR112" i="1"/>
  <c r="DA112" i="1" s="1"/>
  <c r="CS112" i="1"/>
  <c r="DB112" i="1" s="1"/>
  <c r="CR222" i="1"/>
  <c r="DA222" i="1" s="1"/>
  <c r="CS222" i="1"/>
  <c r="DB222" i="1" s="1"/>
  <c r="CR295" i="1"/>
  <c r="DA295" i="1" s="1"/>
  <c r="CS295" i="1"/>
  <c r="DB295" i="1" s="1"/>
  <c r="CR72" i="1"/>
  <c r="DA72" i="1" s="1"/>
  <c r="DB72" i="1"/>
  <c r="CR80" i="1"/>
  <c r="DA80" i="1" s="1"/>
  <c r="CS80" i="1"/>
  <c r="DB80" i="1" s="1"/>
  <c r="CR88" i="1"/>
  <c r="DA88" i="1" s="1"/>
  <c r="CS88" i="1"/>
  <c r="DB88" i="1" s="1"/>
  <c r="CR57" i="1"/>
  <c r="DA57" i="1" s="1"/>
  <c r="CS57" i="1"/>
  <c r="DB57" i="1" s="1"/>
  <c r="CR18" i="1"/>
  <c r="DA18" i="1" s="1"/>
  <c r="CS18" i="1"/>
  <c r="DB18" i="1" s="1"/>
  <c r="CR254" i="1"/>
  <c r="DA254" i="1" s="1"/>
  <c r="CS254" i="1"/>
  <c r="DB254" i="1" s="1"/>
  <c r="CR24" i="1"/>
  <c r="DA24" i="1" s="1"/>
  <c r="CS24" i="1"/>
  <c r="DB24" i="1" s="1"/>
  <c r="CR75" i="1"/>
  <c r="DA75" i="1" s="1"/>
  <c r="CS75" i="1"/>
  <c r="DB75" i="1" s="1"/>
  <c r="CR121" i="1"/>
  <c r="DA121" i="1" s="1"/>
  <c r="CS121" i="1"/>
  <c r="DB121" i="1" s="1"/>
  <c r="CR247" i="1"/>
  <c r="DA247" i="1" s="1"/>
  <c r="CS247" i="1"/>
  <c r="DB247" i="1" s="1"/>
  <c r="CR296" i="1"/>
  <c r="DA296" i="1" s="1"/>
  <c r="CS296" i="1"/>
  <c r="DB296" i="1" s="1"/>
  <c r="CR266" i="1"/>
  <c r="DA266" i="1" s="1"/>
  <c r="CS266" i="1"/>
  <c r="DB266" i="1" s="1"/>
  <c r="CR228" i="1"/>
  <c r="DA228" i="1" s="1"/>
  <c r="CS228" i="1"/>
  <c r="DB228" i="1" s="1"/>
  <c r="CR149" i="1"/>
  <c r="DA149" i="1" s="1"/>
  <c r="CS149" i="1"/>
  <c r="DB149" i="1" s="1"/>
  <c r="CR25" i="1"/>
  <c r="DA25" i="1" s="1"/>
  <c r="CS25" i="1"/>
  <c r="DB25" i="1" s="1"/>
  <c r="CR23" i="1"/>
  <c r="DA23" i="1" s="1"/>
  <c r="CS23" i="1"/>
  <c r="DB23" i="1" s="1"/>
  <c r="CR82" i="1"/>
  <c r="DA82" i="1" s="1"/>
  <c r="CS82" i="1"/>
  <c r="DB82" i="1" s="1"/>
  <c r="CR62" i="1"/>
  <c r="DA62" i="1" s="1"/>
  <c r="CS62" i="1"/>
  <c r="DB62" i="1" s="1"/>
  <c r="CR33" i="1"/>
  <c r="DA33" i="1" s="1"/>
  <c r="CS33" i="1"/>
  <c r="DB33" i="1" s="1"/>
  <c r="CR27" i="1"/>
  <c r="DA27" i="1" s="1"/>
  <c r="CS27" i="1"/>
  <c r="DB27" i="1" s="1"/>
  <c r="CR91" i="1"/>
  <c r="DA91" i="1" s="1"/>
  <c r="CS91" i="1"/>
  <c r="DB91" i="1" s="1"/>
  <c r="CR133" i="1"/>
  <c r="DA133" i="1" s="1"/>
  <c r="CS133" i="1"/>
  <c r="DB133" i="1" s="1"/>
  <c r="CR232" i="1"/>
  <c r="DA232" i="1" s="1"/>
  <c r="CS232" i="1"/>
  <c r="DB232" i="1" s="1"/>
  <c r="CR28" i="1"/>
  <c r="DA28" i="1" s="1"/>
  <c r="CS28" i="1"/>
  <c r="DB28" i="1" s="1"/>
  <c r="CR81" i="1"/>
  <c r="DA81" i="1" s="1"/>
  <c r="CS81" i="1"/>
  <c r="DB81" i="1" s="1"/>
  <c r="CR16" i="1"/>
  <c r="DA16" i="1" s="1"/>
  <c r="CS16" i="1"/>
  <c r="DB16" i="1" s="1"/>
  <c r="CR56" i="1"/>
  <c r="DA56" i="1" s="1"/>
  <c r="CS56" i="1"/>
  <c r="DB56" i="1" s="1"/>
  <c r="CR128" i="1"/>
  <c r="DA128" i="1" s="1"/>
  <c r="CS128" i="1"/>
  <c r="DB128" i="1" s="1"/>
  <c r="CR63" i="1"/>
  <c r="DA63" i="1" s="1"/>
  <c r="CS63" i="1"/>
  <c r="DB63" i="1" s="1"/>
  <c r="CR151" i="1"/>
  <c r="DA151" i="1" s="1"/>
  <c r="CS151" i="1"/>
  <c r="DB151" i="1" s="1"/>
  <c r="CR220" i="1"/>
  <c r="DA220" i="1" s="1"/>
  <c r="CS220" i="1"/>
  <c r="DB220" i="1" s="1"/>
  <c r="CR257" i="1"/>
  <c r="DA257" i="1" s="1"/>
  <c r="CS257" i="1"/>
  <c r="DB257" i="1" s="1"/>
  <c r="CR275" i="1"/>
  <c r="DA275" i="1" s="1"/>
  <c r="CS275" i="1"/>
  <c r="DB275" i="1" s="1"/>
  <c r="CR147" i="1"/>
  <c r="DA147" i="1" s="1"/>
  <c r="CS147" i="1"/>
  <c r="DB147" i="1" s="1"/>
  <c r="CR84" i="1"/>
  <c r="DA84" i="1" s="1"/>
  <c r="CS84" i="1"/>
  <c r="DB84" i="1" s="1"/>
  <c r="CR71" i="1"/>
  <c r="DA71" i="1" s="1"/>
  <c r="CS71" i="1"/>
  <c r="DB71" i="1" s="1"/>
  <c r="CR55" i="1"/>
  <c r="DA55" i="1" s="1"/>
  <c r="CS55" i="1"/>
  <c r="DB55" i="1" s="1"/>
  <c r="CR86" i="1"/>
  <c r="DA86" i="1" s="1"/>
  <c r="CS86" i="1"/>
  <c r="DB86" i="1" s="1"/>
  <c r="CR102" i="1"/>
  <c r="DA102" i="1" s="1"/>
  <c r="CS102" i="1"/>
  <c r="DB102" i="1" s="1"/>
  <c r="CR48" i="1"/>
  <c r="DA48" i="1" s="1"/>
  <c r="CS48" i="1"/>
  <c r="DB48" i="1" s="1"/>
  <c r="CR150" i="1"/>
  <c r="DA150" i="1" s="1"/>
  <c r="CS150" i="1"/>
  <c r="DB150" i="1" s="1"/>
  <c r="CR54" i="1"/>
  <c r="DA54" i="1" s="1"/>
  <c r="CS54" i="1"/>
  <c r="DB54" i="1" s="1"/>
  <c r="CR252" i="1"/>
  <c r="DA252" i="1" s="1"/>
  <c r="CS252" i="1"/>
  <c r="DB252" i="1" s="1"/>
  <c r="CR132" i="1"/>
  <c r="DA132" i="1" s="1"/>
  <c r="CS132" i="1"/>
  <c r="DB132" i="1" s="1"/>
  <c r="CR32" i="1"/>
  <c r="DA32" i="1" s="1"/>
  <c r="CS32" i="1"/>
  <c r="DB32" i="1" s="1"/>
  <c r="CR51" i="1"/>
  <c r="DA51" i="1" s="1"/>
  <c r="CS51" i="1"/>
  <c r="DB51" i="1" s="1"/>
  <c r="CR244" i="1"/>
  <c r="DA244" i="1" s="1"/>
  <c r="CS244" i="1"/>
  <c r="DB244" i="1" s="1"/>
  <c r="CR38" i="1"/>
  <c r="DA38" i="1" s="1"/>
  <c r="CS38" i="1"/>
  <c r="DB38" i="1" s="1"/>
  <c r="CR40" i="1"/>
  <c r="DA40" i="1" s="1"/>
  <c r="CS40" i="1"/>
  <c r="DB40" i="1" s="1"/>
  <c r="CR9" i="1"/>
  <c r="DA9" i="1" s="1"/>
  <c r="CS9" i="1"/>
  <c r="DB9" i="1" s="1"/>
  <c r="CR99" i="1"/>
  <c r="DA99" i="1" s="1"/>
  <c r="CS99" i="1"/>
  <c r="DB99" i="1" s="1"/>
  <c r="CR17" i="1"/>
  <c r="DA17" i="1" s="1"/>
  <c r="CS17" i="1"/>
  <c r="DB17" i="1" s="1"/>
  <c r="CR198" i="1"/>
  <c r="DA198" i="1" s="1"/>
  <c r="CS198" i="1"/>
  <c r="DB198" i="1" s="1"/>
  <c r="CR265" i="1"/>
  <c r="DA265" i="1" s="1"/>
  <c r="CS265" i="1"/>
  <c r="DB265" i="1" s="1"/>
  <c r="CR64" i="1"/>
  <c r="DA64" i="1" s="1"/>
  <c r="CS64" i="1"/>
  <c r="DB64" i="1" s="1"/>
  <c r="CR141" i="1"/>
  <c r="DA141" i="1" s="1"/>
  <c r="CS141" i="1"/>
  <c r="DB141" i="1" s="1"/>
  <c r="CR90" i="1"/>
  <c r="DA90" i="1" s="1"/>
  <c r="CS90" i="1"/>
  <c r="DB90" i="1" s="1"/>
  <c r="CR30" i="1"/>
  <c r="DA30" i="1" s="1"/>
  <c r="CS30" i="1"/>
  <c r="DB30" i="1" s="1"/>
  <c r="CR76" i="1"/>
  <c r="DA76" i="1" s="1"/>
  <c r="CS76" i="1"/>
  <c r="DB76" i="1" s="1"/>
  <c r="CR46" i="1"/>
  <c r="DA46" i="1" s="1"/>
  <c r="CS46" i="1"/>
  <c r="DB46" i="1" s="1"/>
  <c r="CR159" i="1"/>
  <c r="DA159" i="1" s="1"/>
  <c r="CS159" i="1"/>
  <c r="DB159" i="1" s="1"/>
  <c r="CR138" i="1"/>
  <c r="DA138" i="1" s="1"/>
  <c r="CS138" i="1"/>
  <c r="DB138" i="1" s="1"/>
  <c r="CR31" i="1"/>
  <c r="DA31" i="1" s="1"/>
  <c r="CS31" i="1"/>
  <c r="DB31" i="1" s="1"/>
  <c r="CR245" i="1"/>
  <c r="DA245" i="1" s="1"/>
  <c r="CS245" i="1"/>
  <c r="DB245" i="1" s="1"/>
  <c r="CR161" i="1"/>
  <c r="DA161" i="1" s="1"/>
  <c r="CS161" i="1"/>
  <c r="DB161" i="1" s="1"/>
  <c r="CR61" i="1"/>
  <c r="DA61" i="1" s="1"/>
  <c r="CS61" i="1"/>
  <c r="DB61" i="1" s="1"/>
  <c r="CR11" i="1"/>
  <c r="DA11" i="1" s="1"/>
  <c r="CS11" i="1"/>
  <c r="DB11" i="1" s="1"/>
  <c r="CR221" i="1"/>
  <c r="DA221" i="1" s="1"/>
  <c r="CS221" i="1"/>
  <c r="DB221" i="1" s="1"/>
  <c r="CR50" i="1"/>
  <c r="DA50" i="1" s="1"/>
  <c r="CS50" i="1"/>
  <c r="DB50" i="1" s="1"/>
  <c r="CR118" i="1"/>
  <c r="DA118" i="1" s="1"/>
  <c r="CS118" i="1"/>
  <c r="DB118" i="1" s="1"/>
  <c r="CR169" i="1"/>
  <c r="DA169" i="1" s="1"/>
  <c r="CS169" i="1"/>
  <c r="DB169" i="1" s="1"/>
  <c r="CR22" i="1"/>
  <c r="DA22" i="1" s="1"/>
  <c r="CS22" i="1"/>
  <c r="DB22" i="1" s="1"/>
  <c r="CR87" i="1"/>
  <c r="DA87" i="1" s="1"/>
  <c r="CS87" i="1"/>
  <c r="DB87" i="1" s="1"/>
  <c r="CR123" i="1"/>
  <c r="DA123" i="1" s="1"/>
  <c r="CS123" i="1"/>
  <c r="DB123" i="1" s="1"/>
  <c r="CR115" i="1"/>
  <c r="DA115" i="1" s="1"/>
  <c r="CS115" i="1"/>
  <c r="DB115" i="1" s="1"/>
  <c r="CR194" i="1"/>
  <c r="DA194" i="1" s="1"/>
  <c r="CS194" i="1"/>
  <c r="DB194" i="1" s="1"/>
  <c r="CR21" i="1"/>
  <c r="DA21" i="1" s="1"/>
  <c r="CS21" i="1"/>
  <c r="DB21" i="1" s="1"/>
  <c r="CR286" i="1"/>
  <c r="DA286" i="1" s="1"/>
  <c r="CS286" i="1"/>
  <c r="DB286" i="1" s="1"/>
  <c r="CR241" i="1"/>
  <c r="DA241" i="1" s="1"/>
  <c r="CS241" i="1"/>
  <c r="DB241" i="1" s="1"/>
  <c r="CR37" i="1"/>
  <c r="DA37" i="1" s="1"/>
  <c r="CS37" i="1"/>
  <c r="DB37" i="1" s="1"/>
  <c r="CR218" i="1"/>
  <c r="DA218" i="1" s="1"/>
  <c r="CS218" i="1"/>
  <c r="DB218" i="1" s="1"/>
  <c r="CR299" i="1"/>
  <c r="DA299" i="1" s="1"/>
  <c r="CS299" i="1"/>
  <c r="DB299" i="1" s="1"/>
  <c r="CR68" i="1"/>
  <c r="DA68" i="1" s="1"/>
  <c r="CS68" i="1"/>
  <c r="DB68" i="1" s="1"/>
  <c r="CR211" i="1"/>
  <c r="DA211" i="1" s="1"/>
  <c r="CS211" i="1"/>
  <c r="DB211" i="1" s="1"/>
  <c r="CR94" i="1"/>
  <c r="DA94" i="1" s="1"/>
  <c r="CS94" i="1"/>
  <c r="DB94" i="1" s="1"/>
  <c r="CR199" i="1"/>
  <c r="DA199" i="1" s="1"/>
  <c r="CS199" i="1"/>
  <c r="DB199" i="1" s="1"/>
  <c r="CR263" i="1"/>
  <c r="DA263" i="1" s="1"/>
  <c r="CS263" i="1"/>
  <c r="DB263" i="1" s="1"/>
  <c r="CR164" i="1"/>
  <c r="DA164" i="1" s="1"/>
  <c r="CS164" i="1"/>
  <c r="DB164" i="1" s="1"/>
  <c r="CR127" i="1"/>
  <c r="DA127" i="1" s="1"/>
  <c r="CS127" i="1"/>
  <c r="DB127" i="1" s="1"/>
  <c r="CR85" i="1"/>
  <c r="DA85" i="1" s="1"/>
  <c r="CS85" i="1"/>
  <c r="DB85" i="1" s="1"/>
  <c r="CR281" i="1"/>
  <c r="DA281" i="1" s="1"/>
  <c r="CS281" i="1"/>
  <c r="DB281" i="1" s="1"/>
  <c r="CR142" i="1"/>
  <c r="DA142" i="1" s="1"/>
  <c r="CS142" i="1"/>
  <c r="DB142" i="1" s="1"/>
  <c r="CR97" i="1"/>
  <c r="DA97" i="1" s="1"/>
  <c r="CS97" i="1"/>
  <c r="DB97" i="1" s="1"/>
  <c r="CR39" i="1"/>
  <c r="DA39" i="1" s="1"/>
  <c r="CS39" i="1"/>
  <c r="DB39" i="1" s="1"/>
  <c r="CR92" i="1"/>
  <c r="DA92" i="1" s="1"/>
  <c r="CS92" i="1"/>
  <c r="DB92" i="1" s="1"/>
  <c r="CR19" i="1"/>
  <c r="DA19" i="1" s="1"/>
  <c r="CS19" i="1"/>
  <c r="DB19" i="1" s="1"/>
  <c r="CR106" i="1"/>
  <c r="DA106" i="1" s="1"/>
  <c r="CS106" i="1"/>
  <c r="DB106" i="1" s="1"/>
  <c r="CR59" i="1"/>
  <c r="DA59" i="1" s="1"/>
  <c r="CS59" i="1"/>
  <c r="DB59" i="1" s="1"/>
  <c r="CR210" i="1"/>
  <c r="DA210" i="1" s="1"/>
  <c r="CS210" i="1"/>
  <c r="DB210" i="1" s="1"/>
  <c r="CR34" i="1"/>
  <c r="DA34" i="1" s="1"/>
  <c r="CS34" i="1"/>
  <c r="DB34" i="1" s="1"/>
  <c r="CR117" i="1"/>
  <c r="DA117" i="1" s="1"/>
  <c r="CS117" i="1"/>
  <c r="DB117" i="1" s="1"/>
  <c r="CR248" i="1"/>
  <c r="DA248" i="1" s="1"/>
  <c r="CS248" i="1"/>
  <c r="DB248" i="1" s="1"/>
  <c r="CR96" i="1"/>
  <c r="DA96" i="1" s="1"/>
  <c r="CS96" i="1"/>
  <c r="DB96" i="1" s="1"/>
  <c r="CR253" i="1"/>
  <c r="DA253" i="1" s="1"/>
  <c r="CS253" i="1"/>
  <c r="DB253" i="1" s="1"/>
  <c r="CR268" i="1"/>
  <c r="DA268" i="1" s="1"/>
  <c r="CS268" i="1"/>
  <c r="DB268" i="1" s="1"/>
  <c r="CR113" i="1"/>
  <c r="DA113" i="1" s="1"/>
  <c r="CS113" i="1"/>
  <c r="DB113" i="1" s="1"/>
  <c r="CR137" i="1"/>
  <c r="DA137" i="1" s="1"/>
  <c r="CS137" i="1"/>
  <c r="DB137" i="1" s="1"/>
  <c r="CR250" i="1"/>
  <c r="DA250" i="1" s="1"/>
  <c r="CS250" i="1"/>
  <c r="DB250" i="1" s="1"/>
  <c r="CR300" i="1"/>
  <c r="DA300" i="1" s="1"/>
  <c r="CS300" i="1"/>
  <c r="DB300" i="1" s="1"/>
  <c r="CR157" i="1"/>
  <c r="DA157" i="1" s="1"/>
  <c r="CS157" i="1"/>
  <c r="DB157" i="1" s="1"/>
  <c r="CR10" i="1"/>
  <c r="DA10" i="1" s="1"/>
  <c r="CS10" i="1"/>
  <c r="DB10" i="1" s="1"/>
  <c r="CR260" i="1"/>
  <c r="DA260" i="1" s="1"/>
  <c r="CS260" i="1"/>
  <c r="DB260" i="1" s="1"/>
  <c r="CR255" i="1"/>
  <c r="DA255" i="1" s="1"/>
  <c r="CS255" i="1"/>
  <c r="DB255" i="1" s="1"/>
  <c r="CR301" i="1"/>
  <c r="DA301" i="1" s="1"/>
  <c r="CS301" i="1"/>
  <c r="DB301" i="1" s="1"/>
  <c r="CR109" i="1"/>
  <c r="DA109" i="1" s="1"/>
  <c r="CS109" i="1"/>
  <c r="DB109" i="1" s="1"/>
  <c r="CR74" i="1"/>
  <c r="DA74" i="1" s="1"/>
  <c r="CS74" i="1"/>
  <c r="DB74" i="1" s="1"/>
  <c r="CR135" i="1"/>
  <c r="DA135" i="1" s="1"/>
  <c r="CS135" i="1"/>
  <c r="DB135" i="1" s="1"/>
  <c r="CR12" i="1"/>
  <c r="DA12" i="1" s="1"/>
  <c r="CS12" i="1"/>
  <c r="DB12" i="1" s="1"/>
  <c r="CR202" i="1"/>
  <c r="DA202" i="1" s="1"/>
  <c r="CS202" i="1"/>
  <c r="DB202" i="1" s="1"/>
  <c r="CR69" i="1"/>
  <c r="DA69" i="1" s="1"/>
  <c r="CS69" i="1"/>
  <c r="DB69" i="1" s="1"/>
  <c r="CR302" i="1"/>
  <c r="DA302" i="1" s="1"/>
  <c r="CS302" i="1"/>
  <c r="DB302" i="1" s="1"/>
  <c r="CR242" i="1"/>
  <c r="DA242" i="1" s="1"/>
  <c r="CS242" i="1"/>
  <c r="DB242" i="1" s="1"/>
  <c r="CR270" i="1"/>
  <c r="DA270" i="1" s="1"/>
  <c r="CS270" i="1"/>
  <c r="DB270" i="1" s="1"/>
  <c r="CR111" i="1"/>
  <c r="DA111" i="1" s="1"/>
  <c r="CS111" i="1"/>
  <c r="DB111" i="1" s="1"/>
  <c r="CR7" i="1"/>
  <c r="DA7" i="1" s="1"/>
  <c r="CS7" i="1"/>
  <c r="DB7" i="1" s="1"/>
  <c r="CR269" i="1"/>
  <c r="DA269" i="1" s="1"/>
  <c r="CS269" i="1"/>
  <c r="DB269" i="1" s="1"/>
  <c r="CR52" i="1"/>
  <c r="DA52" i="1" s="1"/>
  <c r="CS52" i="1"/>
  <c r="DB52" i="1" s="1"/>
  <c r="CR259" i="1"/>
  <c r="DA259" i="1" s="1"/>
  <c r="CS259" i="1"/>
  <c r="DB259" i="1" s="1"/>
  <c r="CR191" i="1"/>
  <c r="DA191" i="1" s="1"/>
  <c r="CS191" i="1"/>
  <c r="DB191" i="1" s="1"/>
  <c r="CR192" i="1"/>
  <c r="DA192" i="1" s="1"/>
  <c r="CS192" i="1"/>
  <c r="DB192" i="1" s="1"/>
  <c r="CR175" i="1"/>
  <c r="DA175" i="1" s="1"/>
  <c r="CS175" i="1"/>
  <c r="DB175" i="1" s="1"/>
  <c r="CR189" i="1"/>
  <c r="DA189" i="1" s="1"/>
  <c r="CS189" i="1"/>
  <c r="DB189" i="1" s="1"/>
  <c r="CR140" i="1"/>
  <c r="DA140" i="1" s="1"/>
  <c r="CS140" i="1"/>
  <c r="DB140" i="1" s="1"/>
  <c r="CR303" i="1"/>
  <c r="DA303" i="1" s="1"/>
  <c r="CS303" i="1"/>
  <c r="DB303" i="1" s="1"/>
  <c r="CR107" i="1"/>
  <c r="DA107" i="1" s="1"/>
  <c r="CS107" i="1"/>
  <c r="DB107" i="1" s="1"/>
  <c r="CR6" i="1"/>
  <c r="DA6" i="1" s="1"/>
  <c r="CS6" i="1"/>
  <c r="DB6" i="1" s="1"/>
  <c r="CR230" i="1"/>
  <c r="DA230" i="1" s="1"/>
  <c r="CS230" i="1"/>
  <c r="DB230" i="1" s="1"/>
  <c r="CR304" i="1"/>
  <c r="DA304" i="1" s="1"/>
  <c r="CS304" i="1"/>
  <c r="DB304" i="1" s="1"/>
  <c r="CR278" i="1"/>
  <c r="DA278" i="1" s="1"/>
  <c r="CS278" i="1"/>
  <c r="DB278" i="1" s="1"/>
  <c r="CR200" i="1"/>
  <c r="DA200" i="1" s="1"/>
  <c r="CS200" i="1"/>
  <c r="DB200" i="1" s="1"/>
  <c r="CR43" i="1"/>
  <c r="DA43" i="1" s="1"/>
  <c r="CS43" i="1"/>
  <c r="DB43" i="1" s="1"/>
  <c r="CR104" i="1"/>
  <c r="DA104" i="1" s="1"/>
  <c r="CS104" i="1"/>
  <c r="DB104" i="1" s="1"/>
  <c r="CR264" i="1"/>
  <c r="DA264" i="1" s="1"/>
  <c r="CS264" i="1"/>
  <c r="DB264" i="1" s="1"/>
  <c r="CR261" i="1"/>
  <c r="DA261" i="1" s="1"/>
  <c r="CS261" i="1"/>
  <c r="DB261" i="1" s="1"/>
  <c r="CR167" i="1"/>
  <c r="DA167" i="1" s="1"/>
  <c r="CS167" i="1"/>
  <c r="DB167" i="1" s="1"/>
  <c r="CR129" i="1"/>
  <c r="DA129" i="1" s="1"/>
  <c r="CS129" i="1"/>
  <c r="DB129" i="1" s="1"/>
  <c r="CR35" i="1"/>
  <c r="DA35" i="1" s="1"/>
  <c r="CS35" i="1"/>
  <c r="DB35" i="1" s="1"/>
  <c r="CR36" i="1"/>
  <c r="DA36" i="1" s="1"/>
  <c r="CS36" i="1"/>
  <c r="DB36" i="1" s="1"/>
  <c r="CR273" i="1"/>
  <c r="DA273" i="1" s="1"/>
  <c r="CS273" i="1"/>
  <c r="DB273" i="1" s="1"/>
  <c r="CR170" i="1"/>
  <c r="DA170" i="1" s="1"/>
  <c r="CS170" i="1"/>
  <c r="DB170" i="1" s="1"/>
  <c r="CR93" i="1"/>
  <c r="DA93" i="1" s="1"/>
  <c r="CS93" i="1"/>
  <c r="DB93" i="1" s="1"/>
  <c r="CR26" i="1"/>
  <c r="DA26" i="1" s="1"/>
  <c r="CS26" i="1"/>
  <c r="DB26" i="1" s="1"/>
  <c r="CR285" i="1"/>
  <c r="DA285" i="1" s="1"/>
  <c r="CS285" i="1"/>
  <c r="DB285" i="1" s="1"/>
  <c r="CR126" i="1"/>
  <c r="DA126" i="1" s="1"/>
  <c r="CS126" i="1"/>
  <c r="DB126" i="1" s="1"/>
  <c r="CR203" i="1"/>
  <c r="DA203" i="1" s="1"/>
  <c r="CS203" i="1"/>
  <c r="DB203" i="1" s="1"/>
  <c r="CR212" i="1"/>
  <c r="DA212" i="1" s="1"/>
  <c r="CS212" i="1"/>
  <c r="DB212" i="1" s="1"/>
  <c r="CR120" i="1"/>
  <c r="DA120" i="1" s="1"/>
  <c r="CS120" i="1"/>
  <c r="DB120" i="1" s="1"/>
  <c r="CR267" i="1"/>
  <c r="DA267" i="1" s="1"/>
  <c r="CS267" i="1"/>
  <c r="DB267" i="1" s="1"/>
  <c r="CR271" i="1"/>
  <c r="DA271" i="1" s="1"/>
  <c r="CS271" i="1"/>
  <c r="DB271" i="1" s="1"/>
  <c r="CR98" i="1"/>
  <c r="DA98" i="1" s="1"/>
  <c r="CS98" i="1"/>
  <c r="DB98" i="1" s="1"/>
  <c r="CR42" i="1"/>
  <c r="DA42" i="1" s="1"/>
  <c r="CS42" i="1"/>
  <c r="DB42" i="1" s="1"/>
  <c r="CR4" i="1"/>
  <c r="DA4" i="1" s="1"/>
  <c r="CS4" i="1"/>
  <c r="DB4" i="1" s="1"/>
  <c r="CR67" i="1"/>
  <c r="DA67" i="1" s="1"/>
  <c r="CS67" i="1"/>
  <c r="DB67" i="1" s="1"/>
  <c r="CR125" i="1"/>
  <c r="DA125" i="1" s="1"/>
  <c r="CS125" i="1"/>
  <c r="DB125" i="1" s="1"/>
  <c r="CR305" i="1"/>
  <c r="DA305" i="1" s="1"/>
  <c r="CS305" i="1"/>
  <c r="DB305" i="1" s="1"/>
  <c r="CR243" i="1"/>
  <c r="DA243" i="1" s="1"/>
  <c r="CS243" i="1"/>
  <c r="DB243" i="1" s="1"/>
  <c r="CR148" i="1"/>
  <c r="DA148" i="1" s="1"/>
  <c r="CS148" i="1"/>
  <c r="DB148" i="1" s="1"/>
  <c r="CR293" i="1"/>
  <c r="DA293" i="1" s="1"/>
  <c r="CS293" i="1"/>
  <c r="DB293" i="1" s="1"/>
  <c r="CR155" i="1"/>
  <c r="DA155" i="1" s="1"/>
  <c r="CS155" i="1"/>
  <c r="DB155" i="1" s="1"/>
  <c r="CR144" i="1"/>
  <c r="DA144" i="1" s="1"/>
  <c r="CS144" i="1"/>
  <c r="DB144" i="1" s="1"/>
  <c r="CR306" i="1"/>
  <c r="DA306" i="1" s="1"/>
  <c r="CS306" i="1"/>
  <c r="DB306" i="1" s="1"/>
  <c r="CR78" i="1"/>
  <c r="DA78" i="1" s="1"/>
  <c r="CS78" i="1"/>
  <c r="DB78" i="1" s="1"/>
  <c r="CR100" i="1"/>
  <c r="DA100" i="1" s="1"/>
  <c r="CS100" i="1"/>
  <c r="DB100" i="1" s="1"/>
  <c r="CR83" i="1"/>
  <c r="DA83" i="1" s="1"/>
  <c r="CS83" i="1"/>
  <c r="DB83" i="1" s="1"/>
  <c r="CR307" i="1"/>
  <c r="DA307" i="1" s="1"/>
  <c r="CS307" i="1"/>
  <c r="DB307" i="1" s="1"/>
  <c r="CR171" i="1"/>
  <c r="DA171" i="1" s="1"/>
  <c r="CS171" i="1"/>
  <c r="DB171" i="1" s="1"/>
  <c r="CR101" i="1"/>
  <c r="DA101" i="1" s="1"/>
  <c r="CS101" i="1"/>
  <c r="DB101" i="1" s="1"/>
  <c r="CR131" i="1"/>
  <c r="DA131" i="1" s="1"/>
  <c r="CS131" i="1"/>
  <c r="DB131" i="1" s="1"/>
  <c r="CR15" i="1"/>
  <c r="DA15" i="1" s="1"/>
  <c r="CS15" i="1"/>
  <c r="DB15" i="1" s="1"/>
  <c r="CR308" i="1"/>
  <c r="DA308" i="1" s="1"/>
  <c r="CS308" i="1"/>
  <c r="DB308" i="1" s="1"/>
  <c r="CR288" i="1"/>
  <c r="DA288" i="1" s="1"/>
  <c r="CS288" i="1"/>
  <c r="DB288" i="1" s="1"/>
  <c r="CR41" i="1"/>
  <c r="DA41" i="1" s="1"/>
  <c r="CS41" i="1"/>
  <c r="DB41" i="1" s="1"/>
  <c r="CR114" i="1"/>
  <c r="DA114" i="1" s="1"/>
  <c r="CS114" i="1"/>
  <c r="DB114" i="1" s="1"/>
  <c r="CR177" i="1"/>
  <c r="DA177" i="1" s="1"/>
  <c r="CS177" i="1"/>
  <c r="DB177" i="1" s="1"/>
  <c r="CR65" i="1"/>
  <c r="DA65" i="1" s="1"/>
  <c r="CS65" i="1"/>
  <c r="DB65" i="1" s="1"/>
  <c r="CR290" i="1"/>
  <c r="DA290" i="1" s="1"/>
  <c r="CS290" i="1"/>
  <c r="DB290" i="1" s="1"/>
  <c r="CR105" i="1"/>
  <c r="DA105" i="1" s="1"/>
  <c r="CS105" i="1"/>
  <c r="DB105" i="1" s="1"/>
  <c r="CR70" i="1"/>
  <c r="DA70" i="1" s="1"/>
  <c r="CS70" i="1"/>
  <c r="DB70" i="1" s="1"/>
  <c r="CR279" i="1"/>
  <c r="DA279" i="1" s="1"/>
  <c r="CS279" i="1"/>
  <c r="DB279" i="1" s="1"/>
  <c r="CR309" i="1"/>
  <c r="DA309" i="1" s="1"/>
  <c r="CS309" i="1"/>
  <c r="DB309" i="1" s="1"/>
  <c r="CR162" i="1"/>
  <c r="DA162" i="1" s="1"/>
  <c r="CS162" i="1"/>
  <c r="DB162" i="1" s="1"/>
  <c r="CR110" i="1"/>
  <c r="DA110" i="1" s="1"/>
  <c r="CS110" i="1"/>
  <c r="DB110" i="1" s="1"/>
  <c r="CR233" i="1"/>
  <c r="DA233" i="1" s="1"/>
  <c r="CS233" i="1"/>
  <c r="DB233" i="1" s="1"/>
  <c r="CR310" i="1"/>
  <c r="DA310" i="1" s="1"/>
  <c r="CS310" i="1"/>
  <c r="DB310" i="1" s="1"/>
  <c r="CR246" i="1"/>
  <c r="DA246" i="1" s="1"/>
  <c r="CS246" i="1"/>
  <c r="DB246" i="1" s="1"/>
  <c r="CR311" i="1"/>
  <c r="DA311" i="1" s="1"/>
  <c r="CS311" i="1"/>
  <c r="DB311" i="1" s="1"/>
  <c r="CR66" i="1"/>
  <c r="DA66" i="1" s="1"/>
  <c r="CS66" i="1"/>
  <c r="DB66" i="1" s="1"/>
  <c r="CR282" i="1"/>
  <c r="DA282" i="1" s="1"/>
  <c r="CS282" i="1"/>
  <c r="DB282" i="1" s="1"/>
  <c r="CR73" i="1"/>
  <c r="DA73" i="1" s="1"/>
  <c r="CS73" i="1"/>
  <c r="DB73" i="1" s="1"/>
  <c r="CR224" i="1"/>
  <c r="DA224" i="1" s="1"/>
  <c r="CS224" i="1"/>
  <c r="DB224" i="1" s="1"/>
  <c r="CR134" i="1"/>
  <c r="DA134" i="1" s="1"/>
  <c r="CS134" i="1"/>
  <c r="DB134" i="1" s="1"/>
  <c r="CR116" i="1"/>
  <c r="DA116" i="1" s="1"/>
  <c r="CS116" i="1"/>
  <c r="DB116" i="1" s="1"/>
  <c r="CR146" i="1"/>
  <c r="DA146" i="1" s="1"/>
  <c r="CS146" i="1"/>
  <c r="DB146" i="1" s="1"/>
  <c r="CR108" i="1"/>
  <c r="DA108" i="1" s="1"/>
  <c r="CS108" i="1"/>
  <c r="DB108" i="1" s="1"/>
  <c r="CR79" i="1"/>
  <c r="DA79" i="1" s="1"/>
  <c r="CS79" i="1"/>
  <c r="DB79" i="1" s="1"/>
  <c r="CR204" i="1"/>
  <c r="DA204" i="1" s="1"/>
  <c r="CS204" i="1"/>
  <c r="DB204" i="1" s="1"/>
  <c r="CR160" i="1"/>
  <c r="DA160" i="1" s="1"/>
  <c r="CS160" i="1"/>
  <c r="DB160" i="1" s="1"/>
  <c r="CR47" i="1"/>
  <c r="DA47" i="1" s="1"/>
  <c r="CS47" i="1"/>
  <c r="DB47" i="1" s="1"/>
  <c r="CR124" i="1"/>
  <c r="DA124" i="1" s="1"/>
  <c r="CS124" i="1"/>
  <c r="DB124" i="1" s="1"/>
  <c r="CR153" i="1"/>
  <c r="DA153" i="1" s="1"/>
  <c r="CS153" i="1"/>
  <c r="DB153" i="1" s="1"/>
  <c r="CR193" i="1"/>
  <c r="DA193" i="1" s="1"/>
  <c r="CS193" i="1"/>
  <c r="DB193" i="1" s="1"/>
  <c r="CR2" i="1"/>
  <c r="DA2" i="1" s="1"/>
  <c r="CS2" i="1"/>
  <c r="DB2" i="1" s="1"/>
  <c r="CR152" i="1"/>
  <c r="DA152" i="1" s="1"/>
  <c r="CS152" i="1"/>
  <c r="DB152" i="1" s="1"/>
  <c r="CR217" i="1"/>
  <c r="DA217" i="1" s="1"/>
  <c r="CS217" i="1"/>
  <c r="DB217" i="1" s="1"/>
  <c r="CR312" i="1"/>
  <c r="DA312" i="1" s="1"/>
  <c r="CS312" i="1"/>
  <c r="DB312" i="1" s="1"/>
  <c r="CR313" i="1"/>
  <c r="DA313" i="1" s="1"/>
  <c r="CS313" i="1"/>
  <c r="DB313" i="1" s="1"/>
  <c r="CR314" i="1"/>
  <c r="DA314" i="1" s="1"/>
  <c r="CS314" i="1"/>
  <c r="DB314" i="1" s="1"/>
  <c r="CR122" i="1"/>
  <c r="DA122" i="1" s="1"/>
  <c r="CS122" i="1"/>
  <c r="DB122" i="1" s="1"/>
  <c r="CR249" i="1"/>
  <c r="DA249" i="1" s="1"/>
  <c r="CS249" i="1"/>
  <c r="DB249" i="1" s="1"/>
  <c r="CR297" i="1"/>
  <c r="DA297" i="1" s="1"/>
  <c r="CS297" i="1"/>
  <c r="DB297" i="1" s="1"/>
  <c r="CR258" i="1"/>
  <c r="DA258" i="1" s="1"/>
  <c r="CS258" i="1"/>
  <c r="DB258" i="1" s="1"/>
  <c r="CR183" i="1"/>
  <c r="DA183" i="1" s="1"/>
  <c r="CS183" i="1"/>
  <c r="DB183" i="1" s="1"/>
  <c r="CR223" i="1"/>
  <c r="DA223" i="1" s="1"/>
  <c r="CS223" i="1"/>
  <c r="DB223" i="1" s="1"/>
  <c r="CR315" i="1"/>
  <c r="DA315" i="1" s="1"/>
  <c r="CS315" i="1"/>
  <c r="DB315" i="1" s="1"/>
  <c r="CR272" i="1"/>
  <c r="DA272" i="1" s="1"/>
  <c r="CS272" i="1"/>
  <c r="DB272" i="1" s="1"/>
  <c r="CR103" i="1"/>
  <c r="DA103" i="1" s="1"/>
  <c r="CS103" i="1"/>
  <c r="DB103" i="1" s="1"/>
  <c r="CR262" i="1"/>
  <c r="DA262" i="1" s="1"/>
  <c r="CS262" i="1"/>
  <c r="DB262" i="1" s="1"/>
  <c r="CR207" i="1"/>
  <c r="DA207" i="1" s="1"/>
  <c r="CS207" i="1"/>
  <c r="DB207" i="1" s="1"/>
  <c r="CR13" i="1"/>
  <c r="DA13" i="1" s="1"/>
  <c r="CS13" i="1"/>
  <c r="DB13" i="1" s="1"/>
  <c r="CR214" i="1"/>
  <c r="DA214" i="1" s="1"/>
  <c r="CS214" i="1"/>
  <c r="DB214" i="1" s="1"/>
  <c r="CR143" i="1"/>
  <c r="DA143" i="1" s="1"/>
  <c r="CS143" i="1"/>
  <c r="DB143" i="1" s="1"/>
  <c r="CR201" i="1"/>
  <c r="DA201" i="1" s="1"/>
  <c r="CS201" i="1"/>
  <c r="DB201" i="1" s="1"/>
  <c r="CR174" i="1"/>
  <c r="DA174" i="1" s="1"/>
  <c r="CS174" i="1"/>
  <c r="DB174" i="1" s="1"/>
  <c r="CR316" i="1"/>
  <c r="DA316" i="1" s="1"/>
  <c r="CS316" i="1"/>
  <c r="DB316" i="1" s="1"/>
  <c r="CR168" i="1"/>
  <c r="DA168" i="1" s="1"/>
  <c r="CS168" i="1"/>
  <c r="DB168" i="1" s="1"/>
  <c r="CR195" i="1"/>
  <c r="DA195" i="1" s="1"/>
  <c r="CS195" i="1"/>
  <c r="DB195" i="1" s="1"/>
  <c r="CR284" i="1"/>
  <c r="DA284" i="1" s="1"/>
  <c r="CS284" i="1"/>
  <c r="DB284" i="1" s="1"/>
  <c r="CR178" i="1"/>
  <c r="DA178" i="1" s="1"/>
  <c r="CS178" i="1"/>
  <c r="DB178" i="1" s="1"/>
  <c r="CR213" i="1"/>
  <c r="DA213" i="1" s="1"/>
  <c r="CS213" i="1"/>
  <c r="DB213" i="1" s="1"/>
  <c r="CR29" i="1"/>
  <c r="DA29" i="1" s="1"/>
  <c r="CS29" i="1"/>
  <c r="DB29" i="1" s="1"/>
  <c r="CR166" i="1"/>
  <c r="DA166" i="1" s="1"/>
  <c r="CS166" i="1"/>
  <c r="DB166" i="1" s="1"/>
  <c r="CR14" i="1"/>
  <c r="DA14" i="1" s="1"/>
  <c r="CS14" i="1"/>
  <c r="DB14" i="1" s="1"/>
  <c r="CR240" i="1"/>
  <c r="DA240" i="1" s="1"/>
  <c r="CS240" i="1"/>
  <c r="DB240" i="1" s="1"/>
  <c r="CR276" i="1"/>
  <c r="DA276" i="1" s="1"/>
  <c r="CS276" i="1"/>
  <c r="DB276" i="1" s="1"/>
  <c r="CR206" i="1"/>
  <c r="DA206" i="1" s="1"/>
  <c r="CS206" i="1"/>
  <c r="DB206" i="1" s="1"/>
  <c r="CR225" i="1"/>
  <c r="DA225" i="1" s="1"/>
  <c r="CS225" i="1"/>
  <c r="DB225" i="1" s="1"/>
  <c r="CR145" i="1"/>
  <c r="DA145" i="1" s="1"/>
  <c r="CS145" i="1"/>
  <c r="DB145" i="1" s="1"/>
  <c r="CR3" i="1"/>
  <c r="DA3" i="1" s="1"/>
  <c r="CS3" i="1"/>
  <c r="CR119" i="1"/>
  <c r="DA119" i="1" s="1"/>
  <c r="CS119" i="1"/>
  <c r="DB119" i="1" s="1"/>
  <c r="CR274" i="1"/>
  <c r="DA274" i="1" s="1"/>
  <c r="CS274" i="1"/>
  <c r="DB274" i="1" s="1"/>
  <c r="CR292" i="1"/>
  <c r="DA292" i="1" s="1"/>
  <c r="CS292" i="1"/>
  <c r="DB292" i="1" s="1"/>
  <c r="CR95" i="1"/>
  <c r="DA95" i="1" s="1"/>
  <c r="CS95" i="1"/>
  <c r="DB95" i="1" s="1"/>
  <c r="CR197" i="1"/>
  <c r="DA197" i="1" s="1"/>
  <c r="CS197" i="1"/>
  <c r="DB197" i="1" s="1"/>
  <c r="CR44" i="1"/>
  <c r="DA44" i="1" s="1"/>
  <c r="CS44" i="1"/>
  <c r="DB44" i="1" s="1"/>
  <c r="CR60" i="1"/>
  <c r="DA60" i="1" s="1"/>
  <c r="CS60" i="1"/>
  <c r="DB60" i="1" s="1"/>
  <c r="CR176" i="1"/>
  <c r="DA176" i="1" s="1"/>
  <c r="CS176" i="1"/>
  <c r="DB176" i="1" s="1"/>
  <c r="CR227" i="1"/>
  <c r="DA227" i="1" s="1"/>
  <c r="CS227" i="1"/>
  <c r="DB227" i="1" s="1"/>
  <c r="CR165" i="1"/>
  <c r="DA165" i="1" s="1"/>
  <c r="CS165" i="1"/>
  <c r="DB165" i="1" s="1"/>
  <c r="CR317" i="1"/>
  <c r="DA317" i="1" s="1"/>
  <c r="CS317" i="1"/>
  <c r="DB317" i="1" s="1"/>
  <c r="CR231" i="1"/>
  <c r="DA231" i="1" s="1"/>
  <c r="CS231" i="1"/>
  <c r="DB231" i="1" s="1"/>
  <c r="CR318" i="1"/>
  <c r="DA318" i="1" s="1"/>
  <c r="CS318" i="1"/>
  <c r="DB318" i="1" s="1"/>
  <c r="CR156" i="1"/>
  <c r="DA156" i="1" s="1"/>
  <c r="CS156" i="1"/>
  <c r="DB156" i="1" s="1"/>
  <c r="CR180" i="1"/>
  <c r="DA180" i="1" s="1"/>
  <c r="CS180" i="1"/>
  <c r="DB180" i="1" s="1"/>
  <c r="CR280" i="1"/>
  <c r="DA280" i="1" s="1"/>
  <c r="CS280" i="1"/>
  <c r="DB280" i="1" s="1"/>
  <c r="CR188" i="1"/>
  <c r="DA188" i="1" s="1"/>
  <c r="CS188" i="1"/>
  <c r="DB188" i="1" s="1"/>
  <c r="CR229" i="1"/>
  <c r="DA229" i="1" s="1"/>
  <c r="CS229" i="1"/>
  <c r="DB229" i="1" s="1"/>
  <c r="CR205" i="1"/>
  <c r="DA205" i="1" s="1"/>
  <c r="CS205" i="1"/>
  <c r="DB205" i="1" s="1"/>
  <c r="CR172" i="1"/>
  <c r="DA172" i="1" s="1"/>
  <c r="CS172" i="1"/>
  <c r="DB172" i="1" s="1"/>
  <c r="CR287" i="1"/>
  <c r="DA287" i="1" s="1"/>
  <c r="CS287" i="1"/>
  <c r="DB287" i="1" s="1"/>
  <c r="CR158" i="1"/>
  <c r="DA158" i="1" s="1"/>
  <c r="CS158" i="1"/>
  <c r="DB158" i="1" s="1"/>
  <c r="CR89" i="1"/>
  <c r="DA89" i="1" s="1"/>
  <c r="CS89" i="1"/>
  <c r="DB89" i="1" s="1"/>
  <c r="CR216" i="1"/>
  <c r="DA216" i="1" s="1"/>
  <c r="CS216" i="1"/>
  <c r="DB216" i="1" s="1"/>
  <c r="CR289" i="1"/>
  <c r="DA289" i="1" s="1"/>
  <c r="CS289" i="1"/>
  <c r="DB289" i="1" s="1"/>
  <c r="CR190" i="1"/>
  <c r="DA190" i="1" s="1"/>
  <c r="CS190" i="1"/>
  <c r="DB190" i="1" s="1"/>
  <c r="CR219" i="1"/>
  <c r="DA219" i="1" s="1"/>
  <c r="CS219" i="1"/>
  <c r="DB219" i="1" s="1"/>
  <c r="CR283" i="1"/>
  <c r="DA283" i="1" s="1"/>
  <c r="CS283" i="1"/>
  <c r="DB283" i="1" s="1"/>
  <c r="CR185" i="1"/>
  <c r="DA185" i="1" s="1"/>
  <c r="CS185" i="1"/>
  <c r="DB185" i="1" s="1"/>
  <c r="CR139" i="1"/>
  <c r="DA139" i="1" s="1"/>
  <c r="CS139" i="1"/>
  <c r="DB139" i="1" s="1"/>
  <c r="CR256" i="1"/>
  <c r="DA256" i="1" s="1"/>
  <c r="CS256" i="1"/>
  <c r="DB256" i="1" s="1"/>
  <c r="CR187" i="1"/>
  <c r="DA187" i="1" s="1"/>
  <c r="CS187" i="1"/>
  <c r="DB187" i="1" s="1"/>
  <c r="CR45" i="1"/>
  <c r="DA45" i="1" s="1"/>
  <c r="CS45" i="1"/>
  <c r="DB45" i="1" s="1"/>
  <c r="CR179" i="1"/>
  <c r="DA179" i="1" s="1"/>
  <c r="CS179" i="1"/>
  <c r="DB179" i="1" s="1"/>
  <c r="CR226" i="1"/>
  <c r="DA226" i="1" s="1"/>
  <c r="CS226" i="1"/>
  <c r="DB226" i="1" s="1"/>
  <c r="CR184" i="1"/>
  <c r="DA184" i="1" s="1"/>
  <c r="CS184" i="1"/>
  <c r="DB184" i="1" s="1"/>
  <c r="CR196" i="1"/>
  <c r="DA196" i="1" s="1"/>
  <c r="CS196" i="1"/>
  <c r="DB196" i="1" s="1"/>
  <c r="CR77" i="1"/>
  <c r="DA77" i="1" s="1"/>
  <c r="CS77" i="1"/>
  <c r="DB77" i="1" s="1"/>
  <c r="CR53" i="1"/>
  <c r="DA53" i="1" s="1"/>
  <c r="CS53" i="1"/>
  <c r="DB53" i="1" s="1"/>
  <c r="CR291" i="1"/>
  <c r="DA291" i="1" s="1"/>
  <c r="CS291" i="1"/>
  <c r="DB291" i="1" s="1"/>
  <c r="CR181" i="1"/>
  <c r="DA181" i="1" s="1"/>
  <c r="CS181" i="1"/>
  <c r="DB181" i="1" s="1"/>
  <c r="CR215" i="1"/>
  <c r="DA215" i="1" s="1"/>
  <c r="CS215" i="1"/>
  <c r="DB215" i="1" s="1"/>
  <c r="CR182" i="1"/>
  <c r="DA182" i="1" s="1"/>
  <c r="CS182" i="1"/>
  <c r="DB182" i="1" s="1"/>
  <c r="CR209" i="1"/>
  <c r="DA209" i="1" s="1"/>
  <c r="CS209" i="1"/>
  <c r="DB209" i="1" s="1"/>
  <c r="CR277" i="1"/>
  <c r="DA277" i="1" s="1"/>
  <c r="CS277" i="1"/>
  <c r="DB277" i="1" s="1"/>
  <c r="CR208" i="1"/>
  <c r="DA208" i="1" s="1"/>
  <c r="CS208" i="1"/>
  <c r="DB208" i="1" s="1"/>
  <c r="CR186" i="1"/>
  <c r="DA186" i="1" s="1"/>
  <c r="CS186" i="1"/>
  <c r="DB186" i="1" s="1"/>
  <c r="CR331" i="1"/>
  <c r="DA331" i="1" s="1"/>
  <c r="CS331" i="1"/>
  <c r="DB331" i="1" s="1"/>
  <c r="CR332" i="1"/>
  <c r="DA332" i="1" s="1"/>
  <c r="CS332" i="1"/>
  <c r="DB332" i="1" s="1"/>
  <c r="CR333" i="1"/>
  <c r="DA333" i="1" s="1"/>
  <c r="CS333" i="1"/>
  <c r="DB333" i="1" s="1"/>
  <c r="CR334" i="1"/>
  <c r="DA334" i="1" s="1"/>
  <c r="CS334" i="1"/>
  <c r="DB334" i="1" s="1"/>
  <c r="CR335" i="1"/>
  <c r="DA335" i="1" s="1"/>
  <c r="CS335" i="1"/>
  <c r="DB335" i="1" s="1"/>
  <c r="CR336" i="1"/>
  <c r="DA336" i="1" s="1"/>
  <c r="CS336" i="1"/>
  <c r="DB336" i="1" s="1"/>
  <c r="CR337" i="1"/>
  <c r="DA337" i="1" s="1"/>
  <c r="CS337" i="1"/>
  <c r="DB337" i="1" s="1"/>
  <c r="CR338" i="1"/>
  <c r="DA338" i="1" s="1"/>
  <c r="CS338" i="1"/>
  <c r="DB338" i="1" s="1"/>
  <c r="CR339" i="1"/>
  <c r="DA339" i="1" s="1"/>
  <c r="CS339" i="1"/>
  <c r="DB339" i="1" s="1"/>
  <c r="CR340" i="1"/>
  <c r="DA340" i="1" s="1"/>
  <c r="CS340" i="1"/>
  <c r="DB340" i="1" s="1"/>
  <c r="CR341" i="1"/>
  <c r="DA341" i="1" s="1"/>
  <c r="CS341" i="1"/>
  <c r="DB341" i="1" s="1"/>
  <c r="CR342" i="1"/>
  <c r="DA342" i="1" s="1"/>
  <c r="CS342" i="1"/>
  <c r="DB342" i="1" s="1"/>
  <c r="CR343" i="1"/>
  <c r="DA343" i="1" s="1"/>
  <c r="CS343" i="1"/>
  <c r="DB343" i="1" s="1"/>
  <c r="CR344" i="1"/>
  <c r="DA344" i="1" s="1"/>
  <c r="CS344" i="1"/>
  <c r="DB344" i="1" s="1"/>
  <c r="CR345" i="1"/>
  <c r="DA345" i="1" s="1"/>
  <c r="CS345" i="1"/>
  <c r="DB345" i="1" s="1"/>
  <c r="CR346" i="1"/>
  <c r="DA346" i="1" s="1"/>
  <c r="CS346" i="1"/>
  <c r="DB346" i="1" s="1"/>
  <c r="CR347" i="1"/>
  <c r="DA347" i="1" s="1"/>
  <c r="CS347" i="1"/>
  <c r="DB347" i="1" s="1"/>
  <c r="CR348" i="1"/>
  <c r="DA348" i="1" s="1"/>
  <c r="CS348" i="1"/>
  <c r="DB348" i="1" s="1"/>
  <c r="CR349" i="1"/>
  <c r="DA349" i="1" s="1"/>
  <c r="CS349" i="1"/>
  <c r="DB349" i="1" s="1"/>
  <c r="CR350" i="1"/>
  <c r="DA350" i="1" s="1"/>
  <c r="CS350" i="1"/>
  <c r="DB350" i="1" s="1"/>
  <c r="CR351" i="1"/>
  <c r="DA351" i="1" s="1"/>
  <c r="CS351" i="1"/>
  <c r="DB351" i="1" s="1"/>
  <c r="CR352" i="1"/>
  <c r="DA352" i="1" s="1"/>
  <c r="CS352" i="1"/>
  <c r="DB352" i="1" s="1"/>
  <c r="CR353" i="1"/>
  <c r="DA353" i="1" s="1"/>
  <c r="CS353" i="1"/>
  <c r="DB353" i="1" s="1"/>
  <c r="CR354" i="1"/>
  <c r="DA354" i="1" s="1"/>
  <c r="CS354" i="1"/>
  <c r="DB354" i="1" s="1"/>
  <c r="CR355" i="1"/>
  <c r="DA355" i="1" s="1"/>
  <c r="CS355" i="1"/>
  <c r="DB355" i="1" s="1"/>
  <c r="CR356" i="1"/>
  <c r="DA356" i="1" s="1"/>
  <c r="CS356" i="1"/>
  <c r="DB356" i="1" s="1"/>
  <c r="CR357" i="1"/>
  <c r="DA357" i="1" s="1"/>
  <c r="CS357" i="1"/>
  <c r="DB357" i="1" s="1"/>
  <c r="CR358" i="1"/>
  <c r="DA358" i="1" s="1"/>
  <c r="CS358" i="1"/>
  <c r="DB358" i="1" s="1"/>
  <c r="CR359" i="1"/>
  <c r="DA359" i="1" s="1"/>
  <c r="CS359" i="1"/>
  <c r="DB359" i="1" s="1"/>
  <c r="CR360" i="1"/>
  <c r="DA360" i="1" s="1"/>
  <c r="CS360" i="1"/>
  <c r="DB360" i="1" s="1"/>
  <c r="CR361" i="1"/>
  <c r="DA361" i="1" s="1"/>
  <c r="CS361" i="1"/>
  <c r="DB361" i="1" s="1"/>
  <c r="CR362" i="1"/>
  <c r="DA362" i="1" s="1"/>
  <c r="CS362" i="1"/>
  <c r="DB362" i="1" s="1"/>
  <c r="CR363" i="1"/>
  <c r="DA363" i="1" s="1"/>
  <c r="CS363" i="1"/>
  <c r="DB363" i="1" s="1"/>
  <c r="CR364" i="1"/>
  <c r="DA364" i="1" s="1"/>
  <c r="CS364" i="1"/>
  <c r="DB364" i="1" s="1"/>
  <c r="CR365" i="1"/>
  <c r="DA365" i="1" s="1"/>
  <c r="CS365" i="1"/>
  <c r="DB365" i="1" s="1"/>
  <c r="CR366" i="1"/>
  <c r="DA366" i="1" s="1"/>
  <c r="CS366" i="1"/>
  <c r="DB366" i="1" s="1"/>
  <c r="CR367" i="1"/>
  <c r="DA367" i="1" s="1"/>
  <c r="CS367" i="1"/>
  <c r="DB367" i="1" s="1"/>
  <c r="CR368" i="1"/>
  <c r="DA368" i="1" s="1"/>
  <c r="CS368" i="1"/>
  <c r="DB368" i="1" s="1"/>
  <c r="CR369" i="1"/>
  <c r="DA369" i="1" s="1"/>
  <c r="CS369" i="1"/>
  <c r="DB369" i="1" s="1"/>
  <c r="CR370" i="1"/>
  <c r="DA370" i="1" s="1"/>
  <c r="CS370" i="1"/>
  <c r="DB370" i="1" s="1"/>
  <c r="CR371" i="1"/>
  <c r="DA371" i="1" s="1"/>
  <c r="CS371" i="1"/>
  <c r="DB371" i="1" s="1"/>
  <c r="CR372" i="1"/>
  <c r="DA372" i="1" s="1"/>
  <c r="CS372" i="1"/>
  <c r="DB372" i="1" s="1"/>
  <c r="CR373" i="1"/>
  <c r="DA373" i="1" s="1"/>
  <c r="CS373" i="1"/>
  <c r="DB373" i="1" s="1"/>
  <c r="CR374" i="1"/>
  <c r="DA374" i="1" s="1"/>
  <c r="CS374" i="1"/>
  <c r="DB374" i="1" s="1"/>
  <c r="CR375" i="1"/>
  <c r="DA375" i="1" s="1"/>
  <c r="CS375" i="1"/>
  <c r="DB375" i="1" s="1"/>
  <c r="CR376" i="1"/>
  <c r="DA376" i="1" s="1"/>
  <c r="CS376" i="1"/>
  <c r="DB376" i="1" s="1"/>
  <c r="CR377" i="1"/>
  <c r="DA377" i="1" s="1"/>
  <c r="CS377" i="1"/>
  <c r="DB377" i="1" s="1"/>
  <c r="CR378" i="1"/>
  <c r="DA378" i="1" s="1"/>
  <c r="CS378" i="1"/>
  <c r="DB378" i="1" s="1"/>
  <c r="CR379" i="1"/>
  <c r="DA379" i="1" s="1"/>
  <c r="CS379" i="1"/>
  <c r="DB379" i="1" s="1"/>
  <c r="CR380" i="1"/>
  <c r="DA380" i="1" s="1"/>
  <c r="CS380" i="1"/>
  <c r="DB380" i="1" s="1"/>
  <c r="CR381" i="1"/>
  <c r="DA381" i="1" s="1"/>
  <c r="CS381" i="1"/>
  <c r="DB381" i="1" s="1"/>
  <c r="CR382" i="1"/>
  <c r="DA382" i="1" s="1"/>
  <c r="CS382" i="1"/>
  <c r="DB382" i="1" s="1"/>
  <c r="CR383" i="1"/>
  <c r="DA383" i="1" s="1"/>
  <c r="CS383" i="1"/>
  <c r="DB383" i="1" s="1"/>
  <c r="CR384" i="1"/>
  <c r="DA384" i="1" s="1"/>
  <c r="CS384" i="1"/>
  <c r="DB384" i="1" s="1"/>
  <c r="CR385" i="1"/>
  <c r="DA385" i="1" s="1"/>
  <c r="CS385" i="1"/>
  <c r="DB385" i="1" s="1"/>
  <c r="CR386" i="1"/>
  <c r="DA386" i="1" s="1"/>
  <c r="CS386" i="1"/>
  <c r="DB386" i="1" s="1"/>
  <c r="CR387" i="1"/>
  <c r="DA387" i="1" s="1"/>
  <c r="CS387" i="1"/>
  <c r="DB387" i="1" s="1"/>
  <c r="CR388" i="1"/>
  <c r="DA388" i="1" s="1"/>
  <c r="CS388" i="1"/>
  <c r="DB388" i="1" s="1"/>
  <c r="CR389" i="1"/>
  <c r="DA389" i="1" s="1"/>
  <c r="CS389" i="1"/>
  <c r="DB389" i="1" s="1"/>
  <c r="CR390" i="1"/>
  <c r="DA390" i="1" s="1"/>
  <c r="CS390" i="1"/>
  <c r="DB390" i="1" s="1"/>
  <c r="CR391" i="1"/>
  <c r="DA391" i="1" s="1"/>
  <c r="CS391" i="1"/>
  <c r="DB391" i="1" s="1"/>
  <c r="CR392" i="1"/>
  <c r="DA392" i="1" s="1"/>
  <c r="CS392" i="1"/>
  <c r="DB392" i="1" s="1"/>
  <c r="CR393" i="1"/>
  <c r="DA393" i="1" s="1"/>
  <c r="CS393" i="1"/>
  <c r="DB393" i="1" s="1"/>
  <c r="CR394" i="1"/>
  <c r="DA394" i="1" s="1"/>
  <c r="CS394" i="1"/>
  <c r="DB394" i="1" s="1"/>
  <c r="CR395" i="1"/>
  <c r="DA395" i="1" s="1"/>
  <c r="CS395" i="1"/>
  <c r="DB395" i="1" s="1"/>
  <c r="CR396" i="1"/>
  <c r="DA396" i="1" s="1"/>
  <c r="CS396" i="1"/>
  <c r="DB396" i="1" s="1"/>
  <c r="CR397" i="1"/>
  <c r="DA397" i="1" s="1"/>
  <c r="CS397" i="1"/>
  <c r="DB397" i="1" s="1"/>
  <c r="CR398" i="1"/>
  <c r="DA398" i="1" s="1"/>
  <c r="CS398" i="1"/>
  <c r="DB398" i="1" s="1"/>
  <c r="CR399" i="1"/>
  <c r="DA399" i="1" s="1"/>
  <c r="CS399" i="1"/>
  <c r="DB399" i="1" s="1"/>
  <c r="CR400" i="1"/>
  <c r="DA400" i="1" s="1"/>
  <c r="CS400" i="1"/>
  <c r="DB400" i="1" s="1"/>
  <c r="CR401" i="1"/>
  <c r="DA401" i="1" s="1"/>
  <c r="CS401" i="1"/>
  <c r="DB401" i="1" s="1"/>
  <c r="CR402" i="1"/>
  <c r="DA402" i="1" s="1"/>
  <c r="CS402" i="1"/>
  <c r="DB402" i="1" s="1"/>
  <c r="CR403" i="1"/>
  <c r="DA403" i="1" s="1"/>
  <c r="CS403" i="1"/>
  <c r="DB403" i="1" s="1"/>
  <c r="CR404" i="1"/>
  <c r="DA404" i="1" s="1"/>
  <c r="CS404" i="1"/>
  <c r="DB404" i="1" s="1"/>
  <c r="CR405" i="1"/>
  <c r="DA405" i="1" s="1"/>
  <c r="CS405" i="1"/>
  <c r="DB405" i="1" s="1"/>
  <c r="CR406" i="1"/>
  <c r="DA406" i="1" s="1"/>
  <c r="CS406" i="1"/>
  <c r="DB406" i="1" s="1"/>
  <c r="CR407" i="1"/>
  <c r="DA407" i="1" s="1"/>
  <c r="CS407" i="1"/>
  <c r="DB407" i="1" s="1"/>
  <c r="CR408" i="1"/>
  <c r="DA408" i="1" s="1"/>
  <c r="CS408" i="1"/>
  <c r="DB408" i="1" s="1"/>
  <c r="CR409" i="1"/>
  <c r="DA409" i="1" s="1"/>
  <c r="CS409" i="1"/>
  <c r="DB409" i="1" s="1"/>
  <c r="CR410" i="1"/>
  <c r="DA410" i="1" s="1"/>
  <c r="CS410" i="1"/>
  <c r="DB410" i="1" s="1"/>
  <c r="CR411" i="1"/>
  <c r="DA411" i="1" s="1"/>
  <c r="CS411" i="1"/>
  <c r="DB411" i="1" s="1"/>
  <c r="CR412" i="1"/>
  <c r="DA412" i="1" s="1"/>
  <c r="CS412" i="1"/>
  <c r="DB412" i="1" s="1"/>
  <c r="CR413" i="1"/>
  <c r="DA413" i="1" s="1"/>
  <c r="CS413" i="1"/>
  <c r="DB413" i="1" s="1"/>
  <c r="CR414" i="1"/>
  <c r="DA414" i="1" s="1"/>
  <c r="CS414" i="1"/>
  <c r="DB414" i="1" s="1"/>
  <c r="CR415" i="1"/>
  <c r="DA415" i="1" s="1"/>
  <c r="CS415" i="1"/>
  <c r="DB415" i="1" s="1"/>
  <c r="CR416" i="1"/>
  <c r="DA416" i="1" s="1"/>
  <c r="CS416" i="1"/>
  <c r="DB416" i="1" s="1"/>
  <c r="CR417" i="1"/>
  <c r="DA417" i="1" s="1"/>
  <c r="CS417" i="1"/>
  <c r="DB417" i="1" s="1"/>
  <c r="CR418" i="1"/>
  <c r="DA418" i="1" s="1"/>
  <c r="CS418" i="1"/>
  <c r="DB418" i="1" s="1"/>
  <c r="CR419" i="1"/>
  <c r="DA419" i="1" s="1"/>
  <c r="CS419" i="1"/>
  <c r="DB419" i="1" s="1"/>
  <c r="CR420" i="1"/>
  <c r="DA420" i="1" s="1"/>
  <c r="CS420" i="1"/>
  <c r="DB420" i="1" s="1"/>
  <c r="CR421" i="1"/>
  <c r="DA421" i="1" s="1"/>
  <c r="CS421" i="1"/>
  <c r="DB421" i="1" s="1"/>
  <c r="CR422" i="1"/>
  <c r="DA422" i="1" s="1"/>
  <c r="CS422" i="1"/>
  <c r="DB422" i="1" s="1"/>
  <c r="CR423" i="1"/>
  <c r="DA423" i="1" s="1"/>
  <c r="CS423" i="1"/>
  <c r="DB423" i="1" s="1"/>
  <c r="CR424" i="1"/>
  <c r="DA424" i="1" s="1"/>
  <c r="CS424" i="1"/>
  <c r="DB424" i="1" s="1"/>
  <c r="CR425" i="1"/>
  <c r="DA425" i="1" s="1"/>
  <c r="CS425" i="1"/>
  <c r="DB425" i="1" s="1"/>
  <c r="CR426" i="1"/>
  <c r="DA426" i="1" s="1"/>
  <c r="CS426" i="1"/>
  <c r="DB426" i="1" s="1"/>
  <c r="CR427" i="1"/>
  <c r="DA427" i="1" s="1"/>
  <c r="CS427" i="1"/>
  <c r="DB427" i="1" s="1"/>
  <c r="CR428" i="1"/>
  <c r="DA428" i="1" s="1"/>
  <c r="CS428" i="1"/>
  <c r="DB428" i="1" s="1"/>
  <c r="CR429" i="1"/>
  <c r="DA429" i="1" s="1"/>
  <c r="CS429" i="1"/>
  <c r="DB429" i="1" s="1"/>
  <c r="CR430" i="1"/>
  <c r="DA430" i="1" s="1"/>
  <c r="CS430" i="1"/>
  <c r="DB430" i="1" s="1"/>
  <c r="CR431" i="1"/>
  <c r="DA431" i="1" s="1"/>
  <c r="CS431" i="1"/>
  <c r="DB431" i="1" s="1"/>
  <c r="CR432" i="1"/>
  <c r="DA432" i="1" s="1"/>
  <c r="CS432" i="1"/>
  <c r="DB432" i="1" s="1"/>
  <c r="CR433" i="1"/>
  <c r="DA433" i="1" s="1"/>
  <c r="CS433" i="1"/>
  <c r="DB433" i="1" s="1"/>
  <c r="CR434" i="1"/>
  <c r="DA434" i="1" s="1"/>
  <c r="CS434" i="1"/>
  <c r="DB434" i="1" s="1"/>
  <c r="CR435" i="1"/>
  <c r="DA435" i="1" s="1"/>
  <c r="CS435" i="1"/>
  <c r="DB435" i="1" s="1"/>
  <c r="CR436" i="1"/>
  <c r="DA436" i="1" s="1"/>
  <c r="CS436" i="1"/>
  <c r="DB436" i="1" s="1"/>
  <c r="CR437" i="1"/>
  <c r="DA437" i="1" s="1"/>
  <c r="CS437" i="1"/>
  <c r="DB437" i="1" s="1"/>
  <c r="CR154" i="1"/>
  <c r="DA154" i="1" s="1"/>
  <c r="CS154" i="1"/>
  <c r="DB154" i="1" s="1"/>
  <c r="CR251" i="1"/>
  <c r="DA251" i="1" s="1"/>
  <c r="CS251" i="1"/>
  <c r="DB251" i="1" s="1"/>
  <c r="CR438" i="1"/>
  <c r="DA438" i="1" s="1"/>
  <c r="CS438" i="1"/>
  <c r="DB438" i="1" s="1"/>
  <c r="CR439" i="1"/>
  <c r="DA439" i="1" s="1"/>
  <c r="CS439" i="1"/>
  <c r="DB439" i="1" s="1"/>
  <c r="CR8" i="1"/>
  <c r="DA8" i="1" s="1"/>
  <c r="CS8" i="1"/>
  <c r="DB8" i="1" s="1"/>
  <c r="CR440" i="1"/>
  <c r="DA440" i="1" s="1"/>
  <c r="CS440" i="1"/>
  <c r="DB440" i="1" s="1"/>
  <c r="CR441" i="1"/>
  <c r="DA441" i="1" s="1"/>
  <c r="CS441" i="1"/>
  <c r="DB441" i="1" s="1"/>
  <c r="CR163" i="1"/>
  <c r="DA163" i="1" s="1"/>
  <c r="CS163" i="1"/>
  <c r="DB163" i="1" s="1"/>
  <c r="CR319" i="1"/>
  <c r="DA319" i="1" s="1"/>
  <c r="CS319" i="1"/>
  <c r="DB319" i="1" s="1"/>
  <c r="CR442" i="1"/>
  <c r="DA442" i="1" s="1"/>
  <c r="CS442" i="1"/>
  <c r="DB442" i="1" s="1"/>
  <c r="CR443" i="1"/>
  <c r="DA443" i="1" s="1"/>
  <c r="CS443" i="1"/>
  <c r="DB443" i="1" s="1"/>
  <c r="CR239" i="1"/>
  <c r="DA239" i="1" s="1"/>
  <c r="CS239" i="1"/>
  <c r="DB239" i="1" s="1"/>
  <c r="CR444" i="1"/>
  <c r="DA444" i="1" s="1"/>
  <c r="CS444" i="1"/>
  <c r="DB444" i="1" s="1"/>
  <c r="CR294" i="1"/>
  <c r="DA294" i="1" s="1"/>
  <c r="CS294" i="1"/>
  <c r="DB294" i="1" s="1"/>
  <c r="CR236" i="1"/>
  <c r="DA236" i="1" s="1"/>
  <c r="CS236" i="1"/>
  <c r="DB236" i="1" s="1"/>
  <c r="CR320" i="1"/>
  <c r="DA320" i="1" s="1"/>
  <c r="CS320" i="1"/>
  <c r="DB320" i="1" s="1"/>
  <c r="CR323" i="1"/>
  <c r="DA323" i="1" s="1"/>
  <c r="CS323" i="1"/>
  <c r="DB323" i="1" s="1"/>
  <c r="CR329" i="1"/>
  <c r="DA329" i="1" s="1"/>
  <c r="CS329" i="1"/>
  <c r="DB329" i="1" s="1"/>
  <c r="CR173" i="1"/>
  <c r="DA173" i="1" s="1"/>
  <c r="CS173" i="1"/>
  <c r="DB173" i="1" s="1"/>
  <c r="CR130" i="1"/>
  <c r="DA130" i="1" s="1"/>
  <c r="CS130" i="1"/>
  <c r="DB130" i="1" s="1"/>
  <c r="CR445" i="1"/>
  <c r="DA445" i="1" s="1"/>
  <c r="CS445" i="1"/>
  <c r="DB445" i="1" s="1"/>
  <c r="CR238" i="1"/>
  <c r="DA238" i="1" s="1"/>
  <c r="CS238" i="1"/>
  <c r="DB238" i="1" s="1"/>
  <c r="CR234" i="1"/>
  <c r="DA234" i="1" s="1"/>
  <c r="CS234" i="1"/>
  <c r="DB234" i="1" s="1"/>
  <c r="CR235" i="1"/>
  <c r="DA235" i="1" s="1"/>
  <c r="CS235" i="1"/>
  <c r="DB235" i="1" s="1"/>
  <c r="CR326" i="1"/>
  <c r="DA326" i="1" s="1"/>
  <c r="CS326" i="1"/>
  <c r="DB326" i="1" s="1"/>
  <c r="CR446" i="1"/>
  <c r="DA446" i="1" s="1"/>
  <c r="CS446" i="1"/>
  <c r="DB446" i="1" s="1"/>
  <c r="CR447" i="1"/>
  <c r="DA447" i="1" s="1"/>
  <c r="CS447" i="1"/>
  <c r="DB447" i="1" s="1"/>
  <c r="CR448" i="1"/>
  <c r="DA448" i="1" s="1"/>
  <c r="CS448" i="1"/>
  <c r="DB448" i="1" s="1"/>
  <c r="CR237" i="1"/>
  <c r="DA237" i="1" s="1"/>
  <c r="CS237" i="1"/>
  <c r="DB237" i="1" s="1"/>
  <c r="CR321" i="1"/>
  <c r="DA321" i="1" s="1"/>
  <c r="CS321" i="1"/>
  <c r="DB321" i="1" s="1"/>
  <c r="CR330" i="1"/>
  <c r="DA330" i="1" s="1"/>
  <c r="CS330" i="1"/>
  <c r="DB330" i="1" s="1"/>
  <c r="CR449" i="1"/>
  <c r="DA449" i="1" s="1"/>
  <c r="CS449" i="1"/>
  <c r="DB449" i="1" s="1"/>
  <c r="CR328" i="1"/>
  <c r="DA328" i="1" s="1"/>
  <c r="CS328" i="1"/>
  <c r="DB328" i="1" s="1"/>
  <c r="CR450" i="1"/>
  <c r="DA450" i="1" s="1"/>
  <c r="CS450" i="1"/>
  <c r="DB450" i="1" s="1"/>
  <c r="CR322" i="1"/>
  <c r="DA322" i="1" s="1"/>
  <c r="CS322" i="1"/>
  <c r="DB322" i="1" s="1"/>
  <c r="CR451" i="1"/>
  <c r="DA451" i="1" s="1"/>
  <c r="CS451" i="1"/>
  <c r="DB451" i="1" s="1"/>
  <c r="CR452" i="1"/>
  <c r="DA452" i="1" s="1"/>
  <c r="CS452" i="1"/>
  <c r="DB452" i="1" s="1"/>
  <c r="CR453" i="1"/>
  <c r="DA453" i="1" s="1"/>
  <c r="CS453" i="1"/>
  <c r="DB453" i="1" s="1"/>
  <c r="CR454" i="1"/>
  <c r="DA454" i="1" s="1"/>
  <c r="CS454" i="1"/>
  <c r="DB454" i="1" s="1"/>
  <c r="CR455" i="1"/>
  <c r="DA455" i="1" s="1"/>
  <c r="CS455" i="1"/>
  <c r="DB455" i="1" s="1"/>
  <c r="CR456" i="1"/>
  <c r="DA456" i="1" s="1"/>
  <c r="CS456" i="1"/>
  <c r="DB456" i="1" s="1"/>
  <c r="CR457" i="1"/>
  <c r="DA457" i="1" s="1"/>
  <c r="CS457" i="1"/>
  <c r="DB457" i="1" s="1"/>
  <c r="CR458" i="1"/>
  <c r="DA458" i="1" s="1"/>
  <c r="CS458" i="1"/>
  <c r="DB458" i="1" s="1"/>
  <c r="CR459" i="1"/>
  <c r="DA459" i="1" s="1"/>
  <c r="CS459" i="1"/>
  <c r="DB459" i="1" s="1"/>
  <c r="CR460" i="1"/>
  <c r="DA460" i="1" s="1"/>
  <c r="CS460" i="1"/>
  <c r="DB460" i="1" s="1"/>
  <c r="CR461" i="1"/>
  <c r="DA461" i="1" s="1"/>
  <c r="CS461" i="1"/>
  <c r="DB461" i="1" s="1"/>
  <c r="CR462" i="1"/>
  <c r="DA462" i="1" s="1"/>
  <c r="CS462" i="1"/>
  <c r="DB462" i="1" s="1"/>
  <c r="CR463" i="1"/>
  <c r="DA463" i="1" s="1"/>
  <c r="CS463" i="1"/>
  <c r="DB463" i="1" s="1"/>
  <c r="CR327" i="1"/>
  <c r="DA327" i="1" s="1"/>
  <c r="CS327" i="1"/>
  <c r="DB327" i="1" s="1"/>
  <c r="CR324" i="1"/>
  <c r="DA324" i="1" s="1"/>
  <c r="CS324" i="1"/>
  <c r="DB324" i="1" s="1"/>
  <c r="CR325" i="1"/>
  <c r="DA325" i="1" s="1"/>
  <c r="CS325" i="1"/>
  <c r="DB325" i="1" s="1"/>
  <c r="CR464" i="1"/>
  <c r="DA464" i="1" s="1"/>
  <c r="CS464" i="1"/>
  <c r="DB464" i="1" s="1"/>
  <c r="CR465" i="1"/>
  <c r="DA465" i="1" s="1"/>
  <c r="CS465" i="1"/>
  <c r="DB465" i="1" s="1"/>
  <c r="CC58" i="1"/>
  <c r="CO58" i="1" s="1"/>
  <c r="CD58" i="1"/>
  <c r="CP58" i="1" s="1"/>
  <c r="CC298" i="1"/>
  <c r="CO298" i="1" s="1"/>
  <c r="CD298" i="1"/>
  <c r="CP298" i="1" s="1"/>
  <c r="CC20" i="1"/>
  <c r="CO20" i="1" s="1"/>
  <c r="CD20" i="1"/>
  <c r="CP20" i="1" s="1"/>
  <c r="CC5" i="1"/>
  <c r="CO5" i="1" s="1"/>
  <c r="CD5" i="1"/>
  <c r="CP5" i="1" s="1"/>
  <c r="CC49" i="1"/>
  <c r="CO49" i="1" s="1"/>
  <c r="CD49" i="1"/>
  <c r="CP49" i="1" s="1"/>
  <c r="CC112" i="1"/>
  <c r="CO112" i="1" s="1"/>
  <c r="CD112" i="1"/>
  <c r="CP112" i="1" s="1"/>
  <c r="CC222" i="1"/>
  <c r="CO222" i="1" s="1"/>
  <c r="CD222" i="1"/>
  <c r="CP222" i="1" s="1"/>
  <c r="CC295" i="1"/>
  <c r="CO295" i="1" s="1"/>
  <c r="CD295" i="1"/>
  <c r="CP295" i="1" s="1"/>
  <c r="CC72" i="1"/>
  <c r="CO72" i="1" s="1"/>
  <c r="CD72" i="1"/>
  <c r="CP72" i="1" s="1"/>
  <c r="CC80" i="1"/>
  <c r="CO80" i="1" s="1"/>
  <c r="CD80" i="1"/>
  <c r="CP80" i="1" s="1"/>
  <c r="CC88" i="1"/>
  <c r="CO88" i="1" s="1"/>
  <c r="CD88" i="1"/>
  <c r="CP88" i="1" s="1"/>
  <c r="CC57" i="1"/>
  <c r="CO57" i="1" s="1"/>
  <c r="CD57" i="1"/>
  <c r="CP57" i="1" s="1"/>
  <c r="CC18" i="1"/>
  <c r="CO18" i="1" s="1"/>
  <c r="CD18" i="1"/>
  <c r="CP18" i="1" s="1"/>
  <c r="CC254" i="1"/>
  <c r="CO254" i="1" s="1"/>
  <c r="CD254" i="1"/>
  <c r="CP254" i="1" s="1"/>
  <c r="CC24" i="1"/>
  <c r="CO24" i="1" s="1"/>
  <c r="CD24" i="1"/>
  <c r="CP24" i="1" s="1"/>
  <c r="CC75" i="1"/>
  <c r="CO75" i="1" s="1"/>
  <c r="CD75" i="1"/>
  <c r="CP75" i="1" s="1"/>
  <c r="CC121" i="1"/>
  <c r="CO121" i="1" s="1"/>
  <c r="CD121" i="1"/>
  <c r="CP121" i="1" s="1"/>
  <c r="CC247" i="1"/>
  <c r="CO247" i="1" s="1"/>
  <c r="CD247" i="1"/>
  <c r="CP247" i="1" s="1"/>
  <c r="CC296" i="1"/>
  <c r="CO296" i="1" s="1"/>
  <c r="CD296" i="1"/>
  <c r="CP296" i="1" s="1"/>
  <c r="CC266" i="1"/>
  <c r="CO266" i="1" s="1"/>
  <c r="CD266" i="1"/>
  <c r="CP266" i="1" s="1"/>
  <c r="CC228" i="1"/>
  <c r="CO228" i="1" s="1"/>
  <c r="CD228" i="1"/>
  <c r="CP228" i="1" s="1"/>
  <c r="CC149" i="1"/>
  <c r="CO149" i="1" s="1"/>
  <c r="CD149" i="1"/>
  <c r="CP149" i="1" s="1"/>
  <c r="CC25" i="1"/>
  <c r="CO25" i="1" s="1"/>
  <c r="CD25" i="1"/>
  <c r="CP25" i="1" s="1"/>
  <c r="CC23" i="1"/>
  <c r="CO23" i="1" s="1"/>
  <c r="CD23" i="1"/>
  <c r="CP23" i="1" s="1"/>
  <c r="CC82" i="1"/>
  <c r="CO82" i="1" s="1"/>
  <c r="CD82" i="1"/>
  <c r="CP82" i="1" s="1"/>
  <c r="CC62" i="1"/>
  <c r="CD62" i="1"/>
  <c r="CC33" i="1"/>
  <c r="CO33" i="1" s="1"/>
  <c r="CD33" i="1"/>
  <c r="CP33" i="1" s="1"/>
  <c r="CC27" i="1"/>
  <c r="CO27" i="1" s="1"/>
  <c r="CD27" i="1"/>
  <c r="CP27" i="1" s="1"/>
  <c r="CC91" i="1"/>
  <c r="CO91" i="1" s="1"/>
  <c r="CD91" i="1"/>
  <c r="CP91" i="1" s="1"/>
  <c r="CC133" i="1"/>
  <c r="CO133" i="1" s="1"/>
  <c r="CD133" i="1"/>
  <c r="CP133" i="1" s="1"/>
  <c r="CC232" i="1"/>
  <c r="CO232" i="1" s="1"/>
  <c r="CD232" i="1"/>
  <c r="CP232" i="1" s="1"/>
  <c r="CC28" i="1"/>
  <c r="CO28" i="1" s="1"/>
  <c r="CD28" i="1"/>
  <c r="CP28" i="1" s="1"/>
  <c r="CC81" i="1"/>
  <c r="CO81" i="1" s="1"/>
  <c r="CD81" i="1"/>
  <c r="CP81" i="1" s="1"/>
  <c r="CC16" i="1"/>
  <c r="CO16" i="1" s="1"/>
  <c r="CD16" i="1"/>
  <c r="CP16" i="1" s="1"/>
  <c r="CC56" i="1"/>
  <c r="CO56" i="1" s="1"/>
  <c r="CD56" i="1"/>
  <c r="CP56" i="1" s="1"/>
  <c r="CC128" i="1"/>
  <c r="CO128" i="1" s="1"/>
  <c r="CD128" i="1"/>
  <c r="CP128" i="1" s="1"/>
  <c r="CC63" i="1"/>
  <c r="CO63" i="1" s="1"/>
  <c r="CD63" i="1"/>
  <c r="CP63" i="1" s="1"/>
  <c r="CC151" i="1"/>
  <c r="CO151" i="1" s="1"/>
  <c r="CD151" i="1"/>
  <c r="CP151" i="1" s="1"/>
  <c r="CC220" i="1"/>
  <c r="CO220" i="1" s="1"/>
  <c r="CD220" i="1"/>
  <c r="CP220" i="1" s="1"/>
  <c r="CC257" i="1"/>
  <c r="CO257" i="1" s="1"/>
  <c r="CD257" i="1"/>
  <c r="CP257" i="1" s="1"/>
  <c r="CC275" i="1"/>
  <c r="CO275" i="1" s="1"/>
  <c r="CD275" i="1"/>
  <c r="CP275" i="1" s="1"/>
  <c r="CC147" i="1"/>
  <c r="CO147" i="1" s="1"/>
  <c r="CD147" i="1"/>
  <c r="CP147" i="1" s="1"/>
  <c r="CC84" i="1"/>
  <c r="CO84" i="1" s="1"/>
  <c r="CD84" i="1"/>
  <c r="CP84" i="1" s="1"/>
  <c r="CC71" i="1"/>
  <c r="CO71" i="1" s="1"/>
  <c r="CD71" i="1"/>
  <c r="CP71" i="1" s="1"/>
  <c r="CC55" i="1"/>
  <c r="CO55" i="1" s="1"/>
  <c r="CD55" i="1"/>
  <c r="CP55" i="1" s="1"/>
  <c r="CC86" i="1"/>
  <c r="CO86" i="1" s="1"/>
  <c r="CD86" i="1"/>
  <c r="CP86" i="1" s="1"/>
  <c r="CC102" i="1"/>
  <c r="CO102" i="1" s="1"/>
  <c r="CD102" i="1"/>
  <c r="CP102" i="1" s="1"/>
  <c r="CC48" i="1"/>
  <c r="CO48" i="1" s="1"/>
  <c r="CD48" i="1"/>
  <c r="CP48" i="1" s="1"/>
  <c r="CC150" i="1"/>
  <c r="CO150" i="1" s="1"/>
  <c r="CD150" i="1"/>
  <c r="CP150" i="1" s="1"/>
  <c r="CC54" i="1"/>
  <c r="CO54" i="1" s="1"/>
  <c r="CD54" i="1"/>
  <c r="CP54" i="1" s="1"/>
  <c r="CC252" i="1"/>
  <c r="CO252" i="1" s="1"/>
  <c r="CD252" i="1"/>
  <c r="CP252" i="1" s="1"/>
  <c r="CC132" i="1"/>
  <c r="CO132" i="1" s="1"/>
  <c r="CD132" i="1"/>
  <c r="CP132" i="1" s="1"/>
  <c r="CC32" i="1"/>
  <c r="CO32" i="1" s="1"/>
  <c r="CD32" i="1"/>
  <c r="CP32" i="1" s="1"/>
  <c r="CC51" i="1"/>
  <c r="CO51" i="1" s="1"/>
  <c r="CD51" i="1"/>
  <c r="CP51" i="1" s="1"/>
  <c r="CC244" i="1"/>
  <c r="CO244" i="1" s="1"/>
  <c r="CD244" i="1"/>
  <c r="CP244" i="1" s="1"/>
  <c r="CC38" i="1"/>
  <c r="CO38" i="1" s="1"/>
  <c r="CD38" i="1"/>
  <c r="CP38" i="1" s="1"/>
  <c r="CC40" i="1"/>
  <c r="CO40" i="1" s="1"/>
  <c r="CD40" i="1"/>
  <c r="CP40" i="1" s="1"/>
  <c r="CC9" i="1"/>
  <c r="CO9" i="1" s="1"/>
  <c r="CD9" i="1"/>
  <c r="CP9" i="1" s="1"/>
  <c r="CC99" i="1"/>
  <c r="CO99" i="1" s="1"/>
  <c r="CD99" i="1"/>
  <c r="CP99" i="1" s="1"/>
  <c r="CC17" i="1"/>
  <c r="CO17" i="1" s="1"/>
  <c r="CD17" i="1"/>
  <c r="CP17" i="1" s="1"/>
  <c r="CC198" i="1"/>
  <c r="CO198" i="1" s="1"/>
  <c r="CD198" i="1"/>
  <c r="CP198" i="1" s="1"/>
  <c r="CC265" i="1"/>
  <c r="CO265" i="1" s="1"/>
  <c r="CD265" i="1"/>
  <c r="CP265" i="1" s="1"/>
  <c r="CC64" i="1"/>
  <c r="CO64" i="1" s="1"/>
  <c r="CD64" i="1"/>
  <c r="CP64" i="1" s="1"/>
  <c r="CC141" i="1"/>
  <c r="CO141" i="1" s="1"/>
  <c r="CD141" i="1"/>
  <c r="CP141" i="1" s="1"/>
  <c r="CC90" i="1"/>
  <c r="CO90" i="1" s="1"/>
  <c r="CD90" i="1"/>
  <c r="CP90" i="1" s="1"/>
  <c r="CC30" i="1"/>
  <c r="CO30" i="1" s="1"/>
  <c r="CD30" i="1"/>
  <c r="CP30" i="1" s="1"/>
  <c r="CC76" i="1"/>
  <c r="CO76" i="1" s="1"/>
  <c r="CD76" i="1"/>
  <c r="CP76" i="1" s="1"/>
  <c r="CC46" i="1"/>
  <c r="CO46" i="1" s="1"/>
  <c r="CD46" i="1"/>
  <c r="CP46" i="1" s="1"/>
  <c r="CC159" i="1"/>
  <c r="CO159" i="1" s="1"/>
  <c r="CD159" i="1"/>
  <c r="CP159" i="1" s="1"/>
  <c r="CC138" i="1"/>
  <c r="CO138" i="1" s="1"/>
  <c r="CD138" i="1"/>
  <c r="CP138" i="1" s="1"/>
  <c r="CC31" i="1"/>
  <c r="CO31" i="1" s="1"/>
  <c r="CD31" i="1"/>
  <c r="CP31" i="1" s="1"/>
  <c r="CC245" i="1"/>
  <c r="CO245" i="1" s="1"/>
  <c r="CD245" i="1"/>
  <c r="CP245" i="1" s="1"/>
  <c r="CC161" i="1"/>
  <c r="CO161" i="1" s="1"/>
  <c r="CD161" i="1"/>
  <c r="CP161" i="1" s="1"/>
  <c r="CC61" i="1"/>
  <c r="CO61" i="1" s="1"/>
  <c r="CD61" i="1"/>
  <c r="CP61" i="1" s="1"/>
  <c r="CC11" i="1"/>
  <c r="CO11" i="1" s="1"/>
  <c r="CD11" i="1"/>
  <c r="CP11" i="1" s="1"/>
  <c r="CC221" i="1"/>
  <c r="CO221" i="1" s="1"/>
  <c r="CD221" i="1"/>
  <c r="CP221" i="1" s="1"/>
  <c r="CC50" i="1"/>
  <c r="CO50" i="1" s="1"/>
  <c r="CD50" i="1"/>
  <c r="CP50" i="1" s="1"/>
  <c r="CC118" i="1"/>
  <c r="CO118" i="1" s="1"/>
  <c r="CD118" i="1"/>
  <c r="CP118" i="1" s="1"/>
  <c r="CC169" i="1"/>
  <c r="CO169" i="1" s="1"/>
  <c r="CD169" i="1"/>
  <c r="CP169" i="1" s="1"/>
  <c r="CC22" i="1"/>
  <c r="CO22" i="1" s="1"/>
  <c r="CD22" i="1"/>
  <c r="CP22" i="1" s="1"/>
  <c r="CC87" i="1"/>
  <c r="CO87" i="1" s="1"/>
  <c r="CD87" i="1"/>
  <c r="CP87" i="1" s="1"/>
  <c r="CC123" i="1"/>
  <c r="CO123" i="1" s="1"/>
  <c r="CD123" i="1"/>
  <c r="CP123" i="1" s="1"/>
  <c r="CC115" i="1"/>
  <c r="CO115" i="1" s="1"/>
  <c r="CD115" i="1"/>
  <c r="CP115" i="1" s="1"/>
  <c r="CC194" i="1"/>
  <c r="CO194" i="1" s="1"/>
  <c r="CD194" i="1"/>
  <c r="CP194" i="1" s="1"/>
  <c r="CC21" i="1"/>
  <c r="CO21" i="1" s="1"/>
  <c r="CD21" i="1"/>
  <c r="CP21" i="1" s="1"/>
  <c r="CC286" i="1"/>
  <c r="CO286" i="1" s="1"/>
  <c r="CD286" i="1"/>
  <c r="CP286" i="1" s="1"/>
  <c r="CC241" i="1"/>
  <c r="CO241" i="1" s="1"/>
  <c r="CD241" i="1"/>
  <c r="CP241" i="1" s="1"/>
  <c r="CC37" i="1"/>
  <c r="CO37" i="1" s="1"/>
  <c r="CD37" i="1"/>
  <c r="CP37" i="1" s="1"/>
  <c r="CC218" i="1"/>
  <c r="CO218" i="1" s="1"/>
  <c r="CD218" i="1"/>
  <c r="CP218" i="1" s="1"/>
  <c r="CC299" i="1"/>
  <c r="CO299" i="1" s="1"/>
  <c r="CD299" i="1"/>
  <c r="CP299" i="1" s="1"/>
  <c r="CC68" i="1"/>
  <c r="CO68" i="1" s="1"/>
  <c r="CD68" i="1"/>
  <c r="CP68" i="1" s="1"/>
  <c r="CC211" i="1"/>
  <c r="CO211" i="1" s="1"/>
  <c r="CD211" i="1"/>
  <c r="CP211" i="1" s="1"/>
  <c r="CC94" i="1"/>
  <c r="CO94" i="1" s="1"/>
  <c r="CD94" i="1"/>
  <c r="CP94" i="1" s="1"/>
  <c r="CC199" i="1"/>
  <c r="CO199" i="1" s="1"/>
  <c r="CD199" i="1"/>
  <c r="CP199" i="1" s="1"/>
  <c r="CC263" i="1"/>
  <c r="CO263" i="1" s="1"/>
  <c r="CD263" i="1"/>
  <c r="CP263" i="1" s="1"/>
  <c r="CC164" i="1"/>
  <c r="CO164" i="1" s="1"/>
  <c r="CD164" i="1"/>
  <c r="CP164" i="1" s="1"/>
  <c r="CC127" i="1"/>
  <c r="CO127" i="1" s="1"/>
  <c r="CD127" i="1"/>
  <c r="CP127" i="1" s="1"/>
  <c r="CC85" i="1"/>
  <c r="CO85" i="1" s="1"/>
  <c r="CD85" i="1"/>
  <c r="CP85" i="1" s="1"/>
  <c r="CC281" i="1"/>
  <c r="CO281" i="1" s="1"/>
  <c r="CD281" i="1"/>
  <c r="CP281" i="1" s="1"/>
  <c r="CC142" i="1"/>
  <c r="CO142" i="1" s="1"/>
  <c r="CD142" i="1"/>
  <c r="CP142" i="1" s="1"/>
  <c r="CC97" i="1"/>
  <c r="CO97" i="1" s="1"/>
  <c r="CD97" i="1"/>
  <c r="CP97" i="1" s="1"/>
  <c r="CC39" i="1"/>
  <c r="CO39" i="1" s="1"/>
  <c r="CD39" i="1"/>
  <c r="CP39" i="1" s="1"/>
  <c r="CC92" i="1"/>
  <c r="CO92" i="1" s="1"/>
  <c r="CD92" i="1"/>
  <c r="CP92" i="1" s="1"/>
  <c r="CC19" i="1"/>
  <c r="CO19" i="1" s="1"/>
  <c r="CD19" i="1"/>
  <c r="CP19" i="1" s="1"/>
  <c r="CC106" i="1"/>
  <c r="CO106" i="1" s="1"/>
  <c r="CD106" i="1"/>
  <c r="CP106" i="1" s="1"/>
  <c r="CC59" i="1"/>
  <c r="CO59" i="1" s="1"/>
  <c r="CD59" i="1"/>
  <c r="CP59" i="1" s="1"/>
  <c r="CC210" i="1"/>
  <c r="CO210" i="1" s="1"/>
  <c r="CD210" i="1"/>
  <c r="CP210" i="1" s="1"/>
  <c r="CC34" i="1"/>
  <c r="CO34" i="1" s="1"/>
  <c r="CD34" i="1"/>
  <c r="CP34" i="1" s="1"/>
  <c r="CC117" i="1"/>
  <c r="CO117" i="1" s="1"/>
  <c r="CD117" i="1"/>
  <c r="CP117" i="1" s="1"/>
  <c r="CC248" i="1"/>
  <c r="CO248" i="1" s="1"/>
  <c r="CD248" i="1"/>
  <c r="CP248" i="1" s="1"/>
  <c r="CC96" i="1"/>
  <c r="CO96" i="1" s="1"/>
  <c r="CD96" i="1"/>
  <c r="CP96" i="1" s="1"/>
  <c r="CC253" i="1"/>
  <c r="CO253" i="1" s="1"/>
  <c r="CD253" i="1"/>
  <c r="CP253" i="1" s="1"/>
  <c r="CC268" i="1"/>
  <c r="CO268" i="1" s="1"/>
  <c r="CD268" i="1"/>
  <c r="CP268" i="1" s="1"/>
  <c r="CC113" i="1"/>
  <c r="CO113" i="1" s="1"/>
  <c r="CD113" i="1"/>
  <c r="CP113" i="1" s="1"/>
  <c r="CC137" i="1"/>
  <c r="CO137" i="1" s="1"/>
  <c r="CD137" i="1"/>
  <c r="CP137" i="1" s="1"/>
  <c r="CC250" i="1"/>
  <c r="CO250" i="1" s="1"/>
  <c r="CD250" i="1"/>
  <c r="CP250" i="1" s="1"/>
  <c r="CC300" i="1"/>
  <c r="CO300" i="1" s="1"/>
  <c r="CD300" i="1"/>
  <c r="CP300" i="1" s="1"/>
  <c r="CC157" i="1"/>
  <c r="CO157" i="1" s="1"/>
  <c r="CD157" i="1"/>
  <c r="CP157" i="1" s="1"/>
  <c r="CC10" i="1"/>
  <c r="CO10" i="1" s="1"/>
  <c r="CD10" i="1"/>
  <c r="CP10" i="1" s="1"/>
  <c r="CC260" i="1"/>
  <c r="CO260" i="1" s="1"/>
  <c r="CD260" i="1"/>
  <c r="CP260" i="1" s="1"/>
  <c r="CC255" i="1"/>
  <c r="CO255" i="1" s="1"/>
  <c r="CD255" i="1"/>
  <c r="CP255" i="1" s="1"/>
  <c r="CC301" i="1"/>
  <c r="CO301" i="1" s="1"/>
  <c r="CD301" i="1"/>
  <c r="CP301" i="1" s="1"/>
  <c r="CC109" i="1"/>
  <c r="CO109" i="1" s="1"/>
  <c r="CD109" i="1"/>
  <c r="CP109" i="1" s="1"/>
  <c r="CC74" i="1"/>
  <c r="CO74" i="1" s="1"/>
  <c r="CD74" i="1"/>
  <c r="CP74" i="1" s="1"/>
  <c r="CC135" i="1"/>
  <c r="CO135" i="1" s="1"/>
  <c r="CD135" i="1"/>
  <c r="CP135" i="1" s="1"/>
  <c r="CC12" i="1"/>
  <c r="CO12" i="1" s="1"/>
  <c r="CD12" i="1"/>
  <c r="CP12" i="1" s="1"/>
  <c r="CC202" i="1"/>
  <c r="CO202" i="1" s="1"/>
  <c r="CD202" i="1"/>
  <c r="CP202" i="1" s="1"/>
  <c r="CC69" i="1"/>
  <c r="CO69" i="1" s="1"/>
  <c r="CD69" i="1"/>
  <c r="CP69" i="1" s="1"/>
  <c r="CC302" i="1"/>
  <c r="CO302" i="1" s="1"/>
  <c r="CD302" i="1"/>
  <c r="CP302" i="1" s="1"/>
  <c r="CC242" i="1"/>
  <c r="CO242" i="1" s="1"/>
  <c r="CD242" i="1"/>
  <c r="CP242" i="1" s="1"/>
  <c r="CC270" i="1"/>
  <c r="CO270" i="1" s="1"/>
  <c r="CD270" i="1"/>
  <c r="CP270" i="1" s="1"/>
  <c r="CC111" i="1"/>
  <c r="CO111" i="1" s="1"/>
  <c r="CD111" i="1"/>
  <c r="CP111" i="1" s="1"/>
  <c r="CC7" i="1"/>
  <c r="CO7" i="1" s="1"/>
  <c r="CD7" i="1"/>
  <c r="CP7" i="1" s="1"/>
  <c r="CC269" i="1"/>
  <c r="CO269" i="1" s="1"/>
  <c r="CD269" i="1"/>
  <c r="CP269" i="1" s="1"/>
  <c r="CC52" i="1"/>
  <c r="CO52" i="1" s="1"/>
  <c r="CD52" i="1"/>
  <c r="CP52" i="1" s="1"/>
  <c r="CC259" i="1"/>
  <c r="CO259" i="1" s="1"/>
  <c r="CD259" i="1"/>
  <c r="CP259" i="1" s="1"/>
  <c r="CC191" i="1"/>
  <c r="CO191" i="1" s="1"/>
  <c r="CD191" i="1"/>
  <c r="CP191" i="1" s="1"/>
  <c r="CC192" i="1"/>
  <c r="CO192" i="1" s="1"/>
  <c r="CD192" i="1"/>
  <c r="CP192" i="1" s="1"/>
  <c r="CC175" i="1"/>
  <c r="CO175" i="1" s="1"/>
  <c r="CD175" i="1"/>
  <c r="CP175" i="1" s="1"/>
  <c r="CC189" i="1"/>
  <c r="CO189" i="1" s="1"/>
  <c r="CD189" i="1"/>
  <c r="CP189" i="1" s="1"/>
  <c r="CC140" i="1"/>
  <c r="CO140" i="1" s="1"/>
  <c r="CD140" i="1"/>
  <c r="CP140" i="1" s="1"/>
  <c r="CC303" i="1"/>
  <c r="CO303" i="1" s="1"/>
  <c r="CD303" i="1"/>
  <c r="CP303" i="1" s="1"/>
  <c r="CC107" i="1"/>
  <c r="CO107" i="1" s="1"/>
  <c r="CD107" i="1"/>
  <c r="CP107" i="1" s="1"/>
  <c r="CC6" i="1"/>
  <c r="CO6" i="1" s="1"/>
  <c r="CD6" i="1"/>
  <c r="CP6" i="1" s="1"/>
  <c r="CC230" i="1"/>
  <c r="CO230" i="1" s="1"/>
  <c r="CD230" i="1"/>
  <c r="CP230" i="1" s="1"/>
  <c r="CC304" i="1"/>
  <c r="CO304" i="1" s="1"/>
  <c r="CD304" i="1"/>
  <c r="CP304" i="1" s="1"/>
  <c r="CC278" i="1"/>
  <c r="CO278" i="1" s="1"/>
  <c r="CD278" i="1"/>
  <c r="CP278" i="1" s="1"/>
  <c r="CC200" i="1"/>
  <c r="CO200" i="1" s="1"/>
  <c r="CD200" i="1"/>
  <c r="CP200" i="1" s="1"/>
  <c r="CC43" i="1"/>
  <c r="CO43" i="1" s="1"/>
  <c r="CD43" i="1"/>
  <c r="CP43" i="1" s="1"/>
  <c r="CC104" i="1"/>
  <c r="CO104" i="1" s="1"/>
  <c r="CD104" i="1"/>
  <c r="CP104" i="1" s="1"/>
  <c r="CC264" i="1"/>
  <c r="CO264" i="1" s="1"/>
  <c r="CD264" i="1"/>
  <c r="CP264" i="1" s="1"/>
  <c r="CC261" i="1"/>
  <c r="CO261" i="1" s="1"/>
  <c r="CD261" i="1"/>
  <c r="CP261" i="1" s="1"/>
  <c r="CC167" i="1"/>
  <c r="CO167" i="1" s="1"/>
  <c r="CD167" i="1"/>
  <c r="CP167" i="1" s="1"/>
  <c r="CC129" i="1"/>
  <c r="CO129" i="1" s="1"/>
  <c r="CD129" i="1"/>
  <c r="CP129" i="1" s="1"/>
  <c r="CC35" i="1"/>
  <c r="CO35" i="1" s="1"/>
  <c r="CD35" i="1"/>
  <c r="CP35" i="1" s="1"/>
  <c r="CC36" i="1"/>
  <c r="CO36" i="1" s="1"/>
  <c r="CD36" i="1"/>
  <c r="CP36" i="1" s="1"/>
  <c r="CC273" i="1"/>
  <c r="CO273" i="1" s="1"/>
  <c r="CD273" i="1"/>
  <c r="CP273" i="1" s="1"/>
  <c r="CC170" i="1"/>
  <c r="CO170" i="1" s="1"/>
  <c r="CD170" i="1"/>
  <c r="CP170" i="1" s="1"/>
  <c r="CC93" i="1"/>
  <c r="CO93" i="1" s="1"/>
  <c r="CD93" i="1"/>
  <c r="CP93" i="1" s="1"/>
  <c r="CC26" i="1"/>
  <c r="CO26" i="1" s="1"/>
  <c r="CD26" i="1"/>
  <c r="CP26" i="1" s="1"/>
  <c r="CC285" i="1"/>
  <c r="CO285" i="1" s="1"/>
  <c r="CD285" i="1"/>
  <c r="CP285" i="1" s="1"/>
  <c r="CC126" i="1"/>
  <c r="CO126" i="1" s="1"/>
  <c r="CD126" i="1"/>
  <c r="CP126" i="1" s="1"/>
  <c r="CC203" i="1"/>
  <c r="CO203" i="1" s="1"/>
  <c r="CD203" i="1"/>
  <c r="CP203" i="1" s="1"/>
  <c r="CC212" i="1"/>
  <c r="CO212" i="1" s="1"/>
  <c r="CD212" i="1"/>
  <c r="CP212" i="1" s="1"/>
  <c r="CC120" i="1"/>
  <c r="CO120" i="1" s="1"/>
  <c r="CD120" i="1"/>
  <c r="CP120" i="1" s="1"/>
  <c r="CC267" i="1"/>
  <c r="CO267" i="1" s="1"/>
  <c r="CD267" i="1"/>
  <c r="CP267" i="1" s="1"/>
  <c r="CC271" i="1"/>
  <c r="CO271" i="1" s="1"/>
  <c r="CD271" i="1"/>
  <c r="CP271" i="1" s="1"/>
  <c r="CC98" i="1"/>
  <c r="CO98" i="1" s="1"/>
  <c r="CD98" i="1"/>
  <c r="CP98" i="1" s="1"/>
  <c r="CC42" i="1"/>
  <c r="CO42" i="1" s="1"/>
  <c r="CD42" i="1"/>
  <c r="CP42" i="1" s="1"/>
  <c r="CC4" i="1"/>
  <c r="CO4" i="1" s="1"/>
  <c r="CD4" i="1"/>
  <c r="CP4" i="1" s="1"/>
  <c r="CC67" i="1"/>
  <c r="CO67" i="1" s="1"/>
  <c r="CD67" i="1"/>
  <c r="CP67" i="1" s="1"/>
  <c r="CC125" i="1"/>
  <c r="CO125" i="1" s="1"/>
  <c r="CD125" i="1"/>
  <c r="CP125" i="1" s="1"/>
  <c r="CC305" i="1"/>
  <c r="CO305" i="1" s="1"/>
  <c r="CD305" i="1"/>
  <c r="CP305" i="1" s="1"/>
  <c r="CC243" i="1"/>
  <c r="CO243" i="1" s="1"/>
  <c r="CD243" i="1"/>
  <c r="CP243" i="1" s="1"/>
  <c r="CC148" i="1"/>
  <c r="CO148" i="1" s="1"/>
  <c r="CD148" i="1"/>
  <c r="CP148" i="1" s="1"/>
  <c r="CC293" i="1"/>
  <c r="CO293" i="1" s="1"/>
  <c r="CD293" i="1"/>
  <c r="CP293" i="1" s="1"/>
  <c r="CC155" i="1"/>
  <c r="CO155" i="1" s="1"/>
  <c r="CD155" i="1"/>
  <c r="CP155" i="1" s="1"/>
  <c r="CC144" i="1"/>
  <c r="CO144" i="1" s="1"/>
  <c r="CD144" i="1"/>
  <c r="CP144" i="1" s="1"/>
  <c r="CC306" i="1"/>
  <c r="CO306" i="1" s="1"/>
  <c r="CD306" i="1"/>
  <c r="CP306" i="1" s="1"/>
  <c r="CC78" i="1"/>
  <c r="CO78" i="1" s="1"/>
  <c r="CD78" i="1"/>
  <c r="CP78" i="1" s="1"/>
  <c r="CC100" i="1"/>
  <c r="CO100" i="1" s="1"/>
  <c r="CD100" i="1"/>
  <c r="CP100" i="1" s="1"/>
  <c r="CC83" i="1"/>
  <c r="CO83" i="1" s="1"/>
  <c r="CD83" i="1"/>
  <c r="CP83" i="1" s="1"/>
  <c r="CC307" i="1"/>
  <c r="CO307" i="1" s="1"/>
  <c r="CD307" i="1"/>
  <c r="CP307" i="1" s="1"/>
  <c r="CC171" i="1"/>
  <c r="CO171" i="1" s="1"/>
  <c r="CD171" i="1"/>
  <c r="CP171" i="1" s="1"/>
  <c r="CC101" i="1"/>
  <c r="CO101" i="1" s="1"/>
  <c r="CD101" i="1"/>
  <c r="CP101" i="1" s="1"/>
  <c r="CC131" i="1"/>
  <c r="CO131" i="1" s="1"/>
  <c r="CD131" i="1"/>
  <c r="CP131" i="1" s="1"/>
  <c r="CC15" i="1"/>
  <c r="CO15" i="1" s="1"/>
  <c r="CD15" i="1"/>
  <c r="CP15" i="1" s="1"/>
  <c r="CC308" i="1"/>
  <c r="CO308" i="1" s="1"/>
  <c r="CD308" i="1"/>
  <c r="CP308" i="1" s="1"/>
  <c r="CC288" i="1"/>
  <c r="CO288" i="1" s="1"/>
  <c r="CD288" i="1"/>
  <c r="CP288" i="1" s="1"/>
  <c r="CC41" i="1"/>
  <c r="CO41" i="1" s="1"/>
  <c r="CD41" i="1"/>
  <c r="CP41" i="1" s="1"/>
  <c r="CC114" i="1"/>
  <c r="CO114" i="1" s="1"/>
  <c r="CD114" i="1"/>
  <c r="CP114" i="1" s="1"/>
  <c r="CC177" i="1"/>
  <c r="CO177" i="1" s="1"/>
  <c r="CD177" i="1"/>
  <c r="CP177" i="1" s="1"/>
  <c r="CC65" i="1"/>
  <c r="CO65" i="1" s="1"/>
  <c r="CD65" i="1"/>
  <c r="CP65" i="1" s="1"/>
  <c r="CC290" i="1"/>
  <c r="CO290" i="1" s="1"/>
  <c r="CD290" i="1"/>
  <c r="CP290" i="1" s="1"/>
  <c r="CC105" i="1"/>
  <c r="CO105" i="1" s="1"/>
  <c r="CD105" i="1"/>
  <c r="CP105" i="1" s="1"/>
  <c r="CC70" i="1"/>
  <c r="CO70" i="1" s="1"/>
  <c r="CD70" i="1"/>
  <c r="CP70" i="1" s="1"/>
  <c r="CC279" i="1"/>
  <c r="CO279" i="1" s="1"/>
  <c r="CD279" i="1"/>
  <c r="CP279" i="1" s="1"/>
  <c r="CC309" i="1"/>
  <c r="CO309" i="1" s="1"/>
  <c r="CD309" i="1"/>
  <c r="CP309" i="1" s="1"/>
  <c r="CC162" i="1"/>
  <c r="CO162" i="1" s="1"/>
  <c r="CD162" i="1"/>
  <c r="CP162" i="1" s="1"/>
  <c r="CC110" i="1"/>
  <c r="CO110" i="1" s="1"/>
  <c r="CD110" i="1"/>
  <c r="CP110" i="1" s="1"/>
  <c r="CC233" i="1"/>
  <c r="CO233" i="1" s="1"/>
  <c r="CD233" i="1"/>
  <c r="CP233" i="1" s="1"/>
  <c r="CC310" i="1"/>
  <c r="CO310" i="1" s="1"/>
  <c r="CD310" i="1"/>
  <c r="CP310" i="1" s="1"/>
  <c r="CC246" i="1"/>
  <c r="CO246" i="1" s="1"/>
  <c r="CD246" i="1"/>
  <c r="CP246" i="1" s="1"/>
  <c r="CC311" i="1"/>
  <c r="CO311" i="1" s="1"/>
  <c r="CD311" i="1"/>
  <c r="CP311" i="1" s="1"/>
  <c r="CC66" i="1"/>
  <c r="CO66" i="1" s="1"/>
  <c r="CD66" i="1"/>
  <c r="CP66" i="1" s="1"/>
  <c r="CC282" i="1"/>
  <c r="CO282" i="1" s="1"/>
  <c r="CD282" i="1"/>
  <c r="CP282" i="1" s="1"/>
  <c r="CC73" i="1"/>
  <c r="CO73" i="1" s="1"/>
  <c r="CD73" i="1"/>
  <c r="CP73" i="1" s="1"/>
  <c r="CC224" i="1"/>
  <c r="CO224" i="1" s="1"/>
  <c r="CD224" i="1"/>
  <c r="CP224" i="1" s="1"/>
  <c r="CC134" i="1"/>
  <c r="CO134" i="1" s="1"/>
  <c r="CD134" i="1"/>
  <c r="CP134" i="1" s="1"/>
  <c r="CC116" i="1"/>
  <c r="CO116" i="1" s="1"/>
  <c r="CD116" i="1"/>
  <c r="CP116" i="1" s="1"/>
  <c r="CC146" i="1"/>
  <c r="CO146" i="1" s="1"/>
  <c r="CD146" i="1"/>
  <c r="CP146" i="1" s="1"/>
  <c r="CC108" i="1"/>
  <c r="CO108" i="1" s="1"/>
  <c r="CD108" i="1"/>
  <c r="CP108" i="1" s="1"/>
  <c r="CC79" i="1"/>
  <c r="CO79" i="1" s="1"/>
  <c r="CD79" i="1"/>
  <c r="CP79" i="1" s="1"/>
  <c r="CC204" i="1"/>
  <c r="CO204" i="1" s="1"/>
  <c r="CD204" i="1"/>
  <c r="CP204" i="1" s="1"/>
  <c r="CC160" i="1"/>
  <c r="CO160" i="1" s="1"/>
  <c r="CD160" i="1"/>
  <c r="CP160" i="1" s="1"/>
  <c r="CC47" i="1"/>
  <c r="CO47" i="1" s="1"/>
  <c r="CD47" i="1"/>
  <c r="CP47" i="1" s="1"/>
  <c r="CC124" i="1"/>
  <c r="CO124" i="1" s="1"/>
  <c r="CD124" i="1"/>
  <c r="CP124" i="1" s="1"/>
  <c r="CC153" i="1"/>
  <c r="CO153" i="1" s="1"/>
  <c r="CD153" i="1"/>
  <c r="CP153" i="1" s="1"/>
  <c r="CC193" i="1"/>
  <c r="CO193" i="1" s="1"/>
  <c r="CD193" i="1"/>
  <c r="CP193" i="1" s="1"/>
  <c r="CC2" i="1"/>
  <c r="CO2" i="1" s="1"/>
  <c r="CD2" i="1"/>
  <c r="CP2" i="1" s="1"/>
  <c r="CC152" i="1"/>
  <c r="CO152" i="1" s="1"/>
  <c r="CD152" i="1"/>
  <c r="CP152" i="1" s="1"/>
  <c r="CC217" i="1"/>
  <c r="CO217" i="1" s="1"/>
  <c r="CD217" i="1"/>
  <c r="CP217" i="1" s="1"/>
  <c r="CC312" i="1"/>
  <c r="CO312" i="1" s="1"/>
  <c r="CD312" i="1"/>
  <c r="CP312" i="1" s="1"/>
  <c r="CC313" i="1"/>
  <c r="CO313" i="1" s="1"/>
  <c r="CD313" i="1"/>
  <c r="CP313" i="1" s="1"/>
  <c r="CC314" i="1"/>
  <c r="CO314" i="1" s="1"/>
  <c r="CD314" i="1"/>
  <c r="CP314" i="1" s="1"/>
  <c r="CC122" i="1"/>
  <c r="CO122" i="1" s="1"/>
  <c r="CD122" i="1"/>
  <c r="CP122" i="1" s="1"/>
  <c r="CC249" i="1"/>
  <c r="CO249" i="1" s="1"/>
  <c r="CD249" i="1"/>
  <c r="CP249" i="1" s="1"/>
  <c r="CC297" i="1"/>
  <c r="CO297" i="1" s="1"/>
  <c r="CD297" i="1"/>
  <c r="CP297" i="1" s="1"/>
  <c r="CC258" i="1"/>
  <c r="CO258" i="1" s="1"/>
  <c r="CD258" i="1"/>
  <c r="CP258" i="1" s="1"/>
  <c r="CC183" i="1"/>
  <c r="CO183" i="1" s="1"/>
  <c r="CD183" i="1"/>
  <c r="CP183" i="1" s="1"/>
  <c r="CC223" i="1"/>
  <c r="CO223" i="1" s="1"/>
  <c r="CD223" i="1"/>
  <c r="CP223" i="1" s="1"/>
  <c r="CC315" i="1"/>
  <c r="CO315" i="1" s="1"/>
  <c r="CD315" i="1"/>
  <c r="CP315" i="1" s="1"/>
  <c r="CC272" i="1"/>
  <c r="CO272" i="1" s="1"/>
  <c r="CD272" i="1"/>
  <c r="CP272" i="1" s="1"/>
  <c r="CC103" i="1"/>
  <c r="CO103" i="1" s="1"/>
  <c r="CD103" i="1"/>
  <c r="CP103" i="1" s="1"/>
  <c r="CC262" i="1"/>
  <c r="CO262" i="1" s="1"/>
  <c r="CD262" i="1"/>
  <c r="CP262" i="1" s="1"/>
  <c r="CC207" i="1"/>
  <c r="CO207" i="1" s="1"/>
  <c r="CD207" i="1"/>
  <c r="CP207" i="1" s="1"/>
  <c r="CC13" i="1"/>
  <c r="CO13" i="1" s="1"/>
  <c r="CD13" i="1"/>
  <c r="CP13" i="1" s="1"/>
  <c r="CC214" i="1"/>
  <c r="CO214" i="1" s="1"/>
  <c r="CD214" i="1"/>
  <c r="CP214" i="1" s="1"/>
  <c r="CC143" i="1"/>
  <c r="CO143" i="1" s="1"/>
  <c r="CD143" i="1"/>
  <c r="CP143" i="1" s="1"/>
  <c r="CC201" i="1"/>
  <c r="CO201" i="1" s="1"/>
  <c r="CD201" i="1"/>
  <c r="CP201" i="1" s="1"/>
  <c r="CC174" i="1"/>
  <c r="CO174" i="1" s="1"/>
  <c r="CD174" i="1"/>
  <c r="CP174" i="1" s="1"/>
  <c r="CC316" i="1"/>
  <c r="CO316" i="1" s="1"/>
  <c r="CD316" i="1"/>
  <c r="CP316" i="1" s="1"/>
  <c r="CC168" i="1"/>
  <c r="CO168" i="1" s="1"/>
  <c r="CD168" i="1"/>
  <c r="CP168" i="1" s="1"/>
  <c r="CC195" i="1"/>
  <c r="CO195" i="1" s="1"/>
  <c r="CD195" i="1"/>
  <c r="CP195" i="1" s="1"/>
  <c r="CC284" i="1"/>
  <c r="CO284" i="1" s="1"/>
  <c r="CD284" i="1"/>
  <c r="CP284" i="1" s="1"/>
  <c r="CC178" i="1"/>
  <c r="CO178" i="1" s="1"/>
  <c r="CD178" i="1"/>
  <c r="CP178" i="1" s="1"/>
  <c r="CC213" i="1"/>
  <c r="CO213" i="1" s="1"/>
  <c r="CD213" i="1"/>
  <c r="CP213" i="1" s="1"/>
  <c r="CC29" i="1"/>
  <c r="CO29" i="1" s="1"/>
  <c r="CD29" i="1"/>
  <c r="CP29" i="1" s="1"/>
  <c r="CC166" i="1"/>
  <c r="CO166" i="1" s="1"/>
  <c r="CD166" i="1"/>
  <c r="CP166" i="1" s="1"/>
  <c r="CC14" i="1"/>
  <c r="CO14" i="1" s="1"/>
  <c r="CD14" i="1"/>
  <c r="CP14" i="1" s="1"/>
  <c r="CC240" i="1"/>
  <c r="CO240" i="1" s="1"/>
  <c r="CD240" i="1"/>
  <c r="CP240" i="1" s="1"/>
  <c r="CC276" i="1"/>
  <c r="CO276" i="1" s="1"/>
  <c r="CD276" i="1"/>
  <c r="CP276" i="1" s="1"/>
  <c r="CC206" i="1"/>
  <c r="CO206" i="1" s="1"/>
  <c r="CD206" i="1"/>
  <c r="CP206" i="1" s="1"/>
  <c r="CC225" i="1"/>
  <c r="CO225" i="1" s="1"/>
  <c r="CD225" i="1"/>
  <c r="CP225" i="1" s="1"/>
  <c r="CC145" i="1"/>
  <c r="CO145" i="1" s="1"/>
  <c r="CD145" i="1"/>
  <c r="CP145" i="1" s="1"/>
  <c r="CC3" i="1"/>
  <c r="CO3" i="1" s="1"/>
  <c r="CD3" i="1"/>
  <c r="CP3" i="1" s="1"/>
  <c r="CC119" i="1"/>
  <c r="CO119" i="1" s="1"/>
  <c r="CD119" i="1"/>
  <c r="CP119" i="1" s="1"/>
  <c r="CC274" i="1"/>
  <c r="CO274" i="1" s="1"/>
  <c r="CD274" i="1"/>
  <c r="CP274" i="1" s="1"/>
  <c r="CC292" i="1"/>
  <c r="CO292" i="1" s="1"/>
  <c r="CD292" i="1"/>
  <c r="CP292" i="1" s="1"/>
  <c r="CC95" i="1"/>
  <c r="CO95" i="1" s="1"/>
  <c r="CD95" i="1"/>
  <c r="CP95" i="1" s="1"/>
  <c r="CC197" i="1"/>
  <c r="CO197" i="1" s="1"/>
  <c r="CD197" i="1"/>
  <c r="CP197" i="1" s="1"/>
  <c r="CC44" i="1"/>
  <c r="CO44" i="1" s="1"/>
  <c r="CD44" i="1"/>
  <c r="CP44" i="1" s="1"/>
  <c r="CC60" i="1"/>
  <c r="CO60" i="1" s="1"/>
  <c r="CD60" i="1"/>
  <c r="CP60" i="1" s="1"/>
  <c r="CC176" i="1"/>
  <c r="CO176" i="1" s="1"/>
  <c r="CD176" i="1"/>
  <c r="CP176" i="1" s="1"/>
  <c r="CC227" i="1"/>
  <c r="CO227" i="1" s="1"/>
  <c r="CD227" i="1"/>
  <c r="CP227" i="1" s="1"/>
  <c r="CC165" i="1"/>
  <c r="CO165" i="1" s="1"/>
  <c r="CD165" i="1"/>
  <c r="CP165" i="1" s="1"/>
  <c r="CC317" i="1"/>
  <c r="CO317" i="1" s="1"/>
  <c r="CD317" i="1"/>
  <c r="CP317" i="1" s="1"/>
  <c r="CC231" i="1"/>
  <c r="CO231" i="1" s="1"/>
  <c r="CD231" i="1"/>
  <c r="CP231" i="1" s="1"/>
  <c r="CC318" i="1"/>
  <c r="CO318" i="1" s="1"/>
  <c r="CD318" i="1"/>
  <c r="CP318" i="1" s="1"/>
  <c r="CC156" i="1"/>
  <c r="CO156" i="1" s="1"/>
  <c r="CD156" i="1"/>
  <c r="CP156" i="1" s="1"/>
  <c r="CC180" i="1"/>
  <c r="CO180" i="1" s="1"/>
  <c r="CD180" i="1"/>
  <c r="CP180" i="1" s="1"/>
  <c r="CC280" i="1"/>
  <c r="CO280" i="1" s="1"/>
  <c r="CD280" i="1"/>
  <c r="CP280" i="1" s="1"/>
  <c r="CC188" i="1"/>
  <c r="CO188" i="1" s="1"/>
  <c r="CD188" i="1"/>
  <c r="CP188" i="1" s="1"/>
  <c r="CC229" i="1"/>
  <c r="CO229" i="1" s="1"/>
  <c r="CD229" i="1"/>
  <c r="CP229" i="1" s="1"/>
  <c r="CC205" i="1"/>
  <c r="CO205" i="1" s="1"/>
  <c r="CD205" i="1"/>
  <c r="CP205" i="1" s="1"/>
  <c r="CC172" i="1"/>
  <c r="CO172" i="1" s="1"/>
  <c r="CD172" i="1"/>
  <c r="CP172" i="1" s="1"/>
  <c r="CC287" i="1"/>
  <c r="CO287" i="1" s="1"/>
  <c r="CD287" i="1"/>
  <c r="CP287" i="1" s="1"/>
  <c r="CC158" i="1"/>
  <c r="CO158" i="1" s="1"/>
  <c r="CD158" i="1"/>
  <c r="CP158" i="1" s="1"/>
  <c r="CC89" i="1"/>
  <c r="CO89" i="1" s="1"/>
  <c r="CD89" i="1"/>
  <c r="CP89" i="1" s="1"/>
  <c r="CC216" i="1"/>
  <c r="CO216" i="1" s="1"/>
  <c r="CD216" i="1"/>
  <c r="CP216" i="1" s="1"/>
  <c r="CC289" i="1"/>
  <c r="CO289" i="1" s="1"/>
  <c r="CD289" i="1"/>
  <c r="CP289" i="1" s="1"/>
  <c r="CC190" i="1"/>
  <c r="CO190" i="1" s="1"/>
  <c r="CD190" i="1"/>
  <c r="CP190" i="1" s="1"/>
  <c r="CC219" i="1"/>
  <c r="CO219" i="1" s="1"/>
  <c r="CD219" i="1"/>
  <c r="CP219" i="1" s="1"/>
  <c r="CC283" i="1"/>
  <c r="CO283" i="1" s="1"/>
  <c r="CD283" i="1"/>
  <c r="CP283" i="1" s="1"/>
  <c r="CC185" i="1"/>
  <c r="CO185" i="1" s="1"/>
  <c r="CD185" i="1"/>
  <c r="CP185" i="1" s="1"/>
  <c r="CC139" i="1"/>
  <c r="CO139" i="1" s="1"/>
  <c r="CD139" i="1"/>
  <c r="CP139" i="1" s="1"/>
  <c r="CC256" i="1"/>
  <c r="CO256" i="1" s="1"/>
  <c r="CD256" i="1"/>
  <c r="CP256" i="1" s="1"/>
  <c r="CC187" i="1"/>
  <c r="CO187" i="1" s="1"/>
  <c r="CD187" i="1"/>
  <c r="CP187" i="1" s="1"/>
  <c r="CC45" i="1"/>
  <c r="CO45" i="1" s="1"/>
  <c r="CD45" i="1"/>
  <c r="CP45" i="1" s="1"/>
  <c r="CC179" i="1"/>
  <c r="CO179" i="1" s="1"/>
  <c r="CD179" i="1"/>
  <c r="CP179" i="1" s="1"/>
  <c r="CC226" i="1"/>
  <c r="CO226" i="1" s="1"/>
  <c r="CD226" i="1"/>
  <c r="CP226" i="1" s="1"/>
  <c r="CC184" i="1"/>
  <c r="CO184" i="1" s="1"/>
  <c r="CD184" i="1"/>
  <c r="CP184" i="1" s="1"/>
  <c r="CC196" i="1"/>
  <c r="CO196" i="1" s="1"/>
  <c r="CD196" i="1"/>
  <c r="CP196" i="1" s="1"/>
  <c r="CC77" i="1"/>
  <c r="CO77" i="1" s="1"/>
  <c r="CD77" i="1"/>
  <c r="CP77" i="1" s="1"/>
  <c r="CC53" i="1"/>
  <c r="CO53" i="1" s="1"/>
  <c r="CD53" i="1"/>
  <c r="CP53" i="1" s="1"/>
  <c r="CC291" i="1"/>
  <c r="CO291" i="1" s="1"/>
  <c r="CD291" i="1"/>
  <c r="CP291" i="1" s="1"/>
  <c r="CC181" i="1"/>
  <c r="CO181" i="1" s="1"/>
  <c r="CD181" i="1"/>
  <c r="CP181" i="1" s="1"/>
  <c r="CC215" i="1"/>
  <c r="CO215" i="1" s="1"/>
  <c r="CD215" i="1"/>
  <c r="CP215" i="1" s="1"/>
  <c r="CC182" i="1"/>
  <c r="CO182" i="1" s="1"/>
  <c r="CD182" i="1"/>
  <c r="CP182" i="1" s="1"/>
  <c r="CC209" i="1"/>
  <c r="CO209" i="1" s="1"/>
  <c r="CD209" i="1"/>
  <c r="CP209" i="1" s="1"/>
  <c r="CC277" i="1"/>
  <c r="CO277" i="1" s="1"/>
  <c r="CD277" i="1"/>
  <c r="CP277" i="1" s="1"/>
  <c r="CC208" i="1"/>
  <c r="CO208" i="1" s="1"/>
  <c r="CD208" i="1"/>
  <c r="CP208" i="1" s="1"/>
  <c r="CC186" i="1"/>
  <c r="CO186" i="1" s="1"/>
  <c r="CD186" i="1"/>
  <c r="CP186" i="1" s="1"/>
  <c r="CC331" i="1"/>
  <c r="CO331" i="1" s="1"/>
  <c r="CD331" i="1"/>
  <c r="CP331" i="1" s="1"/>
  <c r="CC332" i="1"/>
  <c r="CO332" i="1" s="1"/>
  <c r="CD332" i="1"/>
  <c r="CP332" i="1" s="1"/>
  <c r="CC333" i="1"/>
  <c r="CO333" i="1" s="1"/>
  <c r="CD333" i="1"/>
  <c r="CP333" i="1" s="1"/>
  <c r="CC334" i="1"/>
  <c r="CO334" i="1" s="1"/>
  <c r="CD334" i="1"/>
  <c r="CP334" i="1" s="1"/>
  <c r="CC335" i="1"/>
  <c r="CO335" i="1" s="1"/>
  <c r="CD335" i="1"/>
  <c r="CP335" i="1" s="1"/>
  <c r="CC336" i="1"/>
  <c r="CO336" i="1" s="1"/>
  <c r="CD336" i="1"/>
  <c r="CP336" i="1" s="1"/>
  <c r="CC337" i="1"/>
  <c r="CO337" i="1" s="1"/>
  <c r="CD337" i="1"/>
  <c r="CP337" i="1" s="1"/>
  <c r="CC338" i="1"/>
  <c r="CO338" i="1" s="1"/>
  <c r="CD338" i="1"/>
  <c r="CP338" i="1" s="1"/>
  <c r="CC339" i="1"/>
  <c r="CO339" i="1" s="1"/>
  <c r="CD339" i="1"/>
  <c r="CP339" i="1" s="1"/>
  <c r="CC340" i="1"/>
  <c r="CO340" i="1" s="1"/>
  <c r="CD340" i="1"/>
  <c r="CP340" i="1" s="1"/>
  <c r="CC341" i="1"/>
  <c r="CO341" i="1" s="1"/>
  <c r="CD341" i="1"/>
  <c r="CP341" i="1" s="1"/>
  <c r="CC342" i="1"/>
  <c r="CO342" i="1" s="1"/>
  <c r="CD342" i="1"/>
  <c r="CP342" i="1" s="1"/>
  <c r="CC343" i="1"/>
  <c r="CO343" i="1" s="1"/>
  <c r="CD343" i="1"/>
  <c r="CP343" i="1" s="1"/>
  <c r="CC344" i="1"/>
  <c r="CO344" i="1" s="1"/>
  <c r="CD344" i="1"/>
  <c r="CP344" i="1" s="1"/>
  <c r="CC345" i="1"/>
  <c r="CO345" i="1" s="1"/>
  <c r="CD345" i="1"/>
  <c r="CP345" i="1" s="1"/>
  <c r="CC346" i="1"/>
  <c r="CO346" i="1" s="1"/>
  <c r="CD346" i="1"/>
  <c r="CP346" i="1" s="1"/>
  <c r="CC347" i="1"/>
  <c r="CO347" i="1" s="1"/>
  <c r="CD347" i="1"/>
  <c r="CP347" i="1" s="1"/>
  <c r="CC348" i="1"/>
  <c r="CO348" i="1" s="1"/>
  <c r="CD348" i="1"/>
  <c r="CP348" i="1" s="1"/>
  <c r="CC349" i="1"/>
  <c r="CO349" i="1" s="1"/>
  <c r="CD349" i="1"/>
  <c r="CP349" i="1" s="1"/>
  <c r="CC350" i="1"/>
  <c r="CO350" i="1" s="1"/>
  <c r="CD350" i="1"/>
  <c r="CP350" i="1" s="1"/>
  <c r="CC351" i="1"/>
  <c r="CO351" i="1" s="1"/>
  <c r="CD351" i="1"/>
  <c r="CP351" i="1" s="1"/>
  <c r="CC352" i="1"/>
  <c r="CO352" i="1" s="1"/>
  <c r="CD352" i="1"/>
  <c r="CP352" i="1" s="1"/>
  <c r="CC353" i="1"/>
  <c r="CO353" i="1" s="1"/>
  <c r="CD353" i="1"/>
  <c r="CP353" i="1" s="1"/>
  <c r="CC354" i="1"/>
  <c r="CO354" i="1" s="1"/>
  <c r="CD354" i="1"/>
  <c r="CP354" i="1" s="1"/>
  <c r="CC355" i="1"/>
  <c r="CO355" i="1" s="1"/>
  <c r="CD355" i="1"/>
  <c r="CP355" i="1" s="1"/>
  <c r="CC356" i="1"/>
  <c r="CO356" i="1" s="1"/>
  <c r="CD356" i="1"/>
  <c r="CP356" i="1" s="1"/>
  <c r="CC357" i="1"/>
  <c r="CO357" i="1" s="1"/>
  <c r="CD357" i="1"/>
  <c r="CP357" i="1" s="1"/>
  <c r="CC358" i="1"/>
  <c r="CO358" i="1" s="1"/>
  <c r="CD358" i="1"/>
  <c r="CP358" i="1" s="1"/>
  <c r="CC359" i="1"/>
  <c r="CO359" i="1" s="1"/>
  <c r="CD359" i="1"/>
  <c r="CP359" i="1" s="1"/>
  <c r="CC360" i="1"/>
  <c r="CO360" i="1" s="1"/>
  <c r="CD360" i="1"/>
  <c r="CP360" i="1" s="1"/>
  <c r="CC361" i="1"/>
  <c r="CO361" i="1" s="1"/>
  <c r="CD361" i="1"/>
  <c r="CP361" i="1" s="1"/>
  <c r="CC362" i="1"/>
  <c r="CO362" i="1" s="1"/>
  <c r="CD362" i="1"/>
  <c r="CP362" i="1" s="1"/>
  <c r="CC363" i="1"/>
  <c r="CO363" i="1" s="1"/>
  <c r="CD363" i="1"/>
  <c r="CP363" i="1" s="1"/>
  <c r="CC364" i="1"/>
  <c r="CO364" i="1" s="1"/>
  <c r="CD364" i="1"/>
  <c r="CP364" i="1" s="1"/>
  <c r="CC365" i="1"/>
  <c r="CO365" i="1" s="1"/>
  <c r="CD365" i="1"/>
  <c r="CP365" i="1" s="1"/>
  <c r="CC366" i="1"/>
  <c r="CO366" i="1" s="1"/>
  <c r="CD366" i="1"/>
  <c r="CP366" i="1" s="1"/>
  <c r="CC367" i="1"/>
  <c r="CO367" i="1" s="1"/>
  <c r="CD367" i="1"/>
  <c r="CP367" i="1" s="1"/>
  <c r="CC368" i="1"/>
  <c r="CO368" i="1" s="1"/>
  <c r="CD368" i="1"/>
  <c r="CP368" i="1" s="1"/>
  <c r="CC369" i="1"/>
  <c r="CO369" i="1" s="1"/>
  <c r="CD369" i="1"/>
  <c r="CP369" i="1" s="1"/>
  <c r="CC370" i="1"/>
  <c r="CO370" i="1" s="1"/>
  <c r="CD370" i="1"/>
  <c r="CP370" i="1" s="1"/>
  <c r="CC371" i="1"/>
  <c r="CO371" i="1" s="1"/>
  <c r="CD371" i="1"/>
  <c r="CP371" i="1" s="1"/>
  <c r="CC372" i="1"/>
  <c r="CO372" i="1" s="1"/>
  <c r="CD372" i="1"/>
  <c r="CP372" i="1" s="1"/>
  <c r="CC373" i="1"/>
  <c r="CO373" i="1" s="1"/>
  <c r="CD373" i="1"/>
  <c r="CP373" i="1" s="1"/>
  <c r="CC374" i="1"/>
  <c r="CO374" i="1" s="1"/>
  <c r="CD374" i="1"/>
  <c r="CP374" i="1" s="1"/>
  <c r="CC375" i="1"/>
  <c r="CO375" i="1" s="1"/>
  <c r="CD375" i="1"/>
  <c r="CP375" i="1" s="1"/>
  <c r="CC376" i="1"/>
  <c r="CO376" i="1" s="1"/>
  <c r="CD376" i="1"/>
  <c r="CP376" i="1" s="1"/>
  <c r="CC377" i="1"/>
  <c r="CO377" i="1" s="1"/>
  <c r="CD377" i="1"/>
  <c r="CP377" i="1" s="1"/>
  <c r="CC378" i="1"/>
  <c r="CO378" i="1" s="1"/>
  <c r="CD378" i="1"/>
  <c r="CP378" i="1" s="1"/>
  <c r="CC379" i="1"/>
  <c r="CO379" i="1" s="1"/>
  <c r="CD379" i="1"/>
  <c r="CP379" i="1" s="1"/>
  <c r="CC380" i="1"/>
  <c r="CO380" i="1" s="1"/>
  <c r="CD380" i="1"/>
  <c r="CP380" i="1" s="1"/>
  <c r="CC381" i="1"/>
  <c r="CO381" i="1" s="1"/>
  <c r="CD381" i="1"/>
  <c r="CP381" i="1" s="1"/>
  <c r="CC382" i="1"/>
  <c r="CO382" i="1" s="1"/>
  <c r="CD382" i="1"/>
  <c r="CP382" i="1" s="1"/>
  <c r="CC383" i="1"/>
  <c r="CO383" i="1" s="1"/>
  <c r="CD383" i="1"/>
  <c r="CP383" i="1" s="1"/>
  <c r="CC384" i="1"/>
  <c r="CO384" i="1" s="1"/>
  <c r="CD384" i="1"/>
  <c r="CP384" i="1" s="1"/>
  <c r="CC385" i="1"/>
  <c r="CO385" i="1" s="1"/>
  <c r="CD385" i="1"/>
  <c r="CP385" i="1" s="1"/>
  <c r="CC386" i="1"/>
  <c r="CO386" i="1" s="1"/>
  <c r="CD386" i="1"/>
  <c r="CP386" i="1" s="1"/>
  <c r="CC387" i="1"/>
  <c r="CO387" i="1" s="1"/>
  <c r="CD387" i="1"/>
  <c r="CP387" i="1" s="1"/>
  <c r="CC388" i="1"/>
  <c r="CO388" i="1" s="1"/>
  <c r="CD388" i="1"/>
  <c r="CP388" i="1" s="1"/>
  <c r="CC389" i="1"/>
  <c r="CO389" i="1" s="1"/>
  <c r="CD389" i="1"/>
  <c r="CP389" i="1" s="1"/>
  <c r="CC390" i="1"/>
  <c r="CO390" i="1" s="1"/>
  <c r="CD390" i="1"/>
  <c r="CP390" i="1" s="1"/>
  <c r="CC391" i="1"/>
  <c r="CO391" i="1" s="1"/>
  <c r="CD391" i="1"/>
  <c r="CP391" i="1" s="1"/>
  <c r="CC392" i="1"/>
  <c r="CO392" i="1" s="1"/>
  <c r="CD392" i="1"/>
  <c r="CP392" i="1" s="1"/>
  <c r="CC393" i="1"/>
  <c r="CO393" i="1" s="1"/>
  <c r="CD393" i="1"/>
  <c r="CP393" i="1" s="1"/>
  <c r="CC394" i="1"/>
  <c r="CO394" i="1" s="1"/>
  <c r="CD394" i="1"/>
  <c r="CP394" i="1" s="1"/>
  <c r="CC395" i="1"/>
  <c r="CO395" i="1" s="1"/>
  <c r="CD395" i="1"/>
  <c r="CP395" i="1" s="1"/>
  <c r="CC396" i="1"/>
  <c r="CO396" i="1" s="1"/>
  <c r="CD396" i="1"/>
  <c r="CP396" i="1" s="1"/>
  <c r="CC397" i="1"/>
  <c r="CO397" i="1" s="1"/>
  <c r="CD397" i="1"/>
  <c r="CP397" i="1" s="1"/>
  <c r="CC398" i="1"/>
  <c r="CO398" i="1" s="1"/>
  <c r="CD398" i="1"/>
  <c r="CP398" i="1" s="1"/>
  <c r="CC399" i="1"/>
  <c r="CO399" i="1" s="1"/>
  <c r="CD399" i="1"/>
  <c r="CP399" i="1" s="1"/>
  <c r="CC400" i="1"/>
  <c r="CO400" i="1" s="1"/>
  <c r="CD400" i="1"/>
  <c r="CP400" i="1" s="1"/>
  <c r="CC401" i="1"/>
  <c r="CO401" i="1" s="1"/>
  <c r="CD401" i="1"/>
  <c r="CP401" i="1" s="1"/>
  <c r="CC402" i="1"/>
  <c r="CO402" i="1" s="1"/>
  <c r="CD402" i="1"/>
  <c r="CP402" i="1" s="1"/>
  <c r="CC403" i="1"/>
  <c r="CO403" i="1" s="1"/>
  <c r="CD403" i="1"/>
  <c r="CP403" i="1" s="1"/>
  <c r="CC404" i="1"/>
  <c r="CO404" i="1" s="1"/>
  <c r="CD404" i="1"/>
  <c r="CP404" i="1" s="1"/>
  <c r="CC405" i="1"/>
  <c r="CO405" i="1" s="1"/>
  <c r="CD405" i="1"/>
  <c r="CP405" i="1" s="1"/>
  <c r="CC406" i="1"/>
  <c r="CO406" i="1" s="1"/>
  <c r="CD406" i="1"/>
  <c r="CP406" i="1" s="1"/>
  <c r="CC407" i="1"/>
  <c r="CO407" i="1" s="1"/>
  <c r="CD407" i="1"/>
  <c r="CP407" i="1" s="1"/>
  <c r="CC408" i="1"/>
  <c r="CO408" i="1" s="1"/>
  <c r="CD408" i="1"/>
  <c r="CP408" i="1" s="1"/>
  <c r="CC409" i="1"/>
  <c r="CO409" i="1" s="1"/>
  <c r="CD409" i="1"/>
  <c r="CP409" i="1" s="1"/>
  <c r="CC410" i="1"/>
  <c r="CO410" i="1" s="1"/>
  <c r="CD410" i="1"/>
  <c r="CP410" i="1" s="1"/>
  <c r="CC411" i="1"/>
  <c r="CO411" i="1" s="1"/>
  <c r="CD411" i="1"/>
  <c r="CP411" i="1" s="1"/>
  <c r="CC412" i="1"/>
  <c r="CO412" i="1" s="1"/>
  <c r="CD412" i="1"/>
  <c r="CP412" i="1" s="1"/>
  <c r="CC413" i="1"/>
  <c r="CO413" i="1" s="1"/>
  <c r="CD413" i="1"/>
  <c r="CP413" i="1" s="1"/>
  <c r="CC414" i="1"/>
  <c r="CO414" i="1" s="1"/>
  <c r="CD414" i="1"/>
  <c r="CP414" i="1" s="1"/>
  <c r="CC415" i="1"/>
  <c r="CO415" i="1" s="1"/>
  <c r="CD415" i="1"/>
  <c r="CP415" i="1" s="1"/>
  <c r="CC416" i="1"/>
  <c r="CO416" i="1" s="1"/>
  <c r="CD416" i="1"/>
  <c r="CP416" i="1" s="1"/>
  <c r="CC417" i="1"/>
  <c r="CO417" i="1" s="1"/>
  <c r="CD417" i="1"/>
  <c r="CP417" i="1" s="1"/>
  <c r="CC418" i="1"/>
  <c r="CO418" i="1" s="1"/>
  <c r="CD418" i="1"/>
  <c r="CP418" i="1" s="1"/>
  <c r="CC419" i="1"/>
  <c r="CO419" i="1" s="1"/>
  <c r="CD419" i="1"/>
  <c r="CP419" i="1" s="1"/>
  <c r="CC420" i="1"/>
  <c r="CO420" i="1" s="1"/>
  <c r="CD420" i="1"/>
  <c r="CP420" i="1" s="1"/>
  <c r="CC421" i="1"/>
  <c r="CO421" i="1" s="1"/>
  <c r="CD421" i="1"/>
  <c r="CP421" i="1" s="1"/>
  <c r="CC422" i="1"/>
  <c r="CO422" i="1" s="1"/>
  <c r="CD422" i="1"/>
  <c r="CP422" i="1" s="1"/>
  <c r="CC423" i="1"/>
  <c r="CO423" i="1" s="1"/>
  <c r="CD423" i="1"/>
  <c r="CP423" i="1" s="1"/>
  <c r="CC424" i="1"/>
  <c r="CO424" i="1" s="1"/>
  <c r="CD424" i="1"/>
  <c r="CP424" i="1" s="1"/>
  <c r="CC425" i="1"/>
  <c r="CO425" i="1" s="1"/>
  <c r="CD425" i="1"/>
  <c r="CP425" i="1" s="1"/>
  <c r="CC426" i="1"/>
  <c r="CO426" i="1" s="1"/>
  <c r="CD426" i="1"/>
  <c r="CP426" i="1" s="1"/>
  <c r="CC427" i="1"/>
  <c r="CO427" i="1" s="1"/>
  <c r="CD427" i="1"/>
  <c r="CP427" i="1" s="1"/>
  <c r="CC428" i="1"/>
  <c r="CO428" i="1" s="1"/>
  <c r="CD428" i="1"/>
  <c r="CP428" i="1" s="1"/>
  <c r="CC429" i="1"/>
  <c r="CO429" i="1" s="1"/>
  <c r="CD429" i="1"/>
  <c r="CP429" i="1" s="1"/>
  <c r="CC430" i="1"/>
  <c r="CO430" i="1" s="1"/>
  <c r="CD430" i="1"/>
  <c r="CP430" i="1" s="1"/>
  <c r="CC431" i="1"/>
  <c r="CO431" i="1" s="1"/>
  <c r="CD431" i="1"/>
  <c r="CP431" i="1" s="1"/>
  <c r="CC432" i="1"/>
  <c r="CO432" i="1" s="1"/>
  <c r="CD432" i="1"/>
  <c r="CP432" i="1" s="1"/>
  <c r="CC433" i="1"/>
  <c r="CO433" i="1" s="1"/>
  <c r="CD433" i="1"/>
  <c r="CP433" i="1" s="1"/>
  <c r="CC434" i="1"/>
  <c r="CO434" i="1" s="1"/>
  <c r="CD434" i="1"/>
  <c r="CP434" i="1" s="1"/>
  <c r="CC435" i="1"/>
  <c r="CO435" i="1" s="1"/>
  <c r="CD435" i="1"/>
  <c r="CP435" i="1" s="1"/>
  <c r="CC436" i="1"/>
  <c r="CO436" i="1" s="1"/>
  <c r="CD436" i="1"/>
  <c r="CP436" i="1" s="1"/>
  <c r="CC437" i="1"/>
  <c r="CO437" i="1" s="1"/>
  <c r="CD437" i="1"/>
  <c r="CP437" i="1" s="1"/>
  <c r="CC154" i="1"/>
  <c r="CO154" i="1" s="1"/>
  <c r="CD154" i="1"/>
  <c r="CP154" i="1" s="1"/>
  <c r="CC251" i="1"/>
  <c r="CO251" i="1" s="1"/>
  <c r="CD251" i="1"/>
  <c r="CP251" i="1" s="1"/>
  <c r="CC438" i="1"/>
  <c r="CO438" i="1" s="1"/>
  <c r="CD438" i="1"/>
  <c r="CP438" i="1" s="1"/>
  <c r="CC439" i="1"/>
  <c r="CO439" i="1" s="1"/>
  <c r="CD439" i="1"/>
  <c r="CP439" i="1" s="1"/>
  <c r="CC8" i="1"/>
  <c r="CO8" i="1" s="1"/>
  <c r="CD8" i="1"/>
  <c r="CP8" i="1" s="1"/>
  <c r="CC440" i="1"/>
  <c r="CO440" i="1" s="1"/>
  <c r="CD440" i="1"/>
  <c r="CP440" i="1" s="1"/>
  <c r="CC441" i="1"/>
  <c r="CO441" i="1" s="1"/>
  <c r="CD441" i="1"/>
  <c r="CP441" i="1" s="1"/>
  <c r="CC163" i="1"/>
  <c r="CO163" i="1" s="1"/>
  <c r="CD163" i="1"/>
  <c r="CP163" i="1" s="1"/>
  <c r="CC319" i="1"/>
  <c r="CO319" i="1" s="1"/>
  <c r="CD319" i="1"/>
  <c r="CP319" i="1" s="1"/>
  <c r="CC442" i="1"/>
  <c r="CO442" i="1" s="1"/>
  <c r="CD442" i="1"/>
  <c r="CP442" i="1" s="1"/>
  <c r="CC443" i="1"/>
  <c r="CO443" i="1" s="1"/>
  <c r="CD443" i="1"/>
  <c r="CP443" i="1" s="1"/>
  <c r="CC239" i="1"/>
  <c r="CO239" i="1" s="1"/>
  <c r="CD239" i="1"/>
  <c r="CP239" i="1" s="1"/>
  <c r="CC444" i="1"/>
  <c r="CO444" i="1" s="1"/>
  <c r="CD444" i="1"/>
  <c r="CP444" i="1" s="1"/>
  <c r="CC294" i="1"/>
  <c r="CO294" i="1" s="1"/>
  <c r="CD294" i="1"/>
  <c r="CP294" i="1" s="1"/>
  <c r="CC236" i="1"/>
  <c r="CO236" i="1" s="1"/>
  <c r="CD236" i="1"/>
  <c r="CP236" i="1" s="1"/>
  <c r="CC320" i="1"/>
  <c r="CO320" i="1" s="1"/>
  <c r="CD320" i="1"/>
  <c r="CP320" i="1" s="1"/>
  <c r="CC323" i="1"/>
  <c r="CO323" i="1" s="1"/>
  <c r="CD323" i="1"/>
  <c r="CP323" i="1" s="1"/>
  <c r="CC329" i="1"/>
  <c r="CO329" i="1" s="1"/>
  <c r="CD329" i="1"/>
  <c r="CP329" i="1" s="1"/>
  <c r="CC173" i="1"/>
  <c r="CO173" i="1" s="1"/>
  <c r="CD173" i="1"/>
  <c r="CP173" i="1" s="1"/>
  <c r="CC130" i="1"/>
  <c r="CO130" i="1" s="1"/>
  <c r="CD130" i="1"/>
  <c r="CP130" i="1" s="1"/>
  <c r="CC445" i="1"/>
  <c r="CO445" i="1" s="1"/>
  <c r="CD445" i="1"/>
  <c r="CP445" i="1" s="1"/>
  <c r="CC238" i="1"/>
  <c r="CO238" i="1" s="1"/>
  <c r="CD238" i="1"/>
  <c r="CP238" i="1" s="1"/>
  <c r="CC234" i="1"/>
  <c r="CO234" i="1" s="1"/>
  <c r="CD234" i="1"/>
  <c r="CP234" i="1" s="1"/>
  <c r="CC235" i="1"/>
  <c r="CO235" i="1" s="1"/>
  <c r="CD235" i="1"/>
  <c r="CP235" i="1" s="1"/>
  <c r="CC326" i="1"/>
  <c r="CO326" i="1" s="1"/>
  <c r="CD326" i="1"/>
  <c r="CP326" i="1" s="1"/>
  <c r="CC446" i="1"/>
  <c r="CO446" i="1" s="1"/>
  <c r="CD446" i="1"/>
  <c r="CP446" i="1" s="1"/>
  <c r="CC447" i="1"/>
  <c r="CO447" i="1" s="1"/>
  <c r="CD447" i="1"/>
  <c r="CP447" i="1" s="1"/>
  <c r="CC448" i="1"/>
  <c r="CO448" i="1" s="1"/>
  <c r="CD448" i="1"/>
  <c r="CP448" i="1" s="1"/>
  <c r="CC237" i="1"/>
  <c r="CO237" i="1" s="1"/>
  <c r="CD237" i="1"/>
  <c r="CP237" i="1" s="1"/>
  <c r="CC321" i="1"/>
  <c r="CO321" i="1" s="1"/>
  <c r="CD321" i="1"/>
  <c r="CP321" i="1" s="1"/>
  <c r="CC330" i="1"/>
  <c r="CO330" i="1" s="1"/>
  <c r="CD330" i="1"/>
  <c r="CP330" i="1" s="1"/>
  <c r="CC449" i="1"/>
  <c r="CO449" i="1" s="1"/>
  <c r="CD449" i="1"/>
  <c r="CP449" i="1" s="1"/>
  <c r="CC328" i="1"/>
  <c r="CO328" i="1" s="1"/>
  <c r="CD328" i="1"/>
  <c r="CP328" i="1" s="1"/>
  <c r="CC450" i="1"/>
  <c r="CO450" i="1" s="1"/>
  <c r="CD450" i="1"/>
  <c r="CP450" i="1" s="1"/>
  <c r="CC322" i="1"/>
  <c r="CO322" i="1" s="1"/>
  <c r="CD322" i="1"/>
  <c r="CP322" i="1" s="1"/>
  <c r="CC451" i="1"/>
  <c r="CO451" i="1" s="1"/>
  <c r="CD451" i="1"/>
  <c r="CP451" i="1" s="1"/>
  <c r="CC452" i="1"/>
  <c r="CO452" i="1" s="1"/>
  <c r="CD452" i="1"/>
  <c r="CP452" i="1" s="1"/>
  <c r="CC453" i="1"/>
  <c r="CO453" i="1" s="1"/>
  <c r="CD453" i="1"/>
  <c r="CP453" i="1" s="1"/>
  <c r="CC454" i="1"/>
  <c r="CO454" i="1" s="1"/>
  <c r="CD454" i="1"/>
  <c r="CP454" i="1" s="1"/>
  <c r="CC455" i="1"/>
  <c r="CO455" i="1" s="1"/>
  <c r="CD455" i="1"/>
  <c r="CP455" i="1" s="1"/>
  <c r="CC456" i="1"/>
  <c r="CO456" i="1" s="1"/>
  <c r="CD456" i="1"/>
  <c r="CP456" i="1" s="1"/>
  <c r="CC457" i="1"/>
  <c r="CO457" i="1" s="1"/>
  <c r="CD457" i="1"/>
  <c r="CP457" i="1" s="1"/>
  <c r="CC458" i="1"/>
  <c r="CO458" i="1" s="1"/>
  <c r="CD458" i="1"/>
  <c r="CP458" i="1" s="1"/>
  <c r="CC459" i="1"/>
  <c r="CO459" i="1" s="1"/>
  <c r="CD459" i="1"/>
  <c r="CP459" i="1" s="1"/>
  <c r="CC460" i="1"/>
  <c r="CO460" i="1" s="1"/>
  <c r="CD460" i="1"/>
  <c r="CP460" i="1" s="1"/>
  <c r="CC461" i="1"/>
  <c r="CO461" i="1" s="1"/>
  <c r="CD461" i="1"/>
  <c r="CP461" i="1" s="1"/>
  <c r="CC462" i="1"/>
  <c r="CO462" i="1" s="1"/>
  <c r="CD462" i="1"/>
  <c r="CP462" i="1" s="1"/>
  <c r="CC463" i="1"/>
  <c r="CO463" i="1" s="1"/>
  <c r="CD463" i="1"/>
  <c r="CP463" i="1" s="1"/>
  <c r="CC327" i="1"/>
  <c r="CO327" i="1" s="1"/>
  <c r="CD327" i="1"/>
  <c r="CP327" i="1" s="1"/>
  <c r="CC324" i="1"/>
  <c r="CO324" i="1" s="1"/>
  <c r="CD324" i="1"/>
  <c r="CP324" i="1" s="1"/>
  <c r="CC325" i="1"/>
  <c r="CO325" i="1" s="1"/>
  <c r="CD325" i="1"/>
  <c r="CP325" i="1" s="1"/>
  <c r="CC464" i="1"/>
  <c r="CO464" i="1" s="1"/>
  <c r="CD464" i="1"/>
  <c r="CP464" i="1" s="1"/>
  <c r="CC465" i="1"/>
  <c r="CO465" i="1" s="1"/>
  <c r="CD465" i="1"/>
  <c r="CP465" i="1" s="1"/>
  <c r="CC136" i="1"/>
  <c r="CO136" i="1" s="1"/>
  <c r="CD136" i="1"/>
  <c r="CP136" i="1" s="1"/>
  <c r="CB465" i="1"/>
  <c r="CN465" i="1" s="1"/>
  <c r="CB464" i="1"/>
  <c r="CN464" i="1" s="1"/>
  <c r="CB325" i="1"/>
  <c r="CN325" i="1" s="1"/>
  <c r="CB324" i="1"/>
  <c r="CN324" i="1" s="1"/>
  <c r="CB327" i="1"/>
  <c r="CN327" i="1" s="1"/>
  <c r="CB463" i="1"/>
  <c r="CN463" i="1" s="1"/>
  <c r="CB462" i="1"/>
  <c r="CN462" i="1" s="1"/>
  <c r="CB461" i="1"/>
  <c r="CN461" i="1" s="1"/>
  <c r="CB460" i="1"/>
  <c r="CN460" i="1" s="1"/>
  <c r="CB459" i="1"/>
  <c r="CN459" i="1" s="1"/>
  <c r="CB458" i="1"/>
  <c r="CN458" i="1" s="1"/>
  <c r="CB457" i="1"/>
  <c r="CN457" i="1" s="1"/>
  <c r="CB456" i="1"/>
  <c r="CN456" i="1" s="1"/>
  <c r="CB455" i="1"/>
  <c r="CN455" i="1" s="1"/>
  <c r="CB454" i="1"/>
  <c r="CN454" i="1" s="1"/>
  <c r="CB453" i="1"/>
  <c r="CN453" i="1" s="1"/>
  <c r="CB452" i="1"/>
  <c r="CN452" i="1" s="1"/>
  <c r="CB451" i="1"/>
  <c r="CN451" i="1" s="1"/>
  <c r="CB322" i="1"/>
  <c r="CN322" i="1" s="1"/>
  <c r="CB450" i="1"/>
  <c r="CN450" i="1" s="1"/>
  <c r="CB328" i="1"/>
  <c r="CN328" i="1" s="1"/>
  <c r="CB449" i="1"/>
  <c r="CN449" i="1" s="1"/>
  <c r="CB330" i="1"/>
  <c r="CN330" i="1" s="1"/>
  <c r="CB321" i="1"/>
  <c r="CN321" i="1" s="1"/>
  <c r="CB237" i="1"/>
  <c r="CN237" i="1" s="1"/>
  <c r="CB448" i="1"/>
  <c r="CN448" i="1" s="1"/>
  <c r="CB447" i="1"/>
  <c r="CN447" i="1" s="1"/>
  <c r="CB446" i="1"/>
  <c r="CN446" i="1" s="1"/>
  <c r="CB326" i="1"/>
  <c r="CN326" i="1" s="1"/>
  <c r="CB235" i="1"/>
  <c r="CN235" i="1" s="1"/>
  <c r="CB234" i="1"/>
  <c r="CN234" i="1" s="1"/>
  <c r="CB238" i="1"/>
  <c r="CN238" i="1" s="1"/>
  <c r="CB445" i="1"/>
  <c r="CN445" i="1" s="1"/>
  <c r="CB130" i="1"/>
  <c r="CN130" i="1" s="1"/>
  <c r="CB173" i="1"/>
  <c r="CN173" i="1" s="1"/>
  <c r="CB329" i="1"/>
  <c r="CN329" i="1" s="1"/>
  <c r="CB323" i="1"/>
  <c r="CN323" i="1" s="1"/>
  <c r="CB320" i="1"/>
  <c r="CN320" i="1" s="1"/>
  <c r="CB236" i="1"/>
  <c r="CN236" i="1" s="1"/>
  <c r="CB294" i="1"/>
  <c r="CN294" i="1" s="1"/>
  <c r="CB444" i="1"/>
  <c r="CN444" i="1" s="1"/>
  <c r="CB239" i="1"/>
  <c r="CN239" i="1" s="1"/>
  <c r="CB443" i="1"/>
  <c r="CN443" i="1" s="1"/>
  <c r="CB442" i="1"/>
  <c r="CN442" i="1" s="1"/>
  <c r="CB163" i="1"/>
  <c r="CN163" i="1" s="1"/>
  <c r="CB441" i="1"/>
  <c r="CN441" i="1" s="1"/>
  <c r="CB440" i="1"/>
  <c r="CN440" i="1" s="1"/>
  <c r="CB8" i="1"/>
  <c r="CN8" i="1" s="1"/>
  <c r="CB439" i="1"/>
  <c r="CN439" i="1" s="1"/>
  <c r="CB438" i="1"/>
  <c r="CN438" i="1" s="1"/>
  <c r="CB251" i="1"/>
  <c r="CN251" i="1" s="1"/>
  <c r="CB154" i="1"/>
  <c r="CN154" i="1" s="1"/>
  <c r="CB437" i="1"/>
  <c r="CN437" i="1" s="1"/>
  <c r="CB436" i="1"/>
  <c r="CN436" i="1" s="1"/>
  <c r="CB435" i="1"/>
  <c r="CN435" i="1" s="1"/>
  <c r="CB434" i="1"/>
  <c r="CN434" i="1" s="1"/>
  <c r="CB433" i="1"/>
  <c r="CN433" i="1" s="1"/>
  <c r="CB432" i="1"/>
  <c r="CN432" i="1" s="1"/>
  <c r="CB431" i="1"/>
  <c r="CN431" i="1" s="1"/>
  <c r="CB430" i="1"/>
  <c r="CN430" i="1" s="1"/>
  <c r="CB429" i="1"/>
  <c r="CN429" i="1" s="1"/>
  <c r="CB428" i="1"/>
  <c r="CN428" i="1" s="1"/>
  <c r="CB427" i="1"/>
  <c r="CN427" i="1" s="1"/>
  <c r="CB426" i="1"/>
  <c r="CN426" i="1" s="1"/>
  <c r="CB425" i="1"/>
  <c r="CN425" i="1" s="1"/>
  <c r="CB424" i="1"/>
  <c r="CN424" i="1" s="1"/>
  <c r="CB423" i="1"/>
  <c r="CN423" i="1" s="1"/>
  <c r="CB422" i="1"/>
  <c r="CN422" i="1" s="1"/>
  <c r="CB421" i="1"/>
  <c r="CN421" i="1" s="1"/>
  <c r="CB420" i="1"/>
  <c r="CN420" i="1" s="1"/>
  <c r="CB419" i="1"/>
  <c r="CN419" i="1" s="1"/>
  <c r="CB418" i="1"/>
  <c r="CN418" i="1" s="1"/>
  <c r="CB417" i="1"/>
  <c r="CN417" i="1" s="1"/>
  <c r="CB416" i="1"/>
  <c r="CN416" i="1" s="1"/>
  <c r="CB415" i="1"/>
  <c r="CN415" i="1" s="1"/>
  <c r="CB414" i="1"/>
  <c r="CN414" i="1" s="1"/>
  <c r="CB413" i="1"/>
  <c r="CN413" i="1" s="1"/>
  <c r="CB412" i="1"/>
  <c r="CN412" i="1" s="1"/>
  <c r="CB411" i="1"/>
  <c r="CN411" i="1" s="1"/>
  <c r="CB410" i="1"/>
  <c r="CN410" i="1" s="1"/>
  <c r="CB409" i="1"/>
  <c r="CN409" i="1" s="1"/>
  <c r="CB408" i="1"/>
  <c r="CN408" i="1" s="1"/>
  <c r="CB407" i="1"/>
  <c r="CN407" i="1" s="1"/>
  <c r="CB406" i="1"/>
  <c r="CN406" i="1" s="1"/>
  <c r="CB405" i="1"/>
  <c r="CN405" i="1" s="1"/>
  <c r="CB404" i="1"/>
  <c r="CN404" i="1" s="1"/>
  <c r="CB403" i="1"/>
  <c r="CN403" i="1" s="1"/>
  <c r="CB402" i="1"/>
  <c r="CN402" i="1" s="1"/>
  <c r="CB401" i="1"/>
  <c r="CN401" i="1" s="1"/>
  <c r="CB400" i="1"/>
  <c r="CN400" i="1" s="1"/>
  <c r="CB399" i="1"/>
  <c r="CN399" i="1" s="1"/>
  <c r="CB398" i="1"/>
  <c r="CN398" i="1" s="1"/>
  <c r="CB397" i="1"/>
  <c r="CN397" i="1" s="1"/>
  <c r="CB396" i="1"/>
  <c r="CN396" i="1" s="1"/>
  <c r="CB395" i="1"/>
  <c r="CN395" i="1" s="1"/>
  <c r="CB394" i="1"/>
  <c r="CN394" i="1" s="1"/>
  <c r="CB393" i="1"/>
  <c r="CN393" i="1" s="1"/>
  <c r="CB392" i="1"/>
  <c r="CN392" i="1" s="1"/>
  <c r="CB391" i="1"/>
  <c r="CN391" i="1" s="1"/>
  <c r="CB390" i="1"/>
  <c r="CN390" i="1" s="1"/>
  <c r="CB389" i="1"/>
  <c r="CN389" i="1" s="1"/>
  <c r="CB388" i="1"/>
  <c r="CN388" i="1" s="1"/>
  <c r="CB387" i="1"/>
  <c r="CN387" i="1" s="1"/>
  <c r="CB386" i="1"/>
  <c r="CN386" i="1" s="1"/>
  <c r="CB385" i="1"/>
  <c r="CN385" i="1" s="1"/>
  <c r="CB384" i="1"/>
  <c r="CN384" i="1" s="1"/>
  <c r="CB383" i="1"/>
  <c r="CN383" i="1" s="1"/>
  <c r="CB382" i="1"/>
  <c r="CN382" i="1" s="1"/>
  <c r="CB381" i="1"/>
  <c r="CN381" i="1" s="1"/>
  <c r="CB380" i="1"/>
  <c r="CN380" i="1" s="1"/>
  <c r="CB379" i="1"/>
  <c r="CN379" i="1" s="1"/>
  <c r="CB378" i="1"/>
  <c r="CN378" i="1" s="1"/>
  <c r="CB377" i="1"/>
  <c r="CN377" i="1" s="1"/>
  <c r="CB376" i="1"/>
  <c r="CN376" i="1" s="1"/>
  <c r="CB375" i="1"/>
  <c r="CN375" i="1" s="1"/>
  <c r="CB374" i="1"/>
  <c r="CN374" i="1" s="1"/>
  <c r="CB373" i="1"/>
  <c r="CN373" i="1" s="1"/>
  <c r="CB372" i="1"/>
  <c r="CN372" i="1" s="1"/>
  <c r="CB371" i="1"/>
  <c r="CN371" i="1" s="1"/>
  <c r="CB370" i="1"/>
  <c r="CN370" i="1" s="1"/>
  <c r="CB369" i="1"/>
  <c r="CN369" i="1" s="1"/>
  <c r="CB368" i="1"/>
  <c r="CN368" i="1" s="1"/>
  <c r="CB367" i="1"/>
  <c r="CN367" i="1" s="1"/>
  <c r="CB366" i="1"/>
  <c r="CN366" i="1" s="1"/>
  <c r="CB365" i="1"/>
  <c r="CN365" i="1" s="1"/>
  <c r="CB364" i="1"/>
  <c r="CN364" i="1" s="1"/>
  <c r="CB363" i="1"/>
  <c r="CN363" i="1" s="1"/>
  <c r="CB362" i="1"/>
  <c r="CN362" i="1" s="1"/>
  <c r="CB361" i="1"/>
  <c r="CN361" i="1" s="1"/>
  <c r="CB360" i="1"/>
  <c r="CN360" i="1" s="1"/>
  <c r="CB359" i="1"/>
  <c r="CN359" i="1" s="1"/>
  <c r="CB358" i="1"/>
  <c r="CN358" i="1" s="1"/>
  <c r="CB357" i="1"/>
  <c r="CN357" i="1" s="1"/>
  <c r="CB356" i="1"/>
  <c r="CN356" i="1" s="1"/>
  <c r="CB355" i="1"/>
  <c r="CN355" i="1" s="1"/>
  <c r="CB354" i="1"/>
  <c r="CN354" i="1" s="1"/>
  <c r="CB353" i="1"/>
  <c r="CN353" i="1" s="1"/>
  <c r="CB352" i="1"/>
  <c r="CN352" i="1" s="1"/>
  <c r="CB351" i="1"/>
  <c r="CN351" i="1" s="1"/>
  <c r="CB350" i="1"/>
  <c r="CN350" i="1" s="1"/>
  <c r="CB349" i="1"/>
  <c r="CN349" i="1" s="1"/>
  <c r="CB348" i="1"/>
  <c r="CN348" i="1" s="1"/>
  <c r="CB347" i="1"/>
  <c r="CN347" i="1" s="1"/>
  <c r="CB346" i="1"/>
  <c r="CN346" i="1" s="1"/>
  <c r="CB345" i="1"/>
  <c r="CN345" i="1" s="1"/>
  <c r="CB344" i="1"/>
  <c r="CN344" i="1" s="1"/>
  <c r="CB343" i="1"/>
  <c r="CN343" i="1" s="1"/>
  <c r="CB342" i="1"/>
  <c r="CN342" i="1" s="1"/>
  <c r="CB341" i="1"/>
  <c r="CN341" i="1" s="1"/>
  <c r="CB340" i="1"/>
  <c r="CN340" i="1" s="1"/>
  <c r="CB339" i="1"/>
  <c r="CN339" i="1" s="1"/>
  <c r="CB338" i="1"/>
  <c r="CN338" i="1" s="1"/>
  <c r="CB337" i="1"/>
  <c r="CN337" i="1" s="1"/>
  <c r="CB336" i="1"/>
  <c r="CN336" i="1" s="1"/>
  <c r="CB335" i="1"/>
  <c r="CN335" i="1" s="1"/>
  <c r="CB334" i="1"/>
  <c r="CN334" i="1" s="1"/>
  <c r="CB333" i="1"/>
  <c r="CN333" i="1" s="1"/>
  <c r="CB332" i="1"/>
  <c r="CN332" i="1" s="1"/>
  <c r="CB331" i="1"/>
  <c r="CN331" i="1" s="1"/>
  <c r="CB186" i="1"/>
  <c r="CN186" i="1" s="1"/>
  <c r="CB208" i="1"/>
  <c r="CN208" i="1" s="1"/>
  <c r="CB277" i="1"/>
  <c r="CN277" i="1" s="1"/>
  <c r="CB209" i="1"/>
  <c r="CN209" i="1" s="1"/>
  <c r="CB182" i="1"/>
  <c r="CN182" i="1" s="1"/>
  <c r="CB215" i="1"/>
  <c r="CN215" i="1" s="1"/>
  <c r="CB181" i="1"/>
  <c r="CN181" i="1" s="1"/>
  <c r="CB291" i="1"/>
  <c r="CN291" i="1" s="1"/>
  <c r="CB53" i="1"/>
  <c r="CN53" i="1" s="1"/>
  <c r="CB77" i="1"/>
  <c r="CN77" i="1" s="1"/>
  <c r="CB196" i="1"/>
  <c r="CN196" i="1" s="1"/>
  <c r="CB184" i="1"/>
  <c r="CN184" i="1" s="1"/>
  <c r="CB226" i="1"/>
  <c r="CN226" i="1" s="1"/>
  <c r="CB179" i="1"/>
  <c r="CN179" i="1" s="1"/>
  <c r="CB45" i="1"/>
  <c r="CN45" i="1" s="1"/>
  <c r="CB187" i="1"/>
  <c r="CN187" i="1" s="1"/>
  <c r="CB256" i="1"/>
  <c r="CN256" i="1" s="1"/>
  <c r="CB139" i="1"/>
  <c r="CN139" i="1" s="1"/>
  <c r="CB185" i="1"/>
  <c r="CN185" i="1" s="1"/>
  <c r="CB283" i="1"/>
  <c r="CN283" i="1" s="1"/>
  <c r="CB219" i="1"/>
  <c r="CN219" i="1" s="1"/>
  <c r="CB190" i="1"/>
  <c r="CN190" i="1" s="1"/>
  <c r="CB289" i="1"/>
  <c r="CN289" i="1" s="1"/>
  <c r="CB216" i="1"/>
  <c r="CN216" i="1" s="1"/>
  <c r="CB89" i="1"/>
  <c r="CN89" i="1" s="1"/>
  <c r="CB158" i="1"/>
  <c r="CN158" i="1" s="1"/>
  <c r="CB287" i="1"/>
  <c r="CN287" i="1" s="1"/>
  <c r="CB172" i="1"/>
  <c r="CN172" i="1" s="1"/>
  <c r="CB205" i="1"/>
  <c r="CN205" i="1" s="1"/>
  <c r="CB229" i="1"/>
  <c r="CN229" i="1" s="1"/>
  <c r="CB188" i="1"/>
  <c r="CN188" i="1" s="1"/>
  <c r="CB280" i="1"/>
  <c r="CN280" i="1" s="1"/>
  <c r="CB180" i="1"/>
  <c r="CN180" i="1" s="1"/>
  <c r="CB156" i="1"/>
  <c r="CN156" i="1" s="1"/>
  <c r="CB318" i="1"/>
  <c r="CN318" i="1" s="1"/>
  <c r="CB231" i="1"/>
  <c r="CN231" i="1" s="1"/>
  <c r="CB317" i="1"/>
  <c r="CN317" i="1" s="1"/>
  <c r="CB165" i="1"/>
  <c r="CN165" i="1" s="1"/>
  <c r="CB227" i="1"/>
  <c r="CN227" i="1" s="1"/>
  <c r="CB176" i="1"/>
  <c r="CN176" i="1" s="1"/>
  <c r="CB60" i="1"/>
  <c r="CN60" i="1" s="1"/>
  <c r="CB44" i="1"/>
  <c r="CN44" i="1" s="1"/>
  <c r="CB197" i="1"/>
  <c r="CN197" i="1" s="1"/>
  <c r="CB95" i="1"/>
  <c r="CN95" i="1" s="1"/>
  <c r="CB292" i="1"/>
  <c r="CN292" i="1" s="1"/>
  <c r="CB274" i="1"/>
  <c r="CN274" i="1" s="1"/>
  <c r="CB119" i="1"/>
  <c r="CN119" i="1" s="1"/>
  <c r="CB3" i="1"/>
  <c r="CN3" i="1" s="1"/>
  <c r="CB145" i="1"/>
  <c r="CN145" i="1" s="1"/>
  <c r="CB225" i="1"/>
  <c r="CN225" i="1" s="1"/>
  <c r="CB206" i="1"/>
  <c r="CN206" i="1" s="1"/>
  <c r="CB276" i="1"/>
  <c r="CN276" i="1" s="1"/>
  <c r="CB240" i="1"/>
  <c r="CN240" i="1" s="1"/>
  <c r="CB14" i="1"/>
  <c r="CN14" i="1" s="1"/>
  <c r="CB166" i="1"/>
  <c r="CN166" i="1" s="1"/>
  <c r="CB29" i="1"/>
  <c r="CN29" i="1" s="1"/>
  <c r="CB213" i="1"/>
  <c r="CN213" i="1" s="1"/>
  <c r="CB178" i="1"/>
  <c r="CN178" i="1" s="1"/>
  <c r="CB284" i="1"/>
  <c r="CN284" i="1" s="1"/>
  <c r="CB195" i="1"/>
  <c r="CN195" i="1" s="1"/>
  <c r="CB168" i="1"/>
  <c r="CN168" i="1" s="1"/>
  <c r="CB316" i="1"/>
  <c r="CN316" i="1" s="1"/>
  <c r="CB174" i="1"/>
  <c r="CN174" i="1" s="1"/>
  <c r="CB201" i="1"/>
  <c r="CN201" i="1" s="1"/>
  <c r="CB143" i="1"/>
  <c r="CN143" i="1" s="1"/>
  <c r="CB214" i="1"/>
  <c r="CN214" i="1" s="1"/>
  <c r="CB13" i="1"/>
  <c r="CN13" i="1" s="1"/>
  <c r="CB207" i="1"/>
  <c r="CN207" i="1" s="1"/>
  <c r="CB262" i="1"/>
  <c r="CN262" i="1" s="1"/>
  <c r="CB103" i="1"/>
  <c r="CN103" i="1" s="1"/>
  <c r="CB272" i="1"/>
  <c r="CN272" i="1" s="1"/>
  <c r="CB315" i="1"/>
  <c r="CN315" i="1" s="1"/>
  <c r="CB223" i="1"/>
  <c r="CN223" i="1" s="1"/>
  <c r="CB183" i="1"/>
  <c r="CN183" i="1" s="1"/>
  <c r="CB258" i="1"/>
  <c r="CN258" i="1" s="1"/>
  <c r="CB297" i="1"/>
  <c r="CN297" i="1" s="1"/>
  <c r="CB249" i="1"/>
  <c r="CN249" i="1" s="1"/>
  <c r="CB122" i="1"/>
  <c r="CN122" i="1" s="1"/>
  <c r="CB314" i="1"/>
  <c r="CN314" i="1" s="1"/>
  <c r="CB313" i="1"/>
  <c r="CN313" i="1" s="1"/>
  <c r="CB312" i="1"/>
  <c r="CN312" i="1" s="1"/>
  <c r="CB217" i="1"/>
  <c r="CN217" i="1" s="1"/>
  <c r="CB152" i="1"/>
  <c r="CN152" i="1" s="1"/>
  <c r="CB2" i="1"/>
  <c r="CN2" i="1" s="1"/>
  <c r="CB193" i="1"/>
  <c r="CN193" i="1" s="1"/>
  <c r="CB153" i="1"/>
  <c r="CN153" i="1" s="1"/>
  <c r="CB124" i="1"/>
  <c r="CN124" i="1" s="1"/>
  <c r="CB47" i="1"/>
  <c r="CN47" i="1" s="1"/>
  <c r="CB160" i="1"/>
  <c r="CN160" i="1" s="1"/>
  <c r="CB204" i="1"/>
  <c r="CN204" i="1" s="1"/>
  <c r="CB79" i="1"/>
  <c r="CN79" i="1" s="1"/>
  <c r="CB108" i="1"/>
  <c r="CN108" i="1" s="1"/>
  <c r="CB146" i="1"/>
  <c r="CN146" i="1" s="1"/>
  <c r="CB116" i="1"/>
  <c r="CN116" i="1" s="1"/>
  <c r="CB134" i="1"/>
  <c r="CN134" i="1" s="1"/>
  <c r="CB224" i="1"/>
  <c r="CN224" i="1" s="1"/>
  <c r="CB73" i="1"/>
  <c r="CN73" i="1" s="1"/>
  <c r="CB282" i="1"/>
  <c r="CN282" i="1" s="1"/>
  <c r="CB66" i="1"/>
  <c r="CN66" i="1" s="1"/>
  <c r="CB311" i="1"/>
  <c r="CN311" i="1" s="1"/>
  <c r="CB246" i="1"/>
  <c r="CN246" i="1" s="1"/>
  <c r="CB310" i="1"/>
  <c r="CN310" i="1" s="1"/>
  <c r="CB233" i="1"/>
  <c r="CN233" i="1" s="1"/>
  <c r="CB110" i="1"/>
  <c r="CN110" i="1" s="1"/>
  <c r="CB162" i="1"/>
  <c r="CN162" i="1" s="1"/>
  <c r="CB309" i="1"/>
  <c r="CN309" i="1" s="1"/>
  <c r="CB279" i="1"/>
  <c r="CN279" i="1" s="1"/>
  <c r="CB70" i="1"/>
  <c r="CN70" i="1" s="1"/>
  <c r="CB105" i="1"/>
  <c r="CN105" i="1" s="1"/>
  <c r="CB290" i="1"/>
  <c r="CN290" i="1" s="1"/>
  <c r="CB65" i="1"/>
  <c r="CN65" i="1" s="1"/>
  <c r="CB177" i="1"/>
  <c r="CN177" i="1" s="1"/>
  <c r="CB114" i="1"/>
  <c r="CN114" i="1" s="1"/>
  <c r="CB41" i="1"/>
  <c r="CN41" i="1" s="1"/>
  <c r="CB288" i="1"/>
  <c r="CN288" i="1" s="1"/>
  <c r="CB308" i="1"/>
  <c r="CN308" i="1" s="1"/>
  <c r="CB15" i="1"/>
  <c r="CN15" i="1" s="1"/>
  <c r="CB131" i="1"/>
  <c r="CN131" i="1" s="1"/>
  <c r="CB101" i="1"/>
  <c r="CN101" i="1" s="1"/>
  <c r="CB171" i="1"/>
  <c r="CN171" i="1" s="1"/>
  <c r="CB307" i="1"/>
  <c r="CN307" i="1" s="1"/>
  <c r="CB83" i="1"/>
  <c r="CN83" i="1" s="1"/>
  <c r="CB100" i="1"/>
  <c r="CN100" i="1" s="1"/>
  <c r="CB78" i="1"/>
  <c r="CN78" i="1" s="1"/>
  <c r="CB306" i="1"/>
  <c r="CN306" i="1" s="1"/>
  <c r="CB144" i="1"/>
  <c r="CN144" i="1" s="1"/>
  <c r="CB155" i="1"/>
  <c r="CN155" i="1" s="1"/>
  <c r="CB293" i="1"/>
  <c r="CN293" i="1" s="1"/>
  <c r="CB148" i="1"/>
  <c r="CN148" i="1" s="1"/>
  <c r="CB243" i="1"/>
  <c r="CN243" i="1" s="1"/>
  <c r="CB305" i="1"/>
  <c r="CN305" i="1" s="1"/>
  <c r="CB125" i="1"/>
  <c r="CN125" i="1" s="1"/>
  <c r="CB67" i="1"/>
  <c r="CN67" i="1" s="1"/>
  <c r="CB4" i="1"/>
  <c r="CN4" i="1" s="1"/>
  <c r="CB42" i="1"/>
  <c r="CN42" i="1" s="1"/>
  <c r="CB98" i="1"/>
  <c r="CN98" i="1" s="1"/>
  <c r="CB271" i="1"/>
  <c r="CN271" i="1" s="1"/>
  <c r="CB267" i="1"/>
  <c r="CN267" i="1" s="1"/>
  <c r="CB120" i="1"/>
  <c r="CN120" i="1" s="1"/>
  <c r="CB212" i="1"/>
  <c r="CN212" i="1" s="1"/>
  <c r="CB203" i="1"/>
  <c r="CN203" i="1" s="1"/>
  <c r="CB126" i="1"/>
  <c r="CN126" i="1" s="1"/>
  <c r="CB285" i="1"/>
  <c r="CN285" i="1" s="1"/>
  <c r="CB26" i="1"/>
  <c r="CN26" i="1" s="1"/>
  <c r="CB93" i="1"/>
  <c r="CN93" i="1" s="1"/>
  <c r="CB170" i="1"/>
  <c r="CN170" i="1" s="1"/>
  <c r="CB273" i="1"/>
  <c r="CN273" i="1" s="1"/>
  <c r="CB36" i="1"/>
  <c r="CN36" i="1" s="1"/>
  <c r="CB35" i="1"/>
  <c r="CN35" i="1" s="1"/>
  <c r="CB129" i="1"/>
  <c r="CN129" i="1" s="1"/>
  <c r="CB167" i="1"/>
  <c r="CN167" i="1" s="1"/>
  <c r="CB261" i="1"/>
  <c r="CN261" i="1" s="1"/>
  <c r="CB264" i="1"/>
  <c r="CN264" i="1" s="1"/>
  <c r="CB104" i="1"/>
  <c r="CN104" i="1" s="1"/>
  <c r="CB43" i="1"/>
  <c r="CN43" i="1" s="1"/>
  <c r="CB200" i="1"/>
  <c r="CN200" i="1" s="1"/>
  <c r="CB278" i="1"/>
  <c r="CN278" i="1" s="1"/>
  <c r="CB304" i="1"/>
  <c r="CN304" i="1" s="1"/>
  <c r="CB230" i="1"/>
  <c r="CN230" i="1" s="1"/>
  <c r="CB6" i="1"/>
  <c r="CN6" i="1" s="1"/>
  <c r="CB107" i="1"/>
  <c r="CN107" i="1" s="1"/>
  <c r="CB303" i="1"/>
  <c r="CN303" i="1" s="1"/>
  <c r="CB140" i="1"/>
  <c r="CN140" i="1" s="1"/>
  <c r="CB189" i="1"/>
  <c r="CN189" i="1" s="1"/>
  <c r="CB175" i="1"/>
  <c r="CN175" i="1" s="1"/>
  <c r="CB192" i="1"/>
  <c r="CN192" i="1" s="1"/>
  <c r="CB191" i="1"/>
  <c r="CN191" i="1" s="1"/>
  <c r="CB259" i="1"/>
  <c r="CN259" i="1" s="1"/>
  <c r="CB52" i="1"/>
  <c r="CN52" i="1" s="1"/>
  <c r="CB269" i="1"/>
  <c r="CN269" i="1" s="1"/>
  <c r="CB7" i="1"/>
  <c r="CN7" i="1" s="1"/>
  <c r="CB111" i="1"/>
  <c r="CN111" i="1" s="1"/>
  <c r="CB270" i="1"/>
  <c r="CN270" i="1" s="1"/>
  <c r="CB242" i="1"/>
  <c r="CN242" i="1" s="1"/>
  <c r="CB302" i="1"/>
  <c r="CN302" i="1" s="1"/>
  <c r="CB69" i="1"/>
  <c r="CN69" i="1" s="1"/>
  <c r="CB202" i="1"/>
  <c r="CN202" i="1" s="1"/>
  <c r="CB12" i="1"/>
  <c r="CN12" i="1" s="1"/>
  <c r="CB135" i="1"/>
  <c r="CN135" i="1" s="1"/>
  <c r="CB74" i="1"/>
  <c r="CN74" i="1" s="1"/>
  <c r="CB109" i="1"/>
  <c r="CN109" i="1" s="1"/>
  <c r="CB301" i="1"/>
  <c r="CN301" i="1" s="1"/>
  <c r="CB255" i="1"/>
  <c r="CN255" i="1" s="1"/>
  <c r="CB260" i="1"/>
  <c r="CN260" i="1" s="1"/>
  <c r="CB10" i="1"/>
  <c r="CN10" i="1" s="1"/>
  <c r="CB157" i="1"/>
  <c r="CN157" i="1" s="1"/>
  <c r="CB300" i="1"/>
  <c r="CN300" i="1" s="1"/>
  <c r="CB250" i="1"/>
  <c r="CN250" i="1" s="1"/>
  <c r="CB137" i="1"/>
  <c r="CN137" i="1" s="1"/>
  <c r="CB113" i="1"/>
  <c r="CN113" i="1" s="1"/>
  <c r="CB268" i="1"/>
  <c r="CN268" i="1" s="1"/>
  <c r="CB253" i="1"/>
  <c r="CN253" i="1" s="1"/>
  <c r="CB96" i="1"/>
  <c r="CN96" i="1" s="1"/>
  <c r="CB248" i="1"/>
  <c r="CN248" i="1" s="1"/>
  <c r="CB117" i="1"/>
  <c r="CN117" i="1" s="1"/>
  <c r="CB34" i="1"/>
  <c r="CN34" i="1" s="1"/>
  <c r="CB210" i="1"/>
  <c r="CN210" i="1" s="1"/>
  <c r="CB59" i="1"/>
  <c r="CN59" i="1" s="1"/>
  <c r="CB106" i="1"/>
  <c r="CN106" i="1" s="1"/>
  <c r="CB19" i="1"/>
  <c r="CN19" i="1" s="1"/>
  <c r="CB92" i="1"/>
  <c r="CN92" i="1" s="1"/>
  <c r="CB39" i="1"/>
  <c r="CN39" i="1" s="1"/>
  <c r="CB97" i="1"/>
  <c r="CN97" i="1" s="1"/>
  <c r="CB142" i="1"/>
  <c r="CN142" i="1" s="1"/>
  <c r="CB281" i="1"/>
  <c r="CN281" i="1" s="1"/>
  <c r="CB85" i="1"/>
  <c r="CN85" i="1" s="1"/>
  <c r="CB127" i="1"/>
  <c r="CN127" i="1" s="1"/>
  <c r="CB164" i="1"/>
  <c r="CN164" i="1" s="1"/>
  <c r="CB263" i="1"/>
  <c r="CN263" i="1" s="1"/>
  <c r="CB199" i="1"/>
  <c r="CN199" i="1" s="1"/>
  <c r="CB94" i="1"/>
  <c r="CN94" i="1" s="1"/>
  <c r="CB211" i="1"/>
  <c r="CN211" i="1" s="1"/>
  <c r="CB68" i="1"/>
  <c r="CN68" i="1" s="1"/>
  <c r="CB299" i="1"/>
  <c r="CN299" i="1" s="1"/>
  <c r="CB218" i="1"/>
  <c r="CN218" i="1" s="1"/>
  <c r="CB37" i="1"/>
  <c r="CN37" i="1" s="1"/>
  <c r="CB241" i="1"/>
  <c r="CN241" i="1" s="1"/>
  <c r="CB286" i="1"/>
  <c r="CN286" i="1" s="1"/>
  <c r="CB21" i="1"/>
  <c r="CN21" i="1" s="1"/>
  <c r="CB194" i="1"/>
  <c r="CN194" i="1" s="1"/>
  <c r="CB115" i="1"/>
  <c r="CN115" i="1" s="1"/>
  <c r="CB123" i="1"/>
  <c r="CN123" i="1" s="1"/>
  <c r="CB87" i="1"/>
  <c r="CN87" i="1" s="1"/>
  <c r="CB22" i="1"/>
  <c r="CN22" i="1" s="1"/>
  <c r="CB169" i="1"/>
  <c r="CN169" i="1" s="1"/>
  <c r="CB118" i="1"/>
  <c r="CN118" i="1" s="1"/>
  <c r="CB50" i="1"/>
  <c r="CN50" i="1" s="1"/>
  <c r="CB221" i="1"/>
  <c r="CN221" i="1" s="1"/>
  <c r="CB11" i="1"/>
  <c r="CN11" i="1" s="1"/>
  <c r="CB61" i="1"/>
  <c r="CN61" i="1" s="1"/>
  <c r="CB161" i="1"/>
  <c r="CN161" i="1" s="1"/>
  <c r="CB245" i="1"/>
  <c r="CN245" i="1" s="1"/>
  <c r="CB31" i="1"/>
  <c r="CN31" i="1" s="1"/>
  <c r="CB138" i="1"/>
  <c r="CN138" i="1" s="1"/>
  <c r="CB159" i="1"/>
  <c r="CN159" i="1" s="1"/>
  <c r="CB46" i="1"/>
  <c r="CN46" i="1" s="1"/>
  <c r="CB76" i="1"/>
  <c r="CN76" i="1" s="1"/>
  <c r="CB30" i="1"/>
  <c r="CN30" i="1" s="1"/>
  <c r="CB90" i="1"/>
  <c r="CN90" i="1" s="1"/>
  <c r="CB141" i="1"/>
  <c r="CN141" i="1" s="1"/>
  <c r="CB64" i="1"/>
  <c r="CN64" i="1" s="1"/>
  <c r="CB265" i="1"/>
  <c r="CN265" i="1" s="1"/>
  <c r="CB198" i="1"/>
  <c r="CN198" i="1" s="1"/>
  <c r="CB17" i="1"/>
  <c r="CN17" i="1" s="1"/>
  <c r="CB99" i="1"/>
  <c r="CN99" i="1" s="1"/>
  <c r="CB9" i="1"/>
  <c r="CN9" i="1" s="1"/>
  <c r="CB40" i="1"/>
  <c r="CN40" i="1" s="1"/>
  <c r="CB38" i="1"/>
  <c r="CN38" i="1" s="1"/>
  <c r="CB244" i="1"/>
  <c r="CN244" i="1" s="1"/>
  <c r="CB51" i="1"/>
  <c r="CN51" i="1" s="1"/>
  <c r="CB32" i="1"/>
  <c r="CN32" i="1" s="1"/>
  <c r="CB132" i="1"/>
  <c r="CN132" i="1" s="1"/>
  <c r="CB252" i="1"/>
  <c r="CN252" i="1" s="1"/>
  <c r="CB54" i="1"/>
  <c r="CN54" i="1" s="1"/>
  <c r="CB150" i="1"/>
  <c r="CN150" i="1" s="1"/>
  <c r="CB48" i="1"/>
  <c r="CN48" i="1" s="1"/>
  <c r="CB102" i="1"/>
  <c r="CN102" i="1" s="1"/>
  <c r="CB86" i="1"/>
  <c r="CN86" i="1" s="1"/>
  <c r="CB55" i="1"/>
  <c r="CN55" i="1" s="1"/>
  <c r="CB71" i="1"/>
  <c r="CN71" i="1" s="1"/>
  <c r="CB84" i="1"/>
  <c r="CN84" i="1" s="1"/>
  <c r="CB147" i="1"/>
  <c r="CN147" i="1" s="1"/>
  <c r="CB275" i="1"/>
  <c r="CN275" i="1" s="1"/>
  <c r="CB257" i="1"/>
  <c r="CN257" i="1" s="1"/>
  <c r="CB220" i="1"/>
  <c r="CN220" i="1" s="1"/>
  <c r="CB151" i="1"/>
  <c r="CN151" i="1" s="1"/>
  <c r="CB63" i="1"/>
  <c r="CN63" i="1" s="1"/>
  <c r="CB128" i="1"/>
  <c r="CN128" i="1" s="1"/>
  <c r="CB56" i="1"/>
  <c r="CN56" i="1" s="1"/>
  <c r="CB16" i="1"/>
  <c r="CN16" i="1" s="1"/>
  <c r="CB81" i="1"/>
  <c r="CN81" i="1" s="1"/>
  <c r="CB28" i="1"/>
  <c r="CN28" i="1" s="1"/>
  <c r="CB232" i="1"/>
  <c r="CN232" i="1" s="1"/>
  <c r="CB133" i="1"/>
  <c r="CN133" i="1" s="1"/>
  <c r="CB91" i="1"/>
  <c r="CN91" i="1" s="1"/>
  <c r="CB27" i="1"/>
  <c r="CN27" i="1" s="1"/>
  <c r="CB33" i="1"/>
  <c r="CN33" i="1" s="1"/>
  <c r="CB62" i="1"/>
  <c r="CN62" i="1" s="1"/>
  <c r="CB82" i="1"/>
  <c r="CN82" i="1" s="1"/>
  <c r="CB23" i="1"/>
  <c r="CN23" i="1" s="1"/>
  <c r="CB25" i="1"/>
  <c r="CN25" i="1" s="1"/>
  <c r="CB149" i="1"/>
  <c r="CN149" i="1" s="1"/>
  <c r="CB228" i="1"/>
  <c r="CN228" i="1" s="1"/>
  <c r="CB266" i="1"/>
  <c r="CN266" i="1" s="1"/>
  <c r="CB296" i="1"/>
  <c r="CN296" i="1" s="1"/>
  <c r="CB247" i="1"/>
  <c r="CN247" i="1" s="1"/>
  <c r="CB121" i="1"/>
  <c r="CN121" i="1" s="1"/>
  <c r="CB75" i="1"/>
  <c r="CN75" i="1" s="1"/>
  <c r="CB24" i="1"/>
  <c r="CN24" i="1" s="1"/>
  <c r="CB254" i="1"/>
  <c r="CN254" i="1" s="1"/>
  <c r="CB18" i="1"/>
  <c r="CN18" i="1" s="1"/>
  <c r="CB57" i="1"/>
  <c r="CN57" i="1" s="1"/>
  <c r="CB88" i="1"/>
  <c r="CN88" i="1" s="1"/>
  <c r="CB80" i="1"/>
  <c r="CN80" i="1" s="1"/>
  <c r="CB72" i="1"/>
  <c r="CN72" i="1" s="1"/>
  <c r="CB295" i="1"/>
  <c r="CN295" i="1" s="1"/>
  <c r="CB222" i="1"/>
  <c r="CN222" i="1" s="1"/>
  <c r="CB112" i="1"/>
  <c r="CN112" i="1" s="1"/>
  <c r="CB49" i="1"/>
  <c r="CN49" i="1" s="1"/>
  <c r="CB5" i="1"/>
  <c r="CN5" i="1" s="1"/>
  <c r="CB20" i="1"/>
  <c r="CN20" i="1" s="1"/>
  <c r="CB298" i="1"/>
  <c r="CN298" i="1" s="1"/>
  <c r="CB58" i="1"/>
  <c r="CN58" i="1" s="1"/>
  <c r="CB136" i="1"/>
  <c r="CN136" i="1" s="1"/>
  <c r="CP62" i="1" l="1"/>
  <c r="CO62" i="1"/>
</calcChain>
</file>

<file path=xl/sharedStrings.xml><?xml version="1.0" encoding="utf-8"?>
<sst xmlns="http://schemas.openxmlformats.org/spreadsheetml/2006/main" count="22233" uniqueCount="1729">
  <si>
    <t>Checked</t>
  </si>
  <si>
    <t>Protein FDR Confidence: Combined</t>
  </si>
  <si>
    <t>Master</t>
  </si>
  <si>
    <t>Accession</t>
  </si>
  <si>
    <t>Description</t>
  </si>
  <si>
    <t># Peptides</t>
  </si>
  <si>
    <t># Unique Peptides</t>
  </si>
  <si>
    <t>MW [kDa]</t>
  </si>
  <si>
    <t>calc. pI</t>
  </si>
  <si>
    <t>Biological Process</t>
  </si>
  <si>
    <t>Cellular Component</t>
  </si>
  <si>
    <t>Molecular Function</t>
  </si>
  <si>
    <t>Ensembl Gene ID</t>
  </si>
  <si>
    <t>Gene ID</t>
  </si>
  <si>
    <t>Abundance Ratio: (PLGA) / (LP01)</t>
  </si>
  <si>
    <t>Abundance Ratio: (SANG) / (LP01)</t>
  </si>
  <si>
    <t>Abundance Ratio: (VLP) / (LP01)</t>
  </si>
  <si>
    <t>Abundance Ratio: (LP01) / (PlasmaOnly)</t>
  </si>
  <si>
    <t>Abundance Ratio: (PLGA) / (PlasmaOnly)</t>
  </si>
  <si>
    <t>Abundance Ratio: (SANG) / (PlasmaOnly)</t>
  </si>
  <si>
    <t>Abundance Ratio: (VLP) / (PlasmaOnly)</t>
  </si>
  <si>
    <t>Abundance Ratio: (SANG) / (PLGA)</t>
  </si>
  <si>
    <t>Abundance Ratio: (VLP) / (PLGA)</t>
  </si>
  <si>
    <t>Abundance Ratio: (VLP) / (SANG)</t>
  </si>
  <si>
    <t>Abundances (Grouped): LP01</t>
  </si>
  <si>
    <t>Abundances (Grouped): PlasmaOnly</t>
  </si>
  <si>
    <t>Abundances (Grouped): PLGA</t>
  </si>
  <si>
    <t>Abundances (Grouped): SANG</t>
  </si>
  <si>
    <t>Abundances (Grouped): VLP</t>
  </si>
  <si>
    <t>Abundance: F26: Sample, LP01</t>
  </si>
  <si>
    <t>Abundance: F27: Sample, LP01</t>
  </si>
  <si>
    <t>Abundance: F28: Sample, LP01</t>
  </si>
  <si>
    <t>Abundance: F29: Sample, LP01</t>
  </si>
  <si>
    <t>Abundance: F30: Sample, LP01</t>
  </si>
  <si>
    <t>Abundance: F31: Sample, PlasmaOnly</t>
  </si>
  <si>
    <t>Abundance: F32: Sample, PlasmaOnly</t>
  </si>
  <si>
    <t>Abundance: F33: Sample, PlasmaOnly</t>
  </si>
  <si>
    <t>Abundance: F34: Sample, PlasmaOnly</t>
  </si>
  <si>
    <t>Abundance: F35: Sample, PlasmaOnly</t>
  </si>
  <si>
    <t>Abundance: F36: Sample, PLGA</t>
  </si>
  <si>
    <t>Abundance: F37: Sample, PLGA</t>
  </si>
  <si>
    <t>Abundance: F38: Sample, PLGA</t>
  </si>
  <si>
    <t>Abundance: F39: Sample, PLGA</t>
  </si>
  <si>
    <t>Abundance: F40: Sample, PLGA</t>
  </si>
  <si>
    <t>Abundance: F41: Sample, SANG</t>
  </si>
  <si>
    <t>Abundance: F42: Sample, SANG</t>
  </si>
  <si>
    <t>Abundance: F43: Sample, SANG</t>
  </si>
  <si>
    <t>Abundance: F44: Sample, SANG</t>
  </si>
  <si>
    <t>Abundance: F45: Sample, SANG</t>
  </si>
  <si>
    <t>Abundance: F46: Sample, VLP</t>
  </si>
  <si>
    <t>Abundance: F47: Sample, VLP</t>
  </si>
  <si>
    <t>Abundance: F48: Sample, VLP</t>
  </si>
  <si>
    <t>Abundance: F49: Sample, VLP</t>
  </si>
  <si>
    <t>Abundance: F50: Sample, VLP</t>
  </si>
  <si>
    <t>Found in Sample: F26: Sample, LP01</t>
  </si>
  <si>
    <t>Found in Sample: F27: Sample, LP01</t>
  </si>
  <si>
    <t>Found in Sample: F28: Sample, LP01</t>
  </si>
  <si>
    <t>Found in Sample: F29: Sample, LP01</t>
  </si>
  <si>
    <t>Found in Sample: F30: Sample, LP01</t>
  </si>
  <si>
    <t>Found in Sample: F31: Sample, PlasmaOnly</t>
  </si>
  <si>
    <t>Found in Sample: F32: Sample, PlasmaOnly</t>
  </si>
  <si>
    <t>Found in Sample: F33: Sample, PlasmaOnly</t>
  </si>
  <si>
    <t>Found in Sample: F34: Sample, PlasmaOnly</t>
  </si>
  <si>
    <t>Found in Sample: F35: Sample, PlasmaOnly</t>
  </si>
  <si>
    <t>Found in Sample: F36: Sample, PLGA</t>
  </si>
  <si>
    <t>Found in Sample: F37: Sample, PLGA</t>
  </si>
  <si>
    <t>Found in Sample: F38: Sample, PLGA</t>
  </si>
  <si>
    <t>Found in Sample: F39: Sample, PLGA</t>
  </si>
  <si>
    <t>Found in Sample: F40: Sample, PLGA</t>
  </si>
  <si>
    <t>Found in Sample: F41: Sample, SANG</t>
  </si>
  <si>
    <t>Found in Sample: F42: Sample, SANG</t>
  </si>
  <si>
    <t>Found in Sample: F43: Sample, SANG</t>
  </si>
  <si>
    <t>Found in Sample: F44: Sample, SANG</t>
  </si>
  <si>
    <t>Found in Sample: F45: Sample, SANG</t>
  </si>
  <si>
    <t>Found in Sample: F46: Sample, VLP</t>
  </si>
  <si>
    <t>Found in Sample: F47: Sample, VLP</t>
  </si>
  <si>
    <t>Found in Sample: F48: Sample, VLP</t>
  </si>
  <si>
    <t>Found in Sample: F49: Sample, VLP</t>
  </si>
  <si>
    <t>Found in Sample: F50: Sample, VLP</t>
  </si>
  <si>
    <t>High</t>
  </si>
  <si>
    <t>Master Protein</t>
  </si>
  <si>
    <t>A6IM16</t>
  </si>
  <si>
    <t>Pregnancy-zone protein OS=Rattus norvegicus OX=10116 GN=Pzp PE=3 SV=1</t>
  </si>
  <si>
    <t/>
  </si>
  <si>
    <t>non-structural extracellular</t>
  </si>
  <si>
    <t>enzyme regulator activity</t>
  </si>
  <si>
    <t>A6IM16; rno:252922</t>
  </si>
  <si>
    <t>A6KQR3</t>
  </si>
  <si>
    <t>Complement C3 OS=Rattus norvegicus OX=10116 GN=C3 PE=4 SV=1</t>
  </si>
  <si>
    <t>stress response;other biological processes</t>
  </si>
  <si>
    <t>A6KQR3; rno:24232</t>
  </si>
  <si>
    <t>Peak Found</t>
  </si>
  <si>
    <t>P01026</t>
  </si>
  <si>
    <t>Complement C3 OS=Rattus norvegicus OX=10116 GN=C3 PE=1 SV=3</t>
  </si>
  <si>
    <t>cell organization and biogenesis;other metabolic processes;stress response;developmental processes;signal transduction;other biological processes</t>
  </si>
  <si>
    <t>non-structural extracellular;other cell component</t>
  </si>
  <si>
    <t>signal transduction activity or receptor binding;enzyme regulator activity;other molecular function</t>
  </si>
  <si>
    <t>P01026; Q9ET19; Q9QV57; Q9QV58; rno:24232</t>
  </si>
  <si>
    <t>n/a</t>
  </si>
  <si>
    <t>Q03626</t>
  </si>
  <si>
    <t>Murinoglobulin-1 OS=Rattus norvegicus OX=10116 GN=Mug1 PE=2 SV=1</t>
  </si>
  <si>
    <t>stress response;developmental processes</t>
  </si>
  <si>
    <t>enzyme regulator activity;other molecular function</t>
  </si>
  <si>
    <t>ENSRNOG00055011345; ENSRNOG00060031936</t>
  </si>
  <si>
    <t>Q03310; Q03626; Q63018; Q63020; Q63023; Q78DZ4; Q9JMK7; rno:497794</t>
  </si>
  <si>
    <t>P14046</t>
  </si>
  <si>
    <t>Alpha-1-inhibitor 3 OS=Rattus norvegicus OX=10116 GN=A1i3 PE=1 SV=1</t>
  </si>
  <si>
    <t>P14046; Q4G042; Q63266; Q6LDP2; Q6LDR8</t>
  </si>
  <si>
    <t>A0A0G2K926</t>
  </si>
  <si>
    <t>Alpha-1-inhibitor III OS=Rattus norvegicus OX=10116 GN=Mug1l1 PE=1 SV=1</t>
  </si>
  <si>
    <t>ENSRNOG00000070375</t>
  </si>
  <si>
    <t>A0A0G2K926; rno:297568</t>
  </si>
  <si>
    <t>P02770</t>
  </si>
  <si>
    <t>Albumin OS=Rattus norvegicus OX=10116 GN=Alb PE=1 SV=2</t>
  </si>
  <si>
    <t>non-structural extracellular;extracellular matrix;other cell component</t>
  </si>
  <si>
    <t>nucleic acid binding activity;other molecular function</t>
  </si>
  <si>
    <t>P02770; P11382; Q5U3X3; rno:24186</t>
  </si>
  <si>
    <t>A0A0G2JSH5</t>
  </si>
  <si>
    <t>Albumin OS=Rattus norvegicus OX=10116 GN=Alb PE=1 SV=1</t>
  </si>
  <si>
    <t>other molecular function</t>
  </si>
  <si>
    <t>ENSRNOG00000002911</t>
  </si>
  <si>
    <t>A0A0G2JSH5; rno:24186</t>
  </si>
  <si>
    <t>A0A8I6AQK4</t>
  </si>
  <si>
    <t>Murinoglobulin 2 OS=Rattus norvegicus OX=10116 GN=Mug2 PE=1 SV=1</t>
  </si>
  <si>
    <t>ENSRNOG00000065574</t>
  </si>
  <si>
    <t>A6KFG4</t>
  </si>
  <si>
    <t>Fibronectin OS=Rattus norvegicus OX=10116 GN=Fn1 PE=4 SV=1</t>
  </si>
  <si>
    <t>cell adhesion;stress response;other biological processes</t>
  </si>
  <si>
    <t>non-structural extracellular;extracellular matrix</t>
  </si>
  <si>
    <t>A0A8I6AMC9</t>
  </si>
  <si>
    <t>C3 and PZP-like, alpha-2-macroglobulin domain containing 8 OS=Rattus norvegicus OX=10116 GN=Cpamd8 PE=1 SV=1</t>
  </si>
  <si>
    <t>developmental processes</t>
  </si>
  <si>
    <t>ENSRNOG00000065350</t>
  </si>
  <si>
    <t>D3ZTX4</t>
  </si>
  <si>
    <t>Maltase-glucoamylase OS=Rattus norvegicus OX=10116 GN=Mgam PE=1 SV=4</t>
  </si>
  <si>
    <t>other metabolic processes</t>
  </si>
  <si>
    <t>plasma membrane;other membranes</t>
  </si>
  <si>
    <t>ENSRNOG00000026177</t>
  </si>
  <si>
    <t>P08649</t>
  </si>
  <si>
    <t>Complement C4 OS=Rattus norvegicus OX=10116 GN=C4 PE=1 SV=3</t>
  </si>
  <si>
    <t>ENSRNOG00055006626; ENSRNOG00060007207; ENSRNOG00065033200</t>
  </si>
  <si>
    <t>P08649; Q62895; Q8R403; rno:24233</t>
  </si>
  <si>
    <t>A0A8J8XU90</t>
  </si>
  <si>
    <t>Myosin-9 OS=Rattus norvegicus OX=10116 GN=Myh9 PE=1 SV=1</t>
  </si>
  <si>
    <t>cell adhesion;cell cycle OR cell proliferation;cell organization and biogenesis;transport;developmental processes;other biological processes</t>
  </si>
  <si>
    <t>plasma membrane;other membranes;cytoskeleton;other cell component</t>
  </si>
  <si>
    <t>cytoskeletal activity;other molecular function</t>
  </si>
  <si>
    <t>ENSRNOG00000049236</t>
  </si>
  <si>
    <t>Q7TP24</t>
  </si>
  <si>
    <t>Signal recognition particle receptor subunit beta OS=Rattus norvegicus OX=10116 PE=2 SV=1</t>
  </si>
  <si>
    <t>transport</t>
  </si>
  <si>
    <t>non-structural extracellular;other membranes;ER/Golgi</t>
  </si>
  <si>
    <t>A6J5V1</t>
  </si>
  <si>
    <t>Fibrinogen, B beta polypeptide, isoform CRA_b OS=Rattus norvegicus OX=10116 GN=Fgb PE=4 SV=1</t>
  </si>
  <si>
    <t>cell organization and biogenesis;stress response</t>
  </si>
  <si>
    <t>signal transduction activity or receptor binding</t>
  </si>
  <si>
    <t>A6J5V1; rno:24366</t>
  </si>
  <si>
    <t>G3V9J1</t>
  </si>
  <si>
    <t>Murinoglobulin 2 OS=Rattus norvegicus OX=10116 GN=Mug2 PE=1 SV=4</t>
  </si>
  <si>
    <t>Q4QQW0</t>
  </si>
  <si>
    <t>Igh-6 protein (Fragment) OS=Rattus norvegicus OX=10116 GN=Igh-6 PE=2 SV=1</t>
  </si>
  <si>
    <t>Q62812</t>
  </si>
  <si>
    <t>Myosin-9 OS=Rattus norvegicus OX=10116 GN=Myh9 PE=1 SV=3</t>
  </si>
  <si>
    <t>cell adhesion;cell cycle OR cell proliferation;cell organization and biogenesis;protein metabolism;stress response;transport;developmental processes;signal transduction;other biological processes</t>
  </si>
  <si>
    <t>plasma membrane;other membranes;cytosol;cytoskeleton;nucleus;other cytoplasmic organelle;other cell component</t>
  </si>
  <si>
    <t>signal transduction activity or receptor binding;transporter activity;cytoskeletal activity;other molecular function</t>
  </si>
  <si>
    <t>A0A0G2JST3</t>
  </si>
  <si>
    <t>Keratin, type II cytoskeletal 1 OS=Rattus norvegicus OX=10116 GN=Krt1 PE=1 SV=1</t>
  </si>
  <si>
    <t>cell organization and biogenesis;stress response;other biological processes</t>
  </si>
  <si>
    <t>plasma membrane;cytoskeleton;other cell component</t>
  </si>
  <si>
    <t>bone, tooth or skin structural activity;other molecular function</t>
  </si>
  <si>
    <t>ENSRNOG00000028996</t>
  </si>
  <si>
    <t>A0A0G2JST3; rno:300250</t>
  </si>
  <si>
    <t>Q6MG90</t>
  </si>
  <si>
    <t>Complement C4B (Chido blood group) OS=Rattus norvegicus OX=10116 GN=C4b PE=4 SV=1</t>
  </si>
  <si>
    <t>ENSRNOG00000070397</t>
  </si>
  <si>
    <t>E9PSV0; Q6MG90; rno:406161</t>
  </si>
  <si>
    <t>F7EYF5</t>
  </si>
  <si>
    <t>Inter alpha-trypsin inhibitor, heavy chain 4 OS=Rattus norvegicus OX=10116 GN=Itih4 PE=2 SV=1</t>
  </si>
  <si>
    <t>non-structural extracellular;plasma membrane;other membranes;other cell component</t>
  </si>
  <si>
    <t>F7EYF5; rno:54404</t>
  </si>
  <si>
    <t>A0A9K3Y6Z7</t>
  </si>
  <si>
    <t>Fibrinogen alpha chain OS=Rattus norvegicus OX=10116 GN=Fga PE=1 SV=1</t>
  </si>
  <si>
    <t>A0A9K3Y6Z7; rno:361969</t>
  </si>
  <si>
    <t>A0A8L2QJJ3</t>
  </si>
  <si>
    <t>Apolipoprotein B OS=Rattus norvegicus OX=10116 GN=Apob PE=1 SV=1</t>
  </si>
  <si>
    <t>cell organization and biogenesis;protein metabolism;other metabolic processes;transport;developmental processes;other biological processes</t>
  </si>
  <si>
    <t>non-structural extracellular;cytosol;ER/Golgi;other cell component</t>
  </si>
  <si>
    <t>signal transduction activity or receptor binding;transporter activity;other molecular function</t>
  </si>
  <si>
    <t>ENSRNOG00000005542</t>
  </si>
  <si>
    <t>A6IHC3</t>
  </si>
  <si>
    <t>ferroxidase OS=Rattus norvegicus OX=10116 GN=Cp PE=3 SV=1</t>
  </si>
  <si>
    <t>A6IHC3; rno:24268</t>
  </si>
  <si>
    <t>P06238</t>
  </si>
  <si>
    <t>Alpha-2-macroglobulin OS=Rattus norvegicus OX=10116 GN=A2m PE=2 SV=2</t>
  </si>
  <si>
    <t>stress response;developmental processes;other biological processes</t>
  </si>
  <si>
    <t>ENSRNOG00000028896</t>
  </si>
  <si>
    <t>P06238; Q4FZY3; rno:24153</t>
  </si>
  <si>
    <t>A0A8I5ZV49</t>
  </si>
  <si>
    <t>Filamin A OS=Rattus norvegicus OX=10116 GN=Flna PE=1 SV=1</t>
  </si>
  <si>
    <t>cell cycle OR cell proliferation;cell organization and biogenesis;RNA metabolism OR transcription;other metabolic processes;stress response;transport;developmental processes;signal transduction;other biological processes</t>
  </si>
  <si>
    <t>plasma membrane;other membranes;cytosol;cytoskeleton;ER/Golgi;nucleus;other cell component</t>
  </si>
  <si>
    <t>signal transduction activity or receptor binding;cytoskeletal activity;other molecular function</t>
  </si>
  <si>
    <t>ENSRNOG00000054890</t>
  </si>
  <si>
    <t>A0A0G2JV24</t>
  </si>
  <si>
    <t>Thrombospondin 1 OS=Rattus norvegicus OX=10116 GN=Thbs1 PE=1 SV=2</t>
  </si>
  <si>
    <t>cell adhesion;cell organization and biogenesis;stress response;transport;developmental processes;signal transduction;other biological processes</t>
  </si>
  <si>
    <t>non-structural extracellular;extracellular matrix;plasma membrane;other membranes;cytosol;ER/Golgi;other cell component</t>
  </si>
  <si>
    <t>ENSRNOG00000045829</t>
  </si>
  <si>
    <t>A0A8I5ZDN9</t>
  </si>
  <si>
    <t>Complement C5 OS=Rattus norvegicus OX=10116 GN=C5 PE=1 SV=1</t>
  </si>
  <si>
    <t>ENSRNOG00000018899</t>
  </si>
  <si>
    <t>A6JS43</t>
  </si>
  <si>
    <t>Histidine-rich glycoprotein OS=Rattus norvegicus OX=10116 GN=Hrg PE=4 SV=1</t>
  </si>
  <si>
    <t>P02680</t>
  </si>
  <si>
    <t>Fibrinogen gamma chain OS=Rattus norvegicus OX=10116 GN=Fgg PE=1 SV=3</t>
  </si>
  <si>
    <t>cell adhesion;cell organization and biogenesis;protein metabolism;other metabolic processes;stress response;transport;other biological processes</t>
  </si>
  <si>
    <t>non-structural extracellular;extracellular matrix;plasma membrane;other membranes;other cell component</t>
  </si>
  <si>
    <t>signal transduction activity or receptor binding;other molecular function</t>
  </si>
  <si>
    <t>ENSRNOG00000025074; ENSRNOG00055021991; ENSRNOG00060007361; ENSRNOG00065030932</t>
  </si>
  <si>
    <t>P02680; Q68FY3; rno:24367</t>
  </si>
  <si>
    <t>A0A0G2JYK0</t>
  </si>
  <si>
    <t>Serine (or cysteine) peptidase inhibitor, clade A, member 3N OS=Rattus norvegicus OX=10116 GN=Serpina3l PE=1 SV=2</t>
  </si>
  <si>
    <t>ENSRNOG00000010478</t>
  </si>
  <si>
    <t>Q5M7V3</t>
  </si>
  <si>
    <t>LOC367586 protein OS=Rattus norvegicus OX=10116 GN=LOC367586 PE=2 SV=1</t>
  </si>
  <si>
    <t>A0A0G2K2V6</t>
  </si>
  <si>
    <t>Keratin, type I cytoskeletal 10 OS=Rattus norvegicus OX=10116 GN=Krt10 PE=1 SV=1</t>
  </si>
  <si>
    <t>cell organization and biogenesis;other biological processes</t>
  </si>
  <si>
    <t>non-structural extracellular;plasma membrane;cytoskeleton;other cell component</t>
  </si>
  <si>
    <t>ENSRNOG00000030170</t>
  </si>
  <si>
    <t>A0A0G2JU23</t>
  </si>
  <si>
    <t>Apolipoprotein A-I OS=Rattus norvegicus OX=10116 GN=Apoa1 PE=1 SV=2</t>
  </si>
  <si>
    <t>cell organization and biogenesis;protein metabolism;other metabolic processes;transport;signal transduction;other biological processes</t>
  </si>
  <si>
    <t>signal transduction activity or receptor binding;transporter activity;enzyme regulator activity;other molecular function</t>
  </si>
  <si>
    <t>ENSRNOG00000045679</t>
  </si>
  <si>
    <t>Q3KR94</t>
  </si>
  <si>
    <t>Vitronectin OS=Rattus norvegicus OX=10116 GN=Vtn PE=2 SV=1</t>
  </si>
  <si>
    <t>cell adhesion;cell organization and biogenesis;transport;developmental processes;other biological processes</t>
  </si>
  <si>
    <t>non-structural extracellular;extracellular matrix;ER/Golgi;other cell component</t>
  </si>
  <si>
    <t>Q3KR94; rno:29169</t>
  </si>
  <si>
    <t>Q6P6Q2</t>
  </si>
  <si>
    <t>Keratin, type II cytoskeletal 5 OS=Rattus norvegicus OX=10116 GN=Krt5 PE=1 SV=1</t>
  </si>
  <si>
    <t>ENSRNOG00000050420; ENSRNOG00055026015; ENSRNOG00060016065; ENSRNOG00065020971</t>
  </si>
  <si>
    <t>Q6P6Q2; Q7TN97; rno:369017</t>
  </si>
  <si>
    <t>A0A8I5ZMI8</t>
  </si>
  <si>
    <t>Keratin, type II cytoskeletal 6A-like OS=Rattus norvegicus OX=10116 GN=LOC120093742 PE=3 SV=1</t>
  </si>
  <si>
    <t>cytoskeleton</t>
  </si>
  <si>
    <t>ENSRNOG00000068784</t>
  </si>
  <si>
    <t>P05545</t>
  </si>
  <si>
    <t>Serine protease inhibitor A3K OS=Rattus norvegicus OX=10116 GN=Serpina3k PE=1 SV=3</t>
  </si>
  <si>
    <t>P05545; P14281; Q64254; Q6P6G8; rno:24794</t>
  </si>
  <si>
    <t>A6JEQ6</t>
  </si>
  <si>
    <t>RCG20603 OS=Rattus norvegicus OX=10116 GN=Serpina3c PE=3 SV=1</t>
  </si>
  <si>
    <t>other biological processes</t>
  </si>
  <si>
    <t>A6JEQ6; rno:24794</t>
  </si>
  <si>
    <t>P02651</t>
  </si>
  <si>
    <t>Apolipoprotein A-IV OS=Rattus norvegicus OX=10116 GN=Apoa4 PE=1 SV=2</t>
  </si>
  <si>
    <t>cell adhesion;cell organization and biogenesis;protein metabolism;other metabolic processes;stress response;transport;developmental processes;other biological processes</t>
  </si>
  <si>
    <t>transporter activity;enzyme regulator activity;other molecular function</t>
  </si>
  <si>
    <t>ENSRNOG00000055909; ENSRNOG00055019770; ENSRNOG00060014102; ENSRNOG00065027936</t>
  </si>
  <si>
    <t>P02651; Q5BK92; rno:25080</t>
  </si>
  <si>
    <t>A0A0G2K3K2</t>
  </si>
  <si>
    <t>Actin, cytoplasmic 1 OS=Rattus norvegicus OX=10116 GN=Actb PE=1 SV=1</t>
  </si>
  <si>
    <t>cytosol;cytoskeleton;nucleus;other cell component</t>
  </si>
  <si>
    <t>ENSRNOG00000034254</t>
  </si>
  <si>
    <t>F1LTN6</t>
  </si>
  <si>
    <t>Ig-like domain-containing protein OS=Rattus norvegicus OX=10116 GN=AABR07060872.1 PE=1 SV=3</t>
  </si>
  <si>
    <t>ENSRNOG00000049829</t>
  </si>
  <si>
    <t>A6HJ20</t>
  </si>
  <si>
    <t>Keratin, type I cytoskeletal 17 OS=Rattus norvegicus OX=10116 GN=Krt17 PE=3 SV=1</t>
  </si>
  <si>
    <t>cytoskeleton;other cell component</t>
  </si>
  <si>
    <t>A6HJ20; rno:287702</t>
  </si>
  <si>
    <t>A6JS41</t>
  </si>
  <si>
    <t>Histidine-rich glycoprotein OS=Rattus norvegicus OX=10116 GN=Hrg l1 PE=4 SV=1</t>
  </si>
  <si>
    <t>A0A8I5ZPF0</t>
  </si>
  <si>
    <t>Haptoglobin OS=Rattus norvegicus OX=10116 GN=Hp PE=1 SV=1</t>
  </si>
  <si>
    <t>protein metabolism;stress response;other biological processes</t>
  </si>
  <si>
    <t>ENSRNOG00000014964</t>
  </si>
  <si>
    <t>A0A8I6AP90</t>
  </si>
  <si>
    <t>Keratin, type II cytoskeletal 6A-like OS=Rattus norvegicus OX=10116 GN=LOC102553726 PE=3 SV=1</t>
  </si>
  <si>
    <t>ENSRNOG00000067545</t>
  </si>
  <si>
    <t>A0A0G2KB42</t>
  </si>
  <si>
    <t>Clusterin OS=Rattus norvegicus OX=10116 GN=Clu PE=1 SV=2</t>
  </si>
  <si>
    <t>cell cycle OR cell proliferation;cell organization and biogenesis;protein metabolism;other metabolic processes;stress response;transport;developmental processes;other biological processes</t>
  </si>
  <si>
    <t>non-structural extracellular;other membranes;cytosol;cytoskeleton;mitochondrion;ER/Golgi;nucleus;other cell component</t>
  </si>
  <si>
    <t>ENSRNOG00000016460</t>
  </si>
  <si>
    <t>F1LMV6</t>
  </si>
  <si>
    <t>Desmoplakin OS=Rattus norvegicus OX=10116 GN=Dsp PE=1 SV=1</t>
  </si>
  <si>
    <t>cell adhesion;cell organization and biogenesis;stress response;developmental processes;other biological processes</t>
  </si>
  <si>
    <t>ENSRNOG00000013928</t>
  </si>
  <si>
    <t>F1LMV6; Q4QQR7</t>
  </si>
  <si>
    <t>A6HJ21</t>
  </si>
  <si>
    <t>RCG32930 OS=Rattus norvegicus OX=10116 GN=Krt42 PE=3 SV=1</t>
  </si>
  <si>
    <t>A6HJ21; rno:450231</t>
  </si>
  <si>
    <t>A6HRN6</t>
  </si>
  <si>
    <t>Alpha-1-B glycoprotein, isoform CRA_a OS=Rattus norvegicus OX=10116 GN=A1bg PE=4 SV=1</t>
  </si>
  <si>
    <t>A6HJ17</t>
  </si>
  <si>
    <t>RCG34982 OS=Rattus norvegicus OX=10116 GN=Krt14 PE=3 SV=1</t>
  </si>
  <si>
    <t>A6HJ17; rno:287701</t>
  </si>
  <si>
    <t>Q6IG05</t>
  </si>
  <si>
    <t>Keratin, type II cytoskeletal 75 OS=Rattus norvegicus OX=10116 GN=Krt75 PE=3 SV=2</t>
  </si>
  <si>
    <t>plasma membrane;cytoskeleton</t>
  </si>
  <si>
    <t>bone, tooth or skin structural activity</t>
  </si>
  <si>
    <t>ENSRNOG00000043203</t>
  </si>
  <si>
    <t>Q6IG05; rno:300247</t>
  </si>
  <si>
    <t>B2RYM3</t>
  </si>
  <si>
    <t>Inter-alpha-trypsin inhibitor heavy chain H1 OS=Rattus norvegicus OX=10116 GN=Itih1 PE=2 SV=1</t>
  </si>
  <si>
    <t>cell organization and biogenesis;other metabolic processes</t>
  </si>
  <si>
    <t>B2RYM3; rno:306251</t>
  </si>
  <si>
    <t>Q6IG03</t>
  </si>
  <si>
    <t>Keratin, type II cytoskeletal 73 OS=Rattus norvegicus OX=10116 GN=Krt73 PE=1 SV=1</t>
  </si>
  <si>
    <t>Q6IG03; rno:300248</t>
  </si>
  <si>
    <t>A6HP76</t>
  </si>
  <si>
    <t>Actin, alpha cardiac muscle 1 OS=Rattus norvegicus OX=10116 GN=Actc1 PE=3 SV=1</t>
  </si>
  <si>
    <t>cytoskeletal activity</t>
  </si>
  <si>
    <t>A6HP76; rno:29275</t>
  </si>
  <si>
    <t>P01836</t>
  </si>
  <si>
    <t>Ig kappa chain C region, A allele OS=Rattus norvegicus OX=10116 PE=1 SV=1</t>
  </si>
  <si>
    <t>other cell component</t>
  </si>
  <si>
    <t>A0A8L2Q6A6</t>
  </si>
  <si>
    <t>Paraoxonase OS=Rattus norvegicus OX=10116 GN=Pon1 PE=1 SV=1</t>
  </si>
  <si>
    <t>other metabolic processes;other biological processes</t>
  </si>
  <si>
    <t>ENSRNOG00000008902</t>
  </si>
  <si>
    <t>A0A0G2K151</t>
  </si>
  <si>
    <t>Apolipoprotein E OS=Rattus norvegicus OX=10116 GN=Apoe PE=1 SV=1</t>
  </si>
  <si>
    <t>cell organization and biogenesis;protein metabolism;other metabolic processes;stress response;transport;developmental processes;signal transduction;other biological processes</t>
  </si>
  <si>
    <t>non-structural extracellular;extracellular matrix;plasma membrane;other membranes;ER/Golgi;other cytoplasmic organelle;other cell component</t>
  </si>
  <si>
    <t>signal transduction activity or receptor binding;transporter activity;enzyme regulator activity;cytoskeletal activity;other molecular function</t>
  </si>
  <si>
    <t>ENSRNOG00000018454</t>
  </si>
  <si>
    <t>M0R8B6</t>
  </si>
  <si>
    <t>Tubulin beta chain OS=Rattus norvegicus OX=10116 GN=Tubb1 PE=3 SV=1</t>
  </si>
  <si>
    <t>cell adhesion;cell cycle OR cell proliferation;cell organization and biogenesis;stress response;transport;developmental processes;other biological processes</t>
  </si>
  <si>
    <t>ENSRNOG00000046151</t>
  </si>
  <si>
    <t>M0R8B6; rno:679312</t>
  </si>
  <si>
    <t>P02091</t>
  </si>
  <si>
    <t>Hemoglobin subunit beta-1 OS=Rattus norvegicus OX=10116 GN=Hbb PE=1 SV=3</t>
  </si>
  <si>
    <t>other metabolic processes;stress response;transport;other biological processes</t>
  </si>
  <si>
    <t>non-structural extracellular;cytosol;other cell component</t>
  </si>
  <si>
    <t>ENSRNOG00000047098</t>
  </si>
  <si>
    <t>P02091; P33584; rno:24440</t>
  </si>
  <si>
    <t>A0A8I5Y704</t>
  </si>
  <si>
    <t>Actin, cytoplasmic 2 OS=Rattus norvegicus OX=10116 GN=AABR07021573.2 PE=3 SV=1</t>
  </si>
  <si>
    <t>ENSRNOG00000026917</t>
  </si>
  <si>
    <t>Q4VBH1</t>
  </si>
  <si>
    <t>Ighg protein OS=Rattus norvegicus OX=10116 GN=Ighg PE=1 SV=1</t>
  </si>
  <si>
    <t>A0A0G2JZQ9</t>
  </si>
  <si>
    <t>Keratin 77 OS=Rattus norvegicus OX=10116 GN=Krt77 PE=3 SV=1</t>
  </si>
  <si>
    <t>ENSRNOG00000036865</t>
  </si>
  <si>
    <t>A6J7G7</t>
  </si>
  <si>
    <t>Tubulin beta chain OS=Rattus norvegicus OX=10116 GN=Tubb2a PE=3 SV=1</t>
  </si>
  <si>
    <t>cell cycle OR cell proliferation;cell organization and biogenesis</t>
  </si>
  <si>
    <t>A6J7G7; rno:498736</t>
  </si>
  <si>
    <t>P63018</t>
  </si>
  <si>
    <t>Heat shock cognate 71 kDa protein OS=Rattus norvegicus OX=10116 GN=Hspa8 PE=1 SV=1</t>
  </si>
  <si>
    <t>cell cycle OR cell proliferation;cell organization and biogenesis;protein metabolism;RNA metabolism OR transcription;other metabolic processes;stress response;transport;developmental processes;other biological processes</t>
  </si>
  <si>
    <t>non-structural extracellular;plasma membrane;other membranes;cytosol;cytoskeleton;ER/Golgi;nucleus;other cytoplasmic organelle;other cell component</t>
  </si>
  <si>
    <t>signal transduction activity or receptor binding;nucleic acid binding activity;other molecular function</t>
  </si>
  <si>
    <t>ENSRNOG00000034066; ENSRNOG00055018769; ENSRNOG00060016236; ENSRNOG00060024746; ENSRNOG00065027723</t>
  </si>
  <si>
    <t>P08109; P12225; P63018; Q4FZY7; Q62373; Q62374; Q62375; rno:24468</t>
  </si>
  <si>
    <t>A0A0G2JSW3</t>
  </si>
  <si>
    <t>Hemoglobin subunit beta OS=Rattus norvegicus OX=10116 GN=Hbb PE=1 SV=2</t>
  </si>
  <si>
    <t>transport;other biological processes</t>
  </si>
  <si>
    <t>cytosol</t>
  </si>
  <si>
    <t>A0A8I6GGN2</t>
  </si>
  <si>
    <t>Integrin subunit alpha 2b OS=Rattus norvegicus OX=10116 GN=Itga2b PE=1 SV=1</t>
  </si>
  <si>
    <t>cell adhesion;developmental processes;signal transduction;other biological processes</t>
  </si>
  <si>
    <t>ENSRNOG00000022071</t>
  </si>
  <si>
    <t>A0A8I5ZVK5</t>
  </si>
  <si>
    <t>Plasminogen OS=Rattus norvegicus OX=10116 GN=Plg PE=1 SV=1</t>
  </si>
  <si>
    <t>cell-cell signaling;protein metabolism;stress response;developmental processes;other biological processes</t>
  </si>
  <si>
    <t>ENSRNOG00000017223</t>
  </si>
  <si>
    <t>P20059</t>
  </si>
  <si>
    <t>Hemopexin OS=Rattus norvegicus OX=10116 GN=Hpx PE=1 SV=3</t>
  </si>
  <si>
    <t>protein metabolism;other metabolic processes;stress response;transport;signal transduction;other biological processes</t>
  </si>
  <si>
    <t>transporter activity;other molecular function</t>
  </si>
  <si>
    <t>ENSRNOG00000018257; ENSRNOG00055024173; ENSRNOG00060018012; ENSRNOG00065031931</t>
  </si>
  <si>
    <t>P20059; Q5BKB4; rno:58917</t>
  </si>
  <si>
    <t>D3ZAN3</t>
  </si>
  <si>
    <t>Glucosidase II alpha subunit OS=Rattus norvegicus OX=10116 GN=Ganab PE=1 SV=1</t>
  </si>
  <si>
    <t>protein metabolism;other metabolic processes</t>
  </si>
  <si>
    <t>ER/Golgi;other cell component</t>
  </si>
  <si>
    <t>ENSRNOG00000019724</t>
  </si>
  <si>
    <t>A6JVZ9</t>
  </si>
  <si>
    <t>Tubulin alpha chain OS=Rattus norvegicus OX=10116 GN=Tuba4a PE=3 SV=1</t>
  </si>
  <si>
    <t>A6JVZ9; rno:316531</t>
  </si>
  <si>
    <t>A0A8L2RAD9</t>
  </si>
  <si>
    <t>Tubulin alpha chain OS=Rattus norvegicus OX=10116 GN=Tuba1b PE=3 SV=1</t>
  </si>
  <si>
    <t>ENSRNOG00000053468</t>
  </si>
  <si>
    <t>P55314</t>
  </si>
  <si>
    <t>Complement component C8 beta chain OS=Rattus norvegicus OX=10116 GN=C8b PE=2 SV=2</t>
  </si>
  <si>
    <t>non-structural extracellular;plasma membrane;other membranes</t>
  </si>
  <si>
    <t>ENSRNOG00000007639</t>
  </si>
  <si>
    <t>P55314; Q5EB58; rno:313421</t>
  </si>
  <si>
    <t>P69897</t>
  </si>
  <si>
    <t>Tubulin beta-5 chain OS=Rattus norvegicus OX=10116 GN=Tubb5 PE=1 SV=1</t>
  </si>
  <si>
    <t>cell cycle OR cell proliferation;cell organization and biogenesis;other biological processes</t>
  </si>
  <si>
    <t>other membranes;cytoskeleton;nucleus;other cell component</t>
  </si>
  <si>
    <t>ENSRNOG00000061216; ENSRNOG00055006845; ENSRNOG00060003580; ENSRNOG00065029671</t>
  </si>
  <si>
    <t>P05218; P69897; Q6P9X8; Q8WUC1; Q9CY33; rno:29214</t>
  </si>
  <si>
    <t>A6J7C8</t>
  </si>
  <si>
    <t>protein-glutamine gamma-glutamyltransferase OS=Rattus norvegicus OX=10116 GN=F13a1 PE=3 SV=1</t>
  </si>
  <si>
    <t>A6J7C8; rno:60327</t>
  </si>
  <si>
    <t>A0A8I5Y8E3</t>
  </si>
  <si>
    <t>Tubulin beta chain OS=Rattus norvegicus OX=10116 GN=Tubb4b PE=1 SV=1</t>
  </si>
  <si>
    <t>cytoskeletal activity;nucleic acid binding activity;other molecular function</t>
  </si>
  <si>
    <t>ENSRNOG00000010170</t>
  </si>
  <si>
    <t>A6KLE5</t>
  </si>
  <si>
    <t>Phosphatidylinositol-glycan-specific phospholipase D OS=Rattus norvegicus OX=10116 GN=Gpld1 PE=3 SV=1</t>
  </si>
  <si>
    <t>A6KLE5; rno:291132</t>
  </si>
  <si>
    <t>A0A8L2QLW7</t>
  </si>
  <si>
    <t>Hemoglobin alpha, adult chain 1 OS=Rattus norvegicus OX=10116 GN=Hba-a1 PE=1 SV=1</t>
  </si>
  <si>
    <t>other metabolic processes;stress response;transport;developmental processes;other biological processes</t>
  </si>
  <si>
    <t>ENSRNOG00000029886</t>
  </si>
  <si>
    <t>Q5M7T5</t>
  </si>
  <si>
    <t>Antithrombin-III OS=Rattus norvegicus OX=10116 GN=Serpinc1 PE=1 SV=1</t>
  </si>
  <si>
    <t>stress response;transport;other biological processes</t>
  </si>
  <si>
    <t>ENSRNOG00000002783</t>
  </si>
  <si>
    <t>Q5M7T5; rno:304917</t>
  </si>
  <si>
    <t>A0A8I5ZQD3</t>
  </si>
  <si>
    <t>Fc gamma binding protein OS=Rattus norvegicus OX=10116 GN=Fcgbp PE=1 SV=1</t>
  </si>
  <si>
    <t>ENSRNOG00000019129</t>
  </si>
  <si>
    <t>A6IBY8</t>
  </si>
  <si>
    <t>Complement component 4 binding protein, alpha, isoform CRA_a OS=Rattus norvegicus OX=10116 GN=C4bpa PE=4 SV=1</t>
  </si>
  <si>
    <t>A0A8I5ZZZ2</t>
  </si>
  <si>
    <t>Serpin family A member 4 OS=Rattus norvegicus OX=10116 GN=Serpina4 PE=1 SV=1</t>
  </si>
  <si>
    <t>ENSRNOG00000009788</t>
  </si>
  <si>
    <t>Q6IFV4</t>
  </si>
  <si>
    <t>Keratin, type I cytoskeletal 13 OS=Rattus norvegicus OX=10116 GN=Krt13 PE=3 SV=1</t>
  </si>
  <si>
    <t>ENSRNOG00000014070; ENSRNOG00055033166; ENSRNOG00060022566; ENSRNOG00065032358</t>
  </si>
  <si>
    <t>Q6IFV4; rno:287699</t>
  </si>
  <si>
    <t>A0A8I6A8Q1</t>
  </si>
  <si>
    <t>Alpha-2-macroglobulin-like 1 OS=Rattus norvegicus OX=10116 GN=A2ml1 PE=3 SV=1</t>
  </si>
  <si>
    <t>ENSRNOG00000007247</t>
  </si>
  <si>
    <t>A0A8I6ALW9</t>
  </si>
  <si>
    <t>Ig-like domain-containing protein OS=Rattus norvegicus OX=10116 GN=ENSRNOG00000065952 PE=1 SV=1</t>
  </si>
  <si>
    <t>A6JG73</t>
  </si>
  <si>
    <t>Serum amyloid P-component OS=Rattus norvegicus OX=10116 GN=Apcs PE=3 SV=1</t>
  </si>
  <si>
    <t>A0A8L2QDI1</t>
  </si>
  <si>
    <t>78 kDa glucose-regulated protein OS=Rattus norvegicus OX=10116 GN=Hspa5 PE=1 SV=1</t>
  </si>
  <si>
    <t>protein metabolism;other metabolic processes;stress response;transport;developmental processes;signal transduction;other biological processes</t>
  </si>
  <si>
    <t>plasma membrane;other membranes;cytosol;mitochondrion;ER/Golgi;nucleus;other cell component</t>
  </si>
  <si>
    <t>translation activity;other molecular function</t>
  </si>
  <si>
    <t>ENSRNOG00000018294</t>
  </si>
  <si>
    <t>Q6IFU9</t>
  </si>
  <si>
    <t>Keratin 16 OS=Rattus norvegicus OX=10116 GN=Krt16 PE=1 SV=1</t>
  </si>
  <si>
    <t>ENSRNOG00000003899</t>
  </si>
  <si>
    <t>Q6IFU9; rno:303530</t>
  </si>
  <si>
    <t>A0A0G2JZ73</t>
  </si>
  <si>
    <t>Serpin family A member 1 OS=Rattus norvegicus OX=10116 GN=Serpina1 PE=1 SV=2</t>
  </si>
  <si>
    <t>non-structural extracellular;ER/Golgi</t>
  </si>
  <si>
    <t>ENSRNOG00000032669</t>
  </si>
  <si>
    <t>A0A8I6A4U0</t>
  </si>
  <si>
    <t>Ig-like domain-containing protein OS=Rattus norvegicus OX=10116 GN=ENSRNOG00000064589 PE=4 SV=1</t>
  </si>
  <si>
    <t>A6H9Z6</t>
  </si>
  <si>
    <t>Xanthine dehydrogenase/oxidase OS=Rattus norvegicus OX=10116 GN=Xdh PE=3 SV=1</t>
  </si>
  <si>
    <t>other cytoplasmic organelle</t>
  </si>
  <si>
    <t>P20761</t>
  </si>
  <si>
    <t>Ig gamma-2B chain C region OS=Rattus norvegicus OX=10116 GN=Igh-1a PE=1 SV=1</t>
  </si>
  <si>
    <t>P04636</t>
  </si>
  <si>
    <t>Malate dehydrogenase, mitochondrial OS=Rattus norvegicus OX=10116 GN=Mdh2 PE=1 SV=2</t>
  </si>
  <si>
    <t>other membranes;mitochondrion;other cell component</t>
  </si>
  <si>
    <t>ENSRNOG00000001440; ENSRNOG00055000334; ENSRNOG00060010793; ENSRNOG00065001791</t>
  </si>
  <si>
    <t>P04636; Q6GSM4; rno:81829</t>
  </si>
  <si>
    <t>O08619</t>
  </si>
  <si>
    <t>Coagulation factor XIII A chain OS=Rattus norvegicus OX=10116 GN=F13a1 PE=2 SV=3</t>
  </si>
  <si>
    <t>protein metabolism;other metabolic processes;stress response</t>
  </si>
  <si>
    <t>O08619; rno:60327</t>
  </si>
  <si>
    <t>A0A8I5ZY55</t>
  </si>
  <si>
    <t>Alpha-2-HS-glycoprotein OS=Rattus norvegicus OX=10116 GN=Ahsg PE=1 SV=1</t>
  </si>
  <si>
    <t>ENSRNOG00000038370</t>
  </si>
  <si>
    <t>A0A0G2JVQ5</t>
  </si>
  <si>
    <t>Kininogen 2 OS=Rattus norvegicus OX=10116 GN=Kng2 PE=1 SV=2</t>
  </si>
  <si>
    <t>ENSRNOG00000065935</t>
  </si>
  <si>
    <t>A0A5H1ZRV1</t>
  </si>
  <si>
    <t>Integrin beta OS=Rattus norvegicus OX=10116 GN=Itgb3 PE=1 SV=1</t>
  </si>
  <si>
    <t>cell adhesion;cell organization and biogenesis;protein metabolism;other metabolic processes;stress response;transport;developmental processes;signal transduction;other biological processes</t>
  </si>
  <si>
    <t>plasma membrane;other membranes;nucleus;other cell component</t>
  </si>
  <si>
    <t>ENSRNOG00000048449</t>
  </si>
  <si>
    <t>A6I5M8</t>
  </si>
  <si>
    <t>Similar to cytoplasmic beta-actin (Predicted) OS=Rattus norvegicus OX=10116 GN=Actbl2 PE=3 SV=1</t>
  </si>
  <si>
    <t>cell organization and biogenesis;developmental processes;other biological processes</t>
  </si>
  <si>
    <t>other membranes;cytoskeleton;other cell component</t>
  </si>
  <si>
    <t>A6I5M8; rno:294732</t>
  </si>
  <si>
    <t>Q63279</t>
  </si>
  <si>
    <t>Keratin, type I cytoskeletal 19 OS=Rattus norvegicus OX=10116 GN=Krt19 PE=1 SV=2</t>
  </si>
  <si>
    <t>cell organization and biogenesis;developmental processes;signal transduction;other biological processes</t>
  </si>
  <si>
    <t>ENSRNOG00000003899; ENSRNOG00060032144</t>
  </si>
  <si>
    <t>A0JN08; Q5M7V2; Q63279; Q6S6J4; Q9Z253; rno:360626</t>
  </si>
  <si>
    <t>D3ZXB7</t>
  </si>
  <si>
    <t>Keratin 71 OS=Rattus norvegicus OX=10116 GN=Krt71 PE=3 SV=3</t>
  </si>
  <si>
    <t>ENSRNOG00000049495</t>
  </si>
  <si>
    <t>A0A8I6A2W2</t>
  </si>
  <si>
    <t>Complement C1s OS=Rattus norvegicus OX=10116 GN=C1s PE=1 SV=1</t>
  </si>
  <si>
    <t>protein metabolism;other biological processes</t>
  </si>
  <si>
    <t>ENSRNOG00000011971</t>
  </si>
  <si>
    <t>A0A0G2KA54</t>
  </si>
  <si>
    <t>Kininogen 1 OS=Rattus norvegicus OX=10116 GN=Kng1 PE=4 SV=2</t>
  </si>
  <si>
    <t>stress response;signal transduction;other biological processes</t>
  </si>
  <si>
    <t>signal transduction activity or receptor binding;enzyme regulator activity</t>
  </si>
  <si>
    <t>ENSRNOG00000030387</t>
  </si>
  <si>
    <t>A0A8I6GKX5</t>
  </si>
  <si>
    <t>Inter-alpha-trypsin inhibitor heavy chain H3 OS=Rattus norvegicus OX=10116 GN=Itih3 PE=1 SV=1</t>
  </si>
  <si>
    <t>ENSRNOG00000017689</t>
  </si>
  <si>
    <t>A0A8I6GER1</t>
  </si>
  <si>
    <t>Kininogen 2 OS=Rattus norvegicus OX=10116 GN=Kng2l1 PE=4 SV=1</t>
  </si>
  <si>
    <t>A0A8I5ZW66</t>
  </si>
  <si>
    <t>Vitamin D-binding protein OS=Rattus norvegicus OX=10116 GN=Gc PE=1 SV=1</t>
  </si>
  <si>
    <t>other metabolic processes;transport</t>
  </si>
  <si>
    <t>non-structural extracellular;other membranes</t>
  </si>
  <si>
    <t>transporter activity;cytoskeletal activity;other molecular function</t>
  </si>
  <si>
    <t>ENSRNOG00000003119</t>
  </si>
  <si>
    <t>A6HT25</t>
  </si>
  <si>
    <t>Aconitate hydratase, mitochondrial OS=Rattus norvegicus OX=10116 GN=Aco2 PE=3 SV=1</t>
  </si>
  <si>
    <t>mitochondrion</t>
  </si>
  <si>
    <t>A6HT25; rno:79250</t>
  </si>
  <si>
    <t>Q6P6T1</t>
  </si>
  <si>
    <t>Complement C1s subcomponent OS=Rattus norvegicus OX=10116 GN=C1s PE=2 SV=2</t>
  </si>
  <si>
    <t>protein metabolism;stress response;developmental processes;other biological processes</t>
  </si>
  <si>
    <t>ENSRNOG00055009808; ENSRNOG00060031999</t>
  </si>
  <si>
    <t>O70542; Q6P6T1; Q8R099; rno:192262</t>
  </si>
  <si>
    <t>P20762</t>
  </si>
  <si>
    <t>Ig gamma-2C chain C region OS=Rattus norvegicus OX=10116 PE=2 SV=1</t>
  </si>
  <si>
    <t>G3V6G1</t>
  </si>
  <si>
    <t>Joining chain of multimeric IgA and IgM OS=Rattus norvegicus OX=10116 GN=Jchain PE=4 SV=1</t>
  </si>
  <si>
    <t>ENSRNOG00000003666</t>
  </si>
  <si>
    <t>F1LYQ4</t>
  </si>
  <si>
    <t>Ig-like domain-containing protein OS=Rattus norvegicus OX=10116 GN=A1bgl1 PE=4 SV=3</t>
  </si>
  <si>
    <t>signal transduction</t>
  </si>
  <si>
    <t>ENSRNOG00000037549</t>
  </si>
  <si>
    <t>F1LYU3</t>
  </si>
  <si>
    <t>Ig-like domain-containing protein OS=Rattus norvegicus OX=10116 GN=ENSRNOG00000062976 PE=1 SV=3</t>
  </si>
  <si>
    <t>F1LYU3; F1M2C9</t>
  </si>
  <si>
    <t>G3V7N9</t>
  </si>
  <si>
    <t>Adiponectin a OS=Rattus norvegicus OX=10116 GN=C1qb PE=1 SV=1</t>
  </si>
  <si>
    <t>ENSRNOG00000012749</t>
  </si>
  <si>
    <t>G3V7N9; rno:29687</t>
  </si>
  <si>
    <t>F7F1I5</t>
  </si>
  <si>
    <t>CD5 antigen-like OS=Rattus norvegicus OX=10116 GN=Cd5l PE=4 SV=1</t>
  </si>
  <si>
    <t>protein metabolism;other metabolic processes;other biological processes</t>
  </si>
  <si>
    <t>plasma membrane;other membranes;other cell component</t>
  </si>
  <si>
    <t>F7F1I5; rno:310693</t>
  </si>
  <si>
    <t>E0A3N4</t>
  </si>
  <si>
    <t>Serpina3n-like protein OS=Rattus norvegicus OX=10116 PE=2 SV=1</t>
  </si>
  <si>
    <t>A0A8I5Y662</t>
  </si>
  <si>
    <t>Ig-like domain-containing protein OS=Rattus norvegicus OX=10116 GN=ENSRNOG00000063707 PE=1 SV=1</t>
  </si>
  <si>
    <t>A0A8L2R4T1</t>
  </si>
  <si>
    <t>Junction plakoglobin OS=Rattus norvegicus OX=10116 GN=Jup PE=1 SV=1</t>
  </si>
  <si>
    <t>cell adhesion;cell organization and biogenesis;other biological processes</t>
  </si>
  <si>
    <t>plasma membrane;other membranes;cytosol;cytoskeleton;nucleus;other cell component</t>
  </si>
  <si>
    <t>ENSRNOG00000015380</t>
  </si>
  <si>
    <t>A0A0G2K3W2</t>
  </si>
  <si>
    <t>Coagulation factor V OS=Rattus norvegicus OX=10116 GN=F5 PE=1 SV=2</t>
  </si>
  <si>
    <t>protein metabolism;other metabolic processes;stress response;other biological processes</t>
  </si>
  <si>
    <t>ENSRNOG00000057855</t>
  </si>
  <si>
    <t>P23764</t>
  </si>
  <si>
    <t>Glutathione peroxidase 3 OS=Rattus norvegicus OX=10116 GN=Gpx3 PE=2 SV=2</t>
  </si>
  <si>
    <t>other metabolic processes;stress response;other biological processes</t>
  </si>
  <si>
    <t>P23764; Q6P6H2; rno:64317</t>
  </si>
  <si>
    <t>A6HJ10</t>
  </si>
  <si>
    <t>RCG33029, isoform CRA_b OS=Rattus norvegicus OX=10116 GN=Krt15 PE=3 SV=1</t>
  </si>
  <si>
    <t>A6HJ10; rno:287700</t>
  </si>
  <si>
    <t>D3ZWD6</t>
  </si>
  <si>
    <t>Complement C8 alpha chain OS=Rattus norvegicus OX=10116 GN=C8a PE=3 SV=2</t>
  </si>
  <si>
    <t>ENSRNOG00000007697</t>
  </si>
  <si>
    <t>A6HZH0</t>
  </si>
  <si>
    <t>Alpha-1,4 glucan phosphorylase OS=Rattus norvegicus OX=10116 GN=Pygm PE=3 SV=1</t>
  </si>
  <si>
    <t>A6HZH0; rno:24701</t>
  </si>
  <si>
    <t>A6KDI1</t>
  </si>
  <si>
    <t>RCG21092 (Fragment) OS=Rattus norvegicus OX=10116 GN=rCG_21092 PE=4 SV=1</t>
  </si>
  <si>
    <t>A6JAH9</t>
  </si>
  <si>
    <t>Electron transfer flavoprotein subunit beta OS=Rattus norvegicus OX=10116 GN=Etfb PE=3 SV=1</t>
  </si>
  <si>
    <t>A6JAH9; rno:292845</t>
  </si>
  <si>
    <t>F1LZ11</t>
  </si>
  <si>
    <t>Ig-like domain-containing protein OS=Rattus norvegicus OX=10116 GN=AABR07065814.2 PE=1 SV=2</t>
  </si>
  <si>
    <t>ENSRNOG00000042319</t>
  </si>
  <si>
    <t>A6IJ31</t>
  </si>
  <si>
    <t>RCG55135, isoform CRA_a OS=Rattus norvegicus OX=10116 GN=Tln1 PE=4 SV=1</t>
  </si>
  <si>
    <t>cell adhesion;cell organization and biogenesis;signal transduction</t>
  </si>
  <si>
    <t>D4A1T6</t>
  </si>
  <si>
    <t>complement subcomponent C1r OS=Rattus norvegicus OX=10116 GN=C1r PE=1 SV=4</t>
  </si>
  <si>
    <t>ENSRNOG00000011796</t>
  </si>
  <si>
    <t>M0RDZ5</t>
  </si>
  <si>
    <t>Ig-like domain-containing protein OS=Rattus norvegicus OX=10116 GN=ENSRNOG00000066431 PE=4 SV=2</t>
  </si>
  <si>
    <t>A0A8I6A7L1</t>
  </si>
  <si>
    <t>Ig-like domain-containing protein OS=Rattus norvegicus OX=10116 GN=ENSRNOG00000068381 PE=4 SV=1</t>
  </si>
  <si>
    <t>A6IJL5</t>
  </si>
  <si>
    <t>Cytosol aminopeptidase OS=Rattus norvegicus OX=10116 GN=Lap3 PE=3 SV=1</t>
  </si>
  <si>
    <t>protein metabolism</t>
  </si>
  <si>
    <t>A6IJL5; rno:289668</t>
  </si>
  <si>
    <t>A0A8I5ZX10</t>
  </si>
  <si>
    <t>Ig-like domain-containing protein OS=Rattus norvegicus OX=10116 GN=ENSRNOG00000063329 PE=1 SV=1</t>
  </si>
  <si>
    <t>Q62670</t>
  </si>
  <si>
    <t>0 beta-2 globin OS=Rattus norvegicus OX=10116 GN=0 beta-2 globin PE=3 SV=1</t>
  </si>
  <si>
    <t>A0A8I5ZPH3</t>
  </si>
  <si>
    <t>Similar to immunoglobulin light chain OS=Rattus norvegicus OX=10116 GN=Igkvl12 PE=1 SV=1</t>
  </si>
  <si>
    <t>ENSRNOG00000063414; ENSRNOG00000067824</t>
  </si>
  <si>
    <t>F7FMY6</t>
  </si>
  <si>
    <t>Vitamin K-dependent protein C OS=Rattus norvegicus OX=10116 GN=Proc PE=4 SV=2</t>
  </si>
  <si>
    <t>ENSRNOG00000014376</t>
  </si>
  <si>
    <t>Q91YB6</t>
  </si>
  <si>
    <t>Complement inhibitory factor H OS=Rattus norvegicus OX=10116 GN=Cfh PE=2 SV=1</t>
  </si>
  <si>
    <t>cell adhesion;cell organization and biogenesis;protein metabolism;DNA metabolism;other metabolic processes;stress response;developmental processes;other biological processes</t>
  </si>
  <si>
    <t>non-structural extracellular;plasma membrane;other membranes;mitochondrion;other cell component</t>
  </si>
  <si>
    <t>Q91YB6; rno:155012</t>
  </si>
  <si>
    <t>A0A8L2R7U6</t>
  </si>
  <si>
    <t>Proteasome subunit beta OS=Rattus norvegicus OX=10116 GN=Psmb3 PE=1 SV=1</t>
  </si>
  <si>
    <t>nucleus;other cell component</t>
  </si>
  <si>
    <t>ENSRNOG00000052730</t>
  </si>
  <si>
    <t>A0A0G2K0I4</t>
  </si>
  <si>
    <t>Keratin 84 OS=Rattus norvegicus OX=10116 GN=Krt84 PE=3 SV=1</t>
  </si>
  <si>
    <t>ENSRNOG00000008819</t>
  </si>
  <si>
    <t>A0A8I5ZKU8</t>
  </si>
  <si>
    <t>Complement C8 gamma chain OS=Rattus norvegicus OX=10116 GN=Lcn12 PE=1 SV=1</t>
  </si>
  <si>
    <t>ENSRNOG00000028701</t>
  </si>
  <si>
    <t>G3V6D3</t>
  </si>
  <si>
    <t>ATP synthase subunit beta OS=Rattus norvegicus OX=10116 GN=Atp5f1b PE=1 SV=1</t>
  </si>
  <si>
    <t>other metabolic processes;transport;developmental processes;other biological processes</t>
  </si>
  <si>
    <t>plasma membrane;other membranes;mitochondrion;other cell component</t>
  </si>
  <si>
    <t>ENSRNOG00000002840</t>
  </si>
  <si>
    <t>F7F389</t>
  </si>
  <si>
    <t>Complement component C9 OS=Rattus norvegicus OX=10116 GN=C9 PE=3 SV=1</t>
  </si>
  <si>
    <t>ENSRNOG00000013736</t>
  </si>
  <si>
    <t>A0A8I6A721</t>
  </si>
  <si>
    <t>Malate dehydrogenase OS=Rattus norvegicus OX=10116 GN=Mdh1 PE=1 SV=1</t>
  </si>
  <si>
    <t>cytosol;cytoskeleton</t>
  </si>
  <si>
    <t>ENSRNOG00000008103</t>
  </si>
  <si>
    <t>Q7TMA9</t>
  </si>
  <si>
    <t>Aa1249 OS=Rattus norvegicus OX=10116 GN=Crp PE=1 SV=1</t>
  </si>
  <si>
    <t>other membranes</t>
  </si>
  <si>
    <t>ENSRNOG00000000053</t>
  </si>
  <si>
    <t>A0A0G2K8V5; Q7TMA9</t>
  </si>
  <si>
    <t>A0A0G2JWX4</t>
  </si>
  <si>
    <t>Keratin 2 OS=Rattus norvegicus OX=10116 GN=Krt2 PE=1 SV=2</t>
  </si>
  <si>
    <t>bone, tooth or skin structural activity;cytoskeletal activity</t>
  </si>
  <si>
    <t>ENSRNOG00000009563</t>
  </si>
  <si>
    <t>A0A0G2JW41</t>
  </si>
  <si>
    <t>Ig-like domain-containing protein OS=Rattus norvegicus OX=10116 GN=ENSRNOG00000065855 PE=4 SV=2</t>
  </si>
  <si>
    <t>A0A3B0IYY4</t>
  </si>
  <si>
    <t>Adiponectin b OS=Rattus norvegicus OX=10116 GN=C1qc PE=1 SV=1</t>
  </si>
  <si>
    <t>ENSRNOG00000012804</t>
  </si>
  <si>
    <t>A0A0G2JSP8</t>
  </si>
  <si>
    <t>Creatine kinase M-type OS=Rattus norvegicus OX=10116 GN=Ckm PE=1 SV=1</t>
  </si>
  <si>
    <t>kinase activity;other molecular function</t>
  </si>
  <si>
    <t>ENSRNOG00000016837</t>
  </si>
  <si>
    <t>A0A0G2JSP8; rno:24265</t>
  </si>
  <si>
    <t>A0A8I6AD89</t>
  </si>
  <si>
    <t>Ig-like domain-containing protein OS=Rattus norvegicus OX=10116 GN=ENSRNOG00000064245 PE=1 SV=1</t>
  </si>
  <si>
    <t>G3V6Y6</t>
  </si>
  <si>
    <t>Alpha-1,4 glucan phosphorylase OS=Rattus norvegicus OX=10116 GN=Pygb PE=1 SV=2</t>
  </si>
  <si>
    <t>ENSRNOG00000007583</t>
  </si>
  <si>
    <t>B2GV03; G3V6Y6</t>
  </si>
  <si>
    <t>A6IMU4</t>
  </si>
  <si>
    <t>L-lactate dehydrogenase OS=Rattus norvegicus OX=10116 GN=Ldhb PE=3 SV=1</t>
  </si>
  <si>
    <t>other membranes;mitochondrion</t>
  </si>
  <si>
    <t>A6IMU4; rno:24534</t>
  </si>
  <si>
    <t>F1LPR6</t>
  </si>
  <si>
    <t>Immunoglobulin heavy constant epsilon OS=Rattus norvegicus OX=10116 GN=Ighm PE=1 SV=4</t>
  </si>
  <si>
    <t>ENSRNOG00000034190</t>
  </si>
  <si>
    <t>A0A8L2UK05</t>
  </si>
  <si>
    <t>Angiotensinogen OS=Rattus norvegicus OX=10116 GN=Agt PE=1 SV=1</t>
  </si>
  <si>
    <t>developmental processes;signal transduction;other biological processes</t>
  </si>
  <si>
    <t>ENSRNOG00000018445</t>
  </si>
  <si>
    <t>P31211</t>
  </si>
  <si>
    <t>Corticosteroid-binding globulin OS=Rattus norvegicus OX=10116 GN=Serpina6 PE=1 SV=2</t>
  </si>
  <si>
    <t>ENSRNOG00000009438</t>
  </si>
  <si>
    <t>P31211; Q5M822; rno:299270</t>
  </si>
  <si>
    <t>A0A8I6AS50</t>
  </si>
  <si>
    <t>Proteasome subunit alpha type OS=Rattus norvegicus OX=10116 GN=Psma5 PE=1 SV=1</t>
  </si>
  <si>
    <t>cytosol;nucleus;other cell component</t>
  </si>
  <si>
    <t>ENSRNOG00000019868</t>
  </si>
  <si>
    <t>A0A3B0J380</t>
  </si>
  <si>
    <t>Complement C1q subcomponent subunit A OS=Rattus norvegicus OX=10116 GN=C1qa PE=1 SV=1</t>
  </si>
  <si>
    <t>cell organization and biogenesis;stress response;developmental processes;other biological processes</t>
  </si>
  <si>
    <t>ENSRNOG00000012807</t>
  </si>
  <si>
    <t>A0A0G2K0W9</t>
  </si>
  <si>
    <t>Proteasome subunit alpha type OS=Rattus norvegicus OX=10116 GN=Psma7 PE=3 SV=2</t>
  </si>
  <si>
    <t>ENSRNOG00000056853</t>
  </si>
  <si>
    <t>A2VCV7</t>
  </si>
  <si>
    <t>MBL associated serine protease 2 OS=Rattus norvegicus OX=10116 GN=Masp2 PE=4 SV=1</t>
  </si>
  <si>
    <t>protein metabolism;stress response</t>
  </si>
  <si>
    <t>ENSRNOG00000011258</t>
  </si>
  <si>
    <t>A2VCV7; rno:64459</t>
  </si>
  <si>
    <t>A6KUH4</t>
  </si>
  <si>
    <t>RCG47027 (Fragment) OS=Rattus norvegicus OX=10116 GN=rCG_47027 PE=4 SV=1</t>
  </si>
  <si>
    <t>A0A8I6AST2</t>
  </si>
  <si>
    <t>Gelsolin OS=Rattus norvegicus OX=10116 GN=Gsn PE=1 SV=1</t>
  </si>
  <si>
    <t>cell organization and biogenesis;protein metabolism;other metabolic processes;stress response;transport;other biological processes</t>
  </si>
  <si>
    <t>non-structural extracellular;plasma membrane;other membranes;cytosol;cytoskeleton;nucleus;other cell component</t>
  </si>
  <si>
    <t>ENSRNOG00000018991</t>
  </si>
  <si>
    <t>P05065</t>
  </si>
  <si>
    <t>Fructose-bisphosphate aldolase A OS=Rattus norvegicus OX=10116 GN=Aldoa PE=1 SV=2</t>
  </si>
  <si>
    <t>cell organization and biogenesis;other metabolic processes;stress response;other biological processes</t>
  </si>
  <si>
    <t>non-structural extracellular;cytosol;cytoskeleton;other cell component</t>
  </si>
  <si>
    <t>ENSRNOG00065016801</t>
  </si>
  <si>
    <t>P05065; Q63038; rno:24189</t>
  </si>
  <si>
    <t>P06765</t>
  </si>
  <si>
    <t>Platelet factor 4 OS=Rattus norvegicus OX=10116 GN=Pf4 PE=1 SV=1</t>
  </si>
  <si>
    <t>cell organization and biogenesis;stress response;signal transduction;other biological processes</t>
  </si>
  <si>
    <t>ENSRNOG00000028015; ENSRNOG00065017253</t>
  </si>
  <si>
    <t>P06765; rno:360918</t>
  </si>
  <si>
    <t>A0A8I5ZVC4</t>
  </si>
  <si>
    <t>Inter-alpha-trypsin inhibitor heavy chain 2 OS=Rattus norvegicus OX=10116 GN=Itih2 PE=1 SV=1</t>
  </si>
  <si>
    <t>ENSRNOG00000001066</t>
  </si>
  <si>
    <t>A0A8I6AWQ8</t>
  </si>
  <si>
    <t>Fetuin B OS=Rattus norvegicus OX=10116 GN=Fetub PE=1 SV=1</t>
  </si>
  <si>
    <t>ENSRNOG00000001806</t>
  </si>
  <si>
    <t>G3V843</t>
  </si>
  <si>
    <t>Prothrombin OS=Rattus norvegicus OX=10116 GN=F2 PE=3 SV=1</t>
  </si>
  <si>
    <t>protein metabolism;stress response;signal transduction;other biological processes</t>
  </si>
  <si>
    <t>ENSRNOG00000016325</t>
  </si>
  <si>
    <t>G3V843; rno:29251</t>
  </si>
  <si>
    <t>A0A8I6AUI8</t>
  </si>
  <si>
    <t>Myosin light polypeptide 6 OS=Rattus norvegicus OX=10116 GN=Myl6 PE=1 SV=1</t>
  </si>
  <si>
    <t>ENSRNOG00000054140</t>
  </si>
  <si>
    <t>F1M0U4</t>
  </si>
  <si>
    <t>Ig-like domain-containing protein OS=Rattus norvegicus OX=10116 GN=ENSRNOG00000066892 PE=4 SV=4</t>
  </si>
  <si>
    <t>D4A5C6; F1M0U4</t>
  </si>
  <si>
    <t>F1LWD0</t>
  </si>
  <si>
    <t>Ig-like domain-containing protein OS=Rattus norvegicus OX=10116 GN=AABR07065782.1 PE=1 SV=3</t>
  </si>
  <si>
    <t>ENSRNOG00000033376</t>
  </si>
  <si>
    <t>A0A8I6AI41</t>
  </si>
  <si>
    <t>Ig-like domain-containing protein OS=Rattus norvegicus OX=10116 GN=ENSRNOG00000066406 PE=4 SV=1</t>
  </si>
  <si>
    <t>Q7TMC0</t>
  </si>
  <si>
    <t>Mannose-binding protein C OS=Rattus norvegicus OX=10116 GN=AABR07006691.1 PE=2 SV=1</t>
  </si>
  <si>
    <t>ENSRNOG00000011637</t>
  </si>
  <si>
    <t>A0A140UHW8; F8WFQ8; Q7TMC0</t>
  </si>
  <si>
    <t>A0A8I6G7J3</t>
  </si>
  <si>
    <t>Ig-like domain-containing protein OS=Rattus norvegicus OX=10116 GN=ENSRNOG00000070816 PE=1 SV=1</t>
  </si>
  <si>
    <t>A0A8I5Y6U8</t>
  </si>
  <si>
    <t>Proteasome subunit beta OS=Rattus norvegicus OX=10116 GN=Psmb1 PE=2 SV=1</t>
  </si>
  <si>
    <t>A0A8I6AKB2</t>
  </si>
  <si>
    <t>Profilin OS=Rattus norvegicus OX=10116 GN=Pfn1 PE=1 SV=1</t>
  </si>
  <si>
    <t>ENSRNOG00000003975</t>
  </si>
  <si>
    <t>D3ZGK7</t>
  </si>
  <si>
    <t>Carboxylic ester hydrolase OS=Rattus norvegicus OX=10116 GN=Ces1c PE=1 SV=4</t>
  </si>
  <si>
    <t>ENSRNOG00000069004</t>
  </si>
  <si>
    <t>A0A8I6AFJ4</t>
  </si>
  <si>
    <t>Chymotrypsin-like OS=Rattus norvegicus OX=10116 GN=Psmb10 PE=1 SV=1</t>
  </si>
  <si>
    <t>non-structural extracellular;nucleus;other cell component</t>
  </si>
  <si>
    <t>ENSRNOG00000019353</t>
  </si>
  <si>
    <t>A0A8I5ZQ05</t>
  </si>
  <si>
    <t>Medium-chain specific acyl-CoA dehydrogenase, mitochondrial OS=Rattus norvegicus OX=10116 GN=Acadm PE=1 SV=1</t>
  </si>
  <si>
    <t>other metabolic processes;stress response;developmental processes;other biological processes</t>
  </si>
  <si>
    <t>ENSRNOG00000009845</t>
  </si>
  <si>
    <t>A6KF54</t>
  </si>
  <si>
    <t>RCG64255 (Fragment) OS=Rattus norvegicus OX=10116 GN=rCG_64255 PE=4 SV=1</t>
  </si>
  <si>
    <t>D3ZC54</t>
  </si>
  <si>
    <t>Ig-like domain-containing protein OS=Rattus norvegicus OX=10116 GN=AABR07065823.2 PE=1 SV=3</t>
  </si>
  <si>
    <t>ENSRNOG00000030235</t>
  </si>
  <si>
    <t>M0R838</t>
  </si>
  <si>
    <t>Ig-like domain-containing protein OS=Rattus norvegicus OX=10116 GN=ENSRNOG00000065905 PE=4 SV=2</t>
  </si>
  <si>
    <t>A0A8I6A2E9</t>
  </si>
  <si>
    <t>Fatty acid-binding protein, heart OS=Rattus norvegicus OX=10116 GN=Fabp3 PE=1 SV=1</t>
  </si>
  <si>
    <t>ENSRNOG00000012879</t>
  </si>
  <si>
    <t>A6KFD6</t>
  </si>
  <si>
    <t>Long-chain specific acyl-CoA dehydrogenase, mitochondrial OS=Rattus norvegicus OX=10116 GN=Acadl PE=3 SV=1</t>
  </si>
  <si>
    <t>A6KFD6; rno:25287</t>
  </si>
  <si>
    <t>A0A8I6ART9</t>
  </si>
  <si>
    <t>phosphopyruvate hydratase OS=Rattus norvegicus OX=10116 GN=Eno1 PE=1 SV=1</t>
  </si>
  <si>
    <t>ENSRNOG00000017895</t>
  </si>
  <si>
    <t>Q6P734</t>
  </si>
  <si>
    <t>Plasma protease C1 inhibitor OS=Rattus norvegicus OX=10116 GN=Serping1 PE=2 SV=1</t>
  </si>
  <si>
    <t>ENSRNOG00000007457</t>
  </si>
  <si>
    <t>Q6P734; rno:295703</t>
  </si>
  <si>
    <t>A0A8I6AID3</t>
  </si>
  <si>
    <t>Immunoglobulin kappa variable like, pseudogene 19 OS=Rattus norvegicus OX=10116 GN=Igkvl-ps19 PE=4 SV=1</t>
  </si>
  <si>
    <t>ENSRNOG00000065025</t>
  </si>
  <si>
    <t>A0A8I6AQD7</t>
  </si>
  <si>
    <t>Ig-like domain-containing protein OS=Rattus norvegicus OX=10116 GN=ENSRNOG00000064041 PE=1 SV=1</t>
  </si>
  <si>
    <t>A0A8I6G5G7</t>
  </si>
  <si>
    <t>KxDL motif-containing protein 1 OS=Rattus norvegicus OX=10116 GN=Kxd1 PE=3 SV=1</t>
  </si>
  <si>
    <t>cytosol;translational apparatus;nucleus;other cell component</t>
  </si>
  <si>
    <t>ENSRNOG00000019971</t>
  </si>
  <si>
    <t>A0A023IKI3</t>
  </si>
  <si>
    <t>Proteasome subunit beta OS=Rattus norvegicus OX=10116 GN=Psmb8 PE=2 SV=1</t>
  </si>
  <si>
    <t>A0A8I6ASD7</t>
  </si>
  <si>
    <t>Ig-like domain-containing protein OS=Rattus norvegicus OX=10116 GN=ENSRNOG00000070244 PE=1 SV=1</t>
  </si>
  <si>
    <t>A0A8I6A0Y4</t>
  </si>
  <si>
    <t>Ig-like domain-containing protein OS=Rattus norvegicus OX=10116 GN=ENSRNOG00000062475 PE=4 SV=1</t>
  </si>
  <si>
    <t>A6KMW0</t>
  </si>
  <si>
    <t>ATP synthase subunit alpha OS=Rattus norvegicus OX=10116 GN=Atp5f1a PE=3 SV=1</t>
  </si>
  <si>
    <t>other membranes;other cell component</t>
  </si>
  <si>
    <t>A6KMW0; rno:65262</t>
  </si>
  <si>
    <t>A6KUP4</t>
  </si>
  <si>
    <t>RCG21938 (Fragment) OS=Rattus norvegicus OX=10116 GN=rCG_21938 PE=4 SV=1</t>
  </si>
  <si>
    <t>F1M7H2</t>
  </si>
  <si>
    <t>Polymeric immunoglobulin receptor OS=Rattus norvegicus OX=10116 GN=Pigr PE=1 SV=4</t>
  </si>
  <si>
    <t>transport;signal transduction;other biological processes</t>
  </si>
  <si>
    <t>ENSRNOG00000004405</t>
  </si>
  <si>
    <t>A0A0G2K8K3</t>
  </si>
  <si>
    <t>Serpin family D member 1 OS=Rattus norvegicus OX=10116 GN=Serpind1 PE=1 SV=2</t>
  </si>
  <si>
    <t>stress response</t>
  </si>
  <si>
    <t>ENSRNOG00000001865</t>
  </si>
  <si>
    <t>Q62636</t>
  </si>
  <si>
    <t>Ras-related protein Rap-1b OS=Rattus norvegicus OX=10116 GN=Rap1b PE=1 SV=2</t>
  </si>
  <si>
    <t>cell cycle OR cell proliferation;cell organization and biogenesis;transport;signal transduction;other biological processes</t>
  </si>
  <si>
    <t>plasma membrane;other membranes;cytosol;other cell component</t>
  </si>
  <si>
    <t>ENSRNOG00000007048; ENSRNOG00055012790; ENSRNOG00060009294; ENSRNOG00065013006</t>
  </si>
  <si>
    <t>Q62636; Q6J167; rno:171337</t>
  </si>
  <si>
    <t>A0A8I6A583</t>
  </si>
  <si>
    <t>Ig-like domain-containing protein OS=Rattus norvegicus OX=10116 GN=ENSRNOG00000064207 PE=1 SV=1</t>
  </si>
  <si>
    <t>A6KRG3</t>
  </si>
  <si>
    <t>Acetyl-Coenzyme A acyltransferase 2 (Mitochondrial 3-oxoacyl-Coenzyme A thiolase), isoform CRA_f OS=Rattus norvegicus OX=10116 GN=Acaa2 PE=3 SV=1</t>
  </si>
  <si>
    <t>A0A8L2QEA3</t>
  </si>
  <si>
    <t>Heat shock protein HSP 90-beta OS=Rattus norvegicus OX=10116 GN=Hsp90ab1 PE=1 SV=1</t>
  </si>
  <si>
    <t>cell organization and biogenesis;protein metabolism;DNA metabolism;other metabolic processes;stress response;other biological processes</t>
  </si>
  <si>
    <t>non-structural extracellular;cytosol;nucleus;other cell component</t>
  </si>
  <si>
    <t>enzyme regulator activity;cytoskeletal activity;nucleic acid binding activity;other molecular function</t>
  </si>
  <si>
    <t>ENSRNOG00000019834</t>
  </si>
  <si>
    <t>A0A0G2K3Z9</t>
  </si>
  <si>
    <t>Peroxiredoxin-1 OS=Rattus norvegicus OX=10116 GN=Prdx1l1 PE=3 SV=1</t>
  </si>
  <si>
    <t>ENSRNOG00000017695</t>
  </si>
  <si>
    <t>A6K9Q7</t>
  </si>
  <si>
    <t>Tropomyosin alpha-4 chain OS=Rattus norvegicus OX=10116 GN=Tpm4 PE=3 SV=1</t>
  </si>
  <si>
    <t>A6K9Q7; rno:24852</t>
  </si>
  <si>
    <t>A0A8I6A7R6</t>
  </si>
  <si>
    <t>Ig-like domain-containing protein OS=Rattus norvegicus OX=10116 GN=ENSRNOG00000065040 PE=1 SV=1</t>
  </si>
  <si>
    <t>B0BMS8</t>
  </si>
  <si>
    <t>Myosin regulatory light polypeptide 9 OS=Rattus norvegicus OX=10116 GN=Myl9 PE=4 SV=1</t>
  </si>
  <si>
    <t>ENSRNOG00000020246</t>
  </si>
  <si>
    <t>D3ZPL2</t>
  </si>
  <si>
    <t>Ig-like domain-containing protein OS=Rattus norvegicus OX=10116 GN=ENSRNOG00000063422 PE=4 SV=4</t>
  </si>
  <si>
    <t>A6JC81</t>
  </si>
  <si>
    <t>Isocitrate dehydrogenase [NADP] OS=Rattus norvegicus OX=10116 GN=Idh2 PE=3 SV=1</t>
  </si>
  <si>
    <t>A6JC81; rno:361596</t>
  </si>
  <si>
    <t>A0A8I6A6C3</t>
  </si>
  <si>
    <t>Ig-like domain-containing protein OS=Rattus norvegicus OX=10116 GN=ENSRNOG00000067603 PE=4 SV=1</t>
  </si>
  <si>
    <t>A6ISB2</t>
  </si>
  <si>
    <t>Proteasome subunit beta OS=Rattus norvegicus OX=10116 GN=Psmb2 PE=3 SV=1</t>
  </si>
  <si>
    <t>A6ISB2; rno:29675</t>
  </si>
  <si>
    <t>A0A8I6AIZ9</t>
  </si>
  <si>
    <t>Glyceraldehyde-3-phosphate dehydrogenase OS=Rattus norvegicus OX=10116 GN=Gapdh PE=1 SV=1</t>
  </si>
  <si>
    <t>cytosol;cytoskeleton;nucleus</t>
  </si>
  <si>
    <t>ENSRNOG00000018630</t>
  </si>
  <si>
    <t>A0A8I5ZLW9</t>
  </si>
  <si>
    <t>Ig-like domain-containing protein OS=Rattus norvegicus OX=10116 GN=ENSRNOG00000063672 PE=1 SV=1</t>
  </si>
  <si>
    <t>A0A0G2JV65</t>
  </si>
  <si>
    <t>14-3-3 protein zeta/delta OS=Rattus norvegicus OX=10116 GN=Ywhaz PE=1 SV=2</t>
  </si>
  <si>
    <t>cell organization and biogenesis;stress response;developmental processes;signal transduction;other biological processes</t>
  </si>
  <si>
    <t>ENSRNOG00000008195</t>
  </si>
  <si>
    <t>A0A8I5ZN60</t>
  </si>
  <si>
    <t>Ig-like domain-containing protein OS=Rattus norvegicus OX=10116 GN=ENSRNOG00000069193 PE=4 SV=1</t>
  </si>
  <si>
    <t>P55063</t>
  </si>
  <si>
    <t>Heat shock 70 kDa protein 1-like OS=Rattus norvegicus OX=10116 GN=Hspa1l PE=2 SV=2</t>
  </si>
  <si>
    <t>cytosol;mitochondrion;nucleus;other cell component</t>
  </si>
  <si>
    <t>ENSRNOG00000047966; ENSRNOG00055007902; ENSRNOG00060004760; ENSRNOG00065031164</t>
  </si>
  <si>
    <t>P55063; Q32P36; Q6MG67; rno:24963</t>
  </si>
  <si>
    <t>A6JRV3</t>
  </si>
  <si>
    <t>RCG36501 OS=Rattus norvegicus OX=10116 GN=Cpn2 PE=4 SV=1</t>
  </si>
  <si>
    <t>non-structural extracellular;extracellular matrix;plasma membrane;other membranes</t>
  </si>
  <si>
    <t>A6JRV3; rno:303861</t>
  </si>
  <si>
    <t>A0A8L2QBL5</t>
  </si>
  <si>
    <t>Transthyretin OS=Rattus norvegicus OX=10116 GN=Ttr PE=1 SV=1</t>
  </si>
  <si>
    <t>ENSRNOG00000016275</t>
  </si>
  <si>
    <t>A0A0H2UI39</t>
  </si>
  <si>
    <t>Apolipoprotein C-III OS=Rattus norvegicus OX=10116 GN=Apoc3 PE=1 SV=1</t>
  </si>
  <si>
    <t>protein metabolism;other metabolic processes;transport</t>
  </si>
  <si>
    <t>ENSRNOG00000047503</t>
  </si>
  <si>
    <t>A0A8I6AK25</t>
  </si>
  <si>
    <t>Beta-enolase OS=Rattus norvegicus OX=10116 GN=Eno3 PE=1 SV=1</t>
  </si>
  <si>
    <t>plasma membrane;other membranes;cytosol</t>
  </si>
  <si>
    <t>ENSRNOG00000004078</t>
  </si>
  <si>
    <t>A6KDI8</t>
  </si>
  <si>
    <t>RCG21034 (Fragment) OS=Rattus norvegicus OX=10116 GN=rCG_21034 PE=4 SV=1</t>
  </si>
  <si>
    <t>A6KGG5</t>
  </si>
  <si>
    <t>Leukemia inhibitory factor receptor, isoform CRA_a OS=Rattus norvegicus OX=10116 GN=Lifr PE=3 SV=1</t>
  </si>
  <si>
    <t>A6JXY8</t>
  </si>
  <si>
    <t>Aspartate aminotransferase OS=Rattus norvegicus OX=10116 GN=Got2 PE=3 SV=1</t>
  </si>
  <si>
    <t>A6JXY8; rno:25721</t>
  </si>
  <si>
    <t>A0A8I6AS83</t>
  </si>
  <si>
    <t>Transferrin receptor protein 1 OS=Rattus norvegicus OX=10116 GN=Tfrc PE=1 SV=1</t>
  </si>
  <si>
    <t>ENSRNOG00000001766</t>
  </si>
  <si>
    <t>A0A023IM45</t>
  </si>
  <si>
    <t>G3V615</t>
  </si>
  <si>
    <t>Complement factor B OS=Rattus norvegicus OX=10116 GN=Cfb PE=4 SV=1</t>
  </si>
  <si>
    <t>ENSRNOG00000051235</t>
  </si>
  <si>
    <t>G3V615; rno:294257</t>
  </si>
  <si>
    <t>A6HBM1</t>
  </si>
  <si>
    <t>Proteasome subunit alpha type OS=Rattus norvegicus OX=10116 GN=Psma6 PE=3 SV=1</t>
  </si>
  <si>
    <t>A6HBM1; rno:29673</t>
  </si>
  <si>
    <t>A6KUT5</t>
  </si>
  <si>
    <t>RCG58847 (Fragment) OS=Rattus norvegicus OX=10116 GN=rCG_58847 PE=4 SV=1</t>
  </si>
  <si>
    <t>A0A0G2JSH9</t>
  </si>
  <si>
    <t>Peroxiredoxin-2 OS=Rattus norvegicus OX=10116 GN=Prdx2 PE=3 SV=1</t>
  </si>
  <si>
    <t>cell cycle OR cell proliferation;other metabolic processes;stress response;developmental processes;signal transduction;other biological processes</t>
  </si>
  <si>
    <t>ENSRNOG00000003520</t>
  </si>
  <si>
    <t>A6J4P6</t>
  </si>
  <si>
    <t>Electron transfer flavoprotein subunit alpha OS=Rattus norvegicus OX=10116 GN=Etfa PE=3 SV=1</t>
  </si>
  <si>
    <t>A6J4P6; rno:300726</t>
  </si>
  <si>
    <t>A6K9L8</t>
  </si>
  <si>
    <t>Mannan-binding protein OS=Rattus norvegicus OX=10116 GN=Mbl1 PE=4 SV=1</t>
  </si>
  <si>
    <t>A6K9L8; rno:24548</t>
  </si>
  <si>
    <t>A6I899</t>
  </si>
  <si>
    <t>Proteasome subunit alpha type OS=Rattus norvegicus OX=10116 GN=Psma1 PE=3 SV=1</t>
  </si>
  <si>
    <t>A6I899; rno:29668</t>
  </si>
  <si>
    <t>A0A8I5ZM48</t>
  </si>
  <si>
    <t>Ig-like domain-containing protein OS=Rattus norvegicus OX=10116 GN=ENSRNOG00000062392 PE=1 SV=1</t>
  </si>
  <si>
    <t>A0A8J8XVZ5</t>
  </si>
  <si>
    <t>von Willebrand factor OS=Rattus norvegicus OX=10116 GN=Vwf PE=2 SV=1</t>
  </si>
  <si>
    <t>cell adhesion;stress response</t>
  </si>
  <si>
    <t>A0A8J8XVZ5; rno:116669</t>
  </si>
  <si>
    <t>A0A8I6GIW0</t>
  </si>
  <si>
    <t>Ig-like domain-containing protein OS=Rattus norvegicus OX=10116 GN=ENSRNOG00000067897 PE=4 SV=1</t>
  </si>
  <si>
    <t>A0A8I6AAB9</t>
  </si>
  <si>
    <t>L-lactate dehydrogenase OS=Rattus norvegicus OX=10116 GN=Ldha PE=1 SV=1</t>
  </si>
  <si>
    <t>ENSRNOG00000013009</t>
  </si>
  <si>
    <t>G3V9R9</t>
  </si>
  <si>
    <t>Afamin OS=Rattus norvegicus OX=10116 GN=Afm PE=4 SV=1</t>
  </si>
  <si>
    <t>ENSRNOG00000002878</t>
  </si>
  <si>
    <t>A0A8I6AI27</t>
  </si>
  <si>
    <t>Ig-like domain-containing protein OS=Rattus norvegicus OX=10116 GN=ENSRNOG00000065115 PE=1 SV=1</t>
  </si>
  <si>
    <t>A6IJ28</t>
  </si>
  <si>
    <t>Tropomyosin beta chain OS=Rattus norvegicus OX=10116 GN=Tpm2 PE=3 SV=1</t>
  </si>
  <si>
    <t>M0RCL7</t>
  </si>
  <si>
    <t>Ig-like domain-containing protein OS=Rattus norvegicus OX=10116 GN=ENSRNOG00000069838 PE=1 SV=1</t>
  </si>
  <si>
    <t>A0A8I5ZSP3</t>
  </si>
  <si>
    <t>14-3-3 protein epsilon OS=Rattus norvegicus OX=10116 GN=Ywhae PE=1 SV=1</t>
  </si>
  <si>
    <t>developmental processes;other biological processes</t>
  </si>
  <si>
    <t>ENSRNOG00000005290</t>
  </si>
  <si>
    <t>A6IA53</t>
  </si>
  <si>
    <t>RCG56561 (Fragment) OS=Rattus norvegicus OX=10116 GN=rCG_56561 PE=4 SV=1</t>
  </si>
  <si>
    <t>A0A0G2JVG3</t>
  </si>
  <si>
    <t>Pyruvate kinase OS=Rattus norvegicus OX=10116 GN=Pkm PE=1 SV=2</t>
  </si>
  <si>
    <t>ENSRNOG00000011329</t>
  </si>
  <si>
    <t>A0A8I5ZXA1</t>
  </si>
  <si>
    <t>Myosin light chain 12B OS=Rattus norvegicus OX=10116 GN=Myl12a PE=1 SV=1</t>
  </si>
  <si>
    <t>ENSRNOG00000015278</t>
  </si>
  <si>
    <t>F1LNF7</t>
  </si>
  <si>
    <t>Isocitrate dehydrogenase [NAD] subunit, mitochondrial OS=Rattus norvegicus OX=10116 GN=Idh3a PE=3 SV=3</t>
  </si>
  <si>
    <t>ENSRNOG00000010277</t>
  </si>
  <si>
    <t>A0A8I6ANV9</t>
  </si>
  <si>
    <t>Annexin OS=Rattus norvegicus OX=10116 GN=Anxa2 PE=1 SV=1</t>
  </si>
  <si>
    <t>cell adhesion;cell organization and biogenesis;RNA metabolism OR transcription;other metabolic processes;developmental processes;other biological processes</t>
  </si>
  <si>
    <t>non-structural extracellular;extracellular matrix;plasma membrane;other membranes;cytosol;nucleus;other cytoplasmic organelle;other cell component</t>
  </si>
  <si>
    <t>enzyme regulator activity;cytoskeletal activity;other molecular function</t>
  </si>
  <si>
    <t>ENSRNOG00000010362</t>
  </si>
  <si>
    <t>Q5VLR6</t>
  </si>
  <si>
    <t>BWK3 OS=Rattus norvegicus OX=10116 PE=2 SV=1</t>
  </si>
  <si>
    <t>G3V8X6</t>
  </si>
  <si>
    <t>Tsukushi, small leucine rich proteoglycan OS=Rattus norvegicus OX=10116 GN=Tsku PE=4 SV=2</t>
  </si>
  <si>
    <t>cell organization and biogenesis;other metabolic processes;stress response;transport;developmental processes;other biological processes</t>
  </si>
  <si>
    <t>ENSRNOG00000027784</t>
  </si>
  <si>
    <t>A6KDG8</t>
  </si>
  <si>
    <t>RCG21066 (Fragment) OS=Rattus norvegicus OX=10116 GN=rCG_21066 PE=4 SV=1</t>
  </si>
  <si>
    <t>A0A8I5ZTK7</t>
  </si>
  <si>
    <t>Ig-like domain-containing protein OS=Rattus norvegicus OX=10116 GN=ENSRNOG00000069828 PE=4 SV=1</t>
  </si>
  <si>
    <t>A0A8I6ALZ6</t>
  </si>
  <si>
    <t>Ig-like domain-containing protein OS=Rattus norvegicus OX=10116 GN=ENSRNOG00000067516 PE=4 SV=1</t>
  </si>
  <si>
    <t>A6J6J9</t>
  </si>
  <si>
    <t>RCG62531, isoform CRA_d OS=Rattus norvegicus OX=10116 GN=rCG_62531 PE=3 SV=1</t>
  </si>
  <si>
    <t>A6J7X0</t>
  </si>
  <si>
    <t>Protein AMBP OS=Rattus norvegicus OX=10116 GN=Ambp PE=3 SV=1</t>
  </si>
  <si>
    <t>non-structural extracellular;plasma membrane;other membranes;cytosol;mitochondrion;ER/Golgi;nucleus</t>
  </si>
  <si>
    <t>A6J7X0; rno:25377</t>
  </si>
  <si>
    <t>A0A8I5ZL57</t>
  </si>
  <si>
    <t>MBL associated serine protease 1 OS=Rattus norvegicus OX=10116 GN=Masp1 PE=1 SV=1</t>
  </si>
  <si>
    <t>non-structural extracellular;cytosol;nucleus</t>
  </si>
  <si>
    <t>ENSRNOG00000001827</t>
  </si>
  <si>
    <t>F7EZQ4</t>
  </si>
  <si>
    <t>Fc fragment of IgG binding protein-like 1 OS=Rattus norvegicus OX=10116 GN=Fcgbpl1 PE=4 SV=2</t>
  </si>
  <si>
    <t>ENSRNOG00000042899</t>
  </si>
  <si>
    <t>F7EZQ4; rno:292746</t>
  </si>
  <si>
    <t>P23562</t>
  </si>
  <si>
    <t>Band 3 anion transport protein OS=Rattus norvegicus OX=10116 GN=Slc4a1 PE=1 SV=3</t>
  </si>
  <si>
    <t>cell organization and biogenesis;stress response;transport;other biological processes</t>
  </si>
  <si>
    <t>P23562; rno:24779</t>
  </si>
  <si>
    <t>A0A0G2K332</t>
  </si>
  <si>
    <t>Ig-like domain-containing protein OS=Rattus norvegicus OX=10116 GN=AABR07034729.1 PE=1 SV=2</t>
  </si>
  <si>
    <t>ENSRNOG00000042193</t>
  </si>
  <si>
    <t>A0A8I6ATZ0</t>
  </si>
  <si>
    <t>Complement factor H-related 2 OS=Rattus norvegicus OX=10116 GN=Cfhr2 PE=1 SV=1</t>
  </si>
  <si>
    <t>ENSRNOG00000021575</t>
  </si>
  <si>
    <t>M0R7Q2</t>
  </si>
  <si>
    <t>Ig-like domain-containing protein OS=Rattus norvegicus OX=10116 GN=ENSRNOG00000065283 PE=1 SV=3</t>
  </si>
  <si>
    <t>A0A8I6A8L3</t>
  </si>
  <si>
    <t>Aspartyl aminopeptidase OS=Rattus norvegicus OX=10116 GN=Dnpep PE=3 SV=1</t>
  </si>
  <si>
    <t>ENSRNOG00000019772</t>
  </si>
  <si>
    <t>A0A8L2Q1D1</t>
  </si>
  <si>
    <t>Galectin-3-binding protein OS=Rattus norvegicus OX=10116 GN=Lgals3bp PE=1 SV=1</t>
  </si>
  <si>
    <t>cell adhesion</t>
  </si>
  <si>
    <t>ENSRNOG00000003217</t>
  </si>
  <si>
    <t>P14408</t>
  </si>
  <si>
    <t>Fumarate hydratase, mitochondrial OS=Rattus norvegicus OX=10116 GN=Fh PE=1 SV=2</t>
  </si>
  <si>
    <t>DNA metabolism;other metabolic processes;stress response;other biological processes</t>
  </si>
  <si>
    <t>ENSRNOG00000003653</t>
  </si>
  <si>
    <t>P14408; Q5M964; rno:24368</t>
  </si>
  <si>
    <t>G3V8U9</t>
  </si>
  <si>
    <t>Proteasome subunit beta type-4 OS=Rattus norvegicus OX=10116 GN=Psmb4 PE=1 SV=3</t>
  </si>
  <si>
    <t>cytoskeleton;mitochondrion;nucleus;other cell component</t>
  </si>
  <si>
    <t>ENSRNOG00000020979</t>
  </si>
  <si>
    <t>A0A0G2K4H9</t>
  </si>
  <si>
    <t>Keratin 12 OS=Rattus norvegicus OX=10116 GN=Krt12 PE=3 SV=1</t>
  </si>
  <si>
    <t>ENSRNOG00000011986</t>
  </si>
  <si>
    <t>A6JHE4</t>
  </si>
  <si>
    <t>Carboxypeptidase N, polypeptide 1, 50kD OS=Rattus norvegicus OX=10116 GN=Cpn1 PE=3 SV=1</t>
  </si>
  <si>
    <t>A6JHE4; rno:365466</t>
  </si>
  <si>
    <t>A0A8L2QFH6</t>
  </si>
  <si>
    <t>Attractin OS=Rattus norvegicus OX=10116 GN=Atrn PE=1 SV=1</t>
  </si>
  <si>
    <t>ENSRNOG00000021240</t>
  </si>
  <si>
    <t>P68511</t>
  </si>
  <si>
    <t>14-3-3 protein eta OS=Rattus norvegicus OX=10116 GN=Ywhah PE=1 SV=2</t>
  </si>
  <si>
    <t>other metabolic processes;transport;signal transduction;other biological processes</t>
  </si>
  <si>
    <t>ENSRNOG00000055471; ENSRNOG00055025540; ENSRNOG00060028018; ENSRNOG00065028196</t>
  </si>
  <si>
    <t>P11576; P68511; P70198; rno:25576</t>
  </si>
  <si>
    <t>Q71DI1</t>
  </si>
  <si>
    <t>Dermcidin OS=Rattus norvegicus OX=10116 PE=2 SV=1</t>
  </si>
  <si>
    <t>A0A0G2K896</t>
  </si>
  <si>
    <t>Inhibitor of carbonic anhydrase OS=Rattus norvegicus OX=10116 GN=Inhca PE=1 SV=2</t>
  </si>
  <si>
    <t>stress response;transport</t>
  </si>
  <si>
    <t>non-structural extracellular;plasma membrane;other membranes;other cytoplasmic organelle</t>
  </si>
  <si>
    <t>ENSRNOG00000009434</t>
  </si>
  <si>
    <t>A0A8I6GC92</t>
  </si>
  <si>
    <t>Short-chain specific acyl-CoA dehydrogenase, mitochondrial OS=Rattus norvegicus OX=10116 GN=Acads PE=1 SV=1</t>
  </si>
  <si>
    <t>cytoskeleton;mitochondrion;nucleus</t>
  </si>
  <si>
    <t>ENSRNOG00000001177</t>
  </si>
  <si>
    <t>A0A0G2JWU1</t>
  </si>
  <si>
    <t>Triosephosphate isomerase OS=Rattus norvegicus OX=10116 GN=Tpi1l1 PE=1 SV=1</t>
  </si>
  <si>
    <t>ENSRNOG00000055222</t>
  </si>
  <si>
    <t>A0A8I6AQI7</t>
  </si>
  <si>
    <t>Serpin family F member 2 OS=Rattus norvegicus OX=10116 GN=Serpinf2 PE=1 SV=1</t>
  </si>
  <si>
    <t>ENSRNOG00000003233</t>
  </si>
  <si>
    <t>A0A8I6ANU1</t>
  </si>
  <si>
    <t>Ig-like domain-containing protein OS=Rattus norvegicus OX=10116 GN=ENSRNOG00000068865 PE=1 SV=1</t>
  </si>
  <si>
    <t>Q7TP54</t>
  </si>
  <si>
    <t>Rho family-interacting cell polarization regulator 2 OS=Rattus norvegicus OX=10116 GN=Ripor2 PE=1 SV=1</t>
  </si>
  <si>
    <t>cell adhesion;cell organization and biogenesis;developmental processes;other biological processes</t>
  </si>
  <si>
    <t>ENSRNOG00000018804</t>
  </si>
  <si>
    <t>Q7TP54; rno:306934</t>
  </si>
  <si>
    <t>M0R5R0</t>
  </si>
  <si>
    <t>Vitamin K-dependent protein S OS=Rattus norvegicus OX=10116 GN=Pros1 PE=4 SV=1</t>
  </si>
  <si>
    <t>ENSRNOG00000048723</t>
  </si>
  <si>
    <t>M0R5R0; rno:81750</t>
  </si>
  <si>
    <t>A0A8I5ZZU3</t>
  </si>
  <si>
    <t>Tetraspanin OS=Rattus norvegicus OX=10116 GN=Cd9 PE=1 SV=1</t>
  </si>
  <si>
    <t>ENSRNOG00000019556</t>
  </si>
  <si>
    <t>Q6T487</t>
  </si>
  <si>
    <t>Alpha-actinin-1 OS=Rattus norvegicus OX=10116 GN=Actn1 PE=1 SV=1</t>
  </si>
  <si>
    <t>signal transduction activity or receptor binding;cytoskeletal activity;nucleic acid binding activity;other molecular function</t>
  </si>
  <si>
    <t>ENSRNOG00000056756</t>
  </si>
  <si>
    <t>A0A8I6ALM0</t>
  </si>
  <si>
    <t>A0A8I6A0U2</t>
  </si>
  <si>
    <t>Thioredoxin-dependent peroxide reductase, mitochondrial OS=Rattus norvegicus OX=10116 GN=Prdx3 PE=1 SV=1</t>
  </si>
  <si>
    <t>plasma membrane;other membranes;cytosol;mitochondrion;nucleus;other cytoplasmic organelle;other cell component</t>
  </si>
  <si>
    <t>ENSRNOG00000010958</t>
  </si>
  <si>
    <t>A0A8I6B1E1</t>
  </si>
  <si>
    <t>Proteasome subunit alpha type OS=Rattus norvegicus OX=10116 GN=Psma3 PE=1 SV=1</t>
  </si>
  <si>
    <t>ENSRNOG00000007851</t>
  </si>
  <si>
    <t>A0A8I5ZV26</t>
  </si>
  <si>
    <t>Stomatin OS=Rattus norvegicus OX=10116 GN=Stom PE=1 SV=1</t>
  </si>
  <si>
    <t>plasma membrane;other membranes;cytoskeleton;mitochondrion;ER/Golgi;other cell component</t>
  </si>
  <si>
    <t>ENSRNOG00000019147</t>
  </si>
  <si>
    <t>A0A8I6GES0</t>
  </si>
  <si>
    <t>Citrate synthase OS=Rattus norvegicus OX=10116 GN=Cs PE=1 SV=1</t>
  </si>
  <si>
    <t>ENSRNOG00000023520</t>
  </si>
  <si>
    <t>F1LR92</t>
  </si>
  <si>
    <t>Serpin family A member 3M OS=Rattus norvegicus OX=10116 GN=Serpina3m PE=1 SV=3</t>
  </si>
  <si>
    <t>ENSRNOG00000009921</t>
  </si>
  <si>
    <t>F1LR92; rno:299276</t>
  </si>
  <si>
    <t>D3ZYE2</t>
  </si>
  <si>
    <t>Similar to Ig variable region, light chain OS=Rattus norvegicus OX=10116 GN=Igkvl15 PE=1 SV=4</t>
  </si>
  <si>
    <t>ENSRNOG00000038254</t>
  </si>
  <si>
    <t>P62804</t>
  </si>
  <si>
    <t>Histone H4 OS=Rattus norvegicus OX=10116 GN=H4c2 PE=1 SV=2</t>
  </si>
  <si>
    <t>ENSRNOG00000032224; ENSRNOG00000054017; ENSRNOG00000063552; ENSRNOG00000064025; ENSRNOG00000065263; ENSRNOG00000066473; ENSRNOG00000067648; ENSRNOG00000070513; ENSRNOG00000070706; ENSRNOG00055005264; ENSRNOG00055005480; ENSRNOG00055005484; ENSRNOG00055005492; ENSRNOG00055005500; ENSRNOG00055026675; ENSRNOG00055026687; ENSRNOG00055032934; ENSRNOG00060009485; ENSRNOG00060009491; ENSRNOG00060014042; ENSRNOG00060014373; ENSRNOG00060015093; ENSRNOG00060015121; ENSRNOG00060015156; ENSRNOG00060015197; ENSRNOG00065012047; ENSRNOG00065012051; ENSRNOG00065022859; ENSRNOG00065022881; ENSRNOG00065022907; ENSRNOG00065022983; ENSRNOG00065023002; ENSRNOG00065032701</t>
  </si>
  <si>
    <t>P02304; P02305; P62804; Q5BM23; Q7M0E8; rno:291152; rno:295277; rno:64627</t>
  </si>
  <si>
    <t>Q8K3R4</t>
  </si>
  <si>
    <t>30 kDa adipocyte complement-related protein OS=Rattus norvegicus OX=10116 GN=Adipoq PE=1 SV=1</t>
  </si>
  <si>
    <t>other metabolic processes;stress response;signal transduction;other biological processes</t>
  </si>
  <si>
    <t>non-structural extracellular;ER/Golgi;other cell component</t>
  </si>
  <si>
    <t>ENSRNOG00000001821</t>
  </si>
  <si>
    <t>A6JS27; Q8K3R4; rno:246253</t>
  </si>
  <si>
    <t>A0A8I6GLU1</t>
  </si>
  <si>
    <t>Ig-like domain-containing protein OS=Rattus norvegicus OX=10116 GN=ENSRNOG00000070189 PE=4 SV=1</t>
  </si>
  <si>
    <t>A0A8I5Y817</t>
  </si>
  <si>
    <t>Ig-like domain-containing protein OS=Rattus norvegicus OX=10116 GN=ENSRNOG00000069868 PE=4 SV=1</t>
  </si>
  <si>
    <t>F1LYU4</t>
  </si>
  <si>
    <t>Ig-like domain-containing protein OS=Rattus norvegicus OX=10116 GN=ENSRNOG00000071026 PE=1 SV=4</t>
  </si>
  <si>
    <t>A6I973</t>
  </si>
  <si>
    <t>Elongation factor Tu OS=Rattus norvegicus OX=10116 GN=Tufm PE=3 SV=1</t>
  </si>
  <si>
    <t>A6I973; rno:293481</t>
  </si>
  <si>
    <t>P63039</t>
  </si>
  <si>
    <t>60 kDa heat shock protein, mitochondrial OS=Rattus norvegicus OX=10116 GN=Hspd1 PE=1 SV=1</t>
  </si>
  <si>
    <t>cell cycle OR cell proliferation;cell organization and biogenesis;protein metabolism;DNA metabolism;other metabolic processes;stress response;transport;developmental processes;signal transduction;other biological processes</t>
  </si>
  <si>
    <t>non-structural extracellular;plasma membrane;other membranes;cytosol;cytoskeleton;mitochondrion;ER/Golgi;other cytoplasmic organelle;other cell component</t>
  </si>
  <si>
    <t>ENSRNOG00000014525; ENSRNOG00055004630; ENSRNOG00060024687; ENSRNOG00065003073</t>
  </si>
  <si>
    <t>P19226; P19227; P63039; P97602; rno:63868</t>
  </si>
  <si>
    <t>A0A8I5ZQ09</t>
  </si>
  <si>
    <t>Ig-like domain-containing protein OS=Rattus norvegicus OX=10116 GN=ENSRNOG00000064930 PE=4 SV=1</t>
  </si>
  <si>
    <t>A0A8I5YC12</t>
  </si>
  <si>
    <t>Apolipoprotein M OS=Rattus norvegicus OX=10116 GN=Apom PE=1 SV=1</t>
  </si>
  <si>
    <t>cell organization and biogenesis;transport;other biological processes</t>
  </si>
  <si>
    <t>ENSRNOG00000000850</t>
  </si>
  <si>
    <t>A0A0G2JY98</t>
  </si>
  <si>
    <t>Ig-like domain-containing protein OS=Rattus norvegicus OX=10116 GN=ENSRNOG00000067883 PE=4 SV=2</t>
  </si>
  <si>
    <t>A6JU74</t>
  </si>
  <si>
    <t>Adenylate kinase isoenzyme 1 OS=Rattus norvegicus OX=10116 GN=Ak1 PE=3 SV=1</t>
  </si>
  <si>
    <t>G3V7Q6</t>
  </si>
  <si>
    <t>Proteasome subunit beta OS=Rattus norvegicus OX=10116 GN=Psmb5 PE=1 SV=1</t>
  </si>
  <si>
    <t>cytoskeleton;nucleus;other cell component</t>
  </si>
  <si>
    <t>ENSRNOG00000013386</t>
  </si>
  <si>
    <t>G3V7Q6; rno:29425</t>
  </si>
  <si>
    <t>A0A8I6A3I5</t>
  </si>
  <si>
    <t>Ras-related protein Rab-1A OS=Rattus norvegicus OX=10116 GN=ENSRNOG00000067171 PE=4 SV=1</t>
  </si>
  <si>
    <t>A6IWK2</t>
  </si>
  <si>
    <t>Coagulation factor X OS=Rattus norvegicus OX=10116 GN=F10 PE=4 SV=1</t>
  </si>
  <si>
    <t>A0A8L2Q875</t>
  </si>
  <si>
    <t>Creatine kinase B-type OS=Rattus norvegicus OX=10116 GN=Ckb PE=1 SV=1</t>
  </si>
  <si>
    <t>cytosol;mitochondrion</t>
  </si>
  <si>
    <t>ENSRNOG00000010872</t>
  </si>
  <si>
    <t>A6J4N4</t>
  </si>
  <si>
    <t>Proteasome subunit alpha type OS=Rattus norvegicus OX=10116 GN=Psma4 PE=3 SV=1</t>
  </si>
  <si>
    <t>A6J4N4; rno:29671</t>
  </si>
  <si>
    <t>A0A8J8XQI9</t>
  </si>
  <si>
    <t>Carboxylic ester hydrolase OS=Rattus norvegicus OX=10116 GN=Bche PE=3 SV=1</t>
  </si>
  <si>
    <t>other metabolic processes;developmental processes;other biological processes</t>
  </si>
  <si>
    <t>non-structural extracellular;plasma membrane;other membranes;ER/Golgi;nucleus</t>
  </si>
  <si>
    <t>ENSRNOG00000009826</t>
  </si>
  <si>
    <t>A0A8I5ZTT6</t>
  </si>
  <si>
    <t>Ig-like domain-containing protein OS=Rattus norvegicus OX=10116 GN=ENSRNOG00000070412 PE=4 SV=1</t>
  </si>
  <si>
    <t>A6J8R3</t>
  </si>
  <si>
    <t>Apolipoprotein C-I, isoform CRA_a OS=Rattus norvegicus OX=10116 GN=Apoc1 PE=3 SV=1</t>
  </si>
  <si>
    <t>A6J8R3; rno:25292</t>
  </si>
  <si>
    <t>A0A8I6AAX0</t>
  </si>
  <si>
    <t>Ig-like domain-containing protein OS=Rattus norvegicus OX=10116 GN=ENSRNOG00000064181 PE=4 SV=1</t>
  </si>
  <si>
    <t>P16617</t>
  </si>
  <si>
    <t>Phosphoglycerate kinase 1 OS=Rattus norvegicus OX=10116 GN=Pgk1 PE=1 SV=2</t>
  </si>
  <si>
    <t>non-structural extracellular;other membranes;cytosol</t>
  </si>
  <si>
    <t>ENSRNOG00000058249</t>
  </si>
  <si>
    <t>P16617; Q5M945; Q6P508; rno:24644</t>
  </si>
  <si>
    <t>Q5M8B4</t>
  </si>
  <si>
    <t>Ficolin A OS=Rattus norvegicus OX=10116 GN=Fcna PE=3 SV=1</t>
  </si>
  <si>
    <t>ENSRNOG00000017063</t>
  </si>
  <si>
    <t>Q5M8B4; rno:83517</t>
  </si>
  <si>
    <t>A0A8I6AQ74</t>
  </si>
  <si>
    <t>Ig-like domain-containing protein OS=Rattus norvegicus OX=10116 GN=ENSRNOG00000064086 PE=4 SV=1</t>
  </si>
  <si>
    <t>A0A8I5ZMY9</t>
  </si>
  <si>
    <t>10 kDa heat shock protein, mitochondrial OS=Rattus norvegicus OX=10116 GN=Hspe1 PE=1 SV=1</t>
  </si>
  <si>
    <t>ENSRNOG00000051624</t>
  </si>
  <si>
    <t>A6JZQ8</t>
  </si>
  <si>
    <t>Complement factor properdin OS=Rattus norvegicus OX=10116 GN=Cfp PE=1 SV=1</t>
  </si>
  <si>
    <t>non-structural extracellular;other membranes;ER/Golgi;other cell component</t>
  </si>
  <si>
    <t>ENSRNOG00000025811</t>
  </si>
  <si>
    <t>A6JZQ8; B0BNN4; rno:299314</t>
  </si>
  <si>
    <t>A0A8I6GLJ8</t>
  </si>
  <si>
    <t>Ig-like domain-containing protein OS=Rattus norvegicus OX=10116 GN=ENSRNOG00000071091 PE=4 SV=1</t>
  </si>
  <si>
    <t>A0A8I6AE98</t>
  </si>
  <si>
    <t>Nucleoside diphosphate kinase OS=Rattus norvegicus OX=10116 GN=Nme1 PE=1 SV=1</t>
  </si>
  <si>
    <t>ENSRNOG00000002693</t>
  </si>
  <si>
    <t>F1LM47</t>
  </si>
  <si>
    <t>Succinate--CoA ligase [ADP-forming] subunit beta, mitochondrial OS=Rattus norvegicus OX=10116 GN=Sucla2 PE=1 SV=1</t>
  </si>
  <si>
    <t>mitochondrion;other cell component</t>
  </si>
  <si>
    <t>ENSRNOG00000017481</t>
  </si>
  <si>
    <t>F1LM47; rno:361071</t>
  </si>
  <si>
    <t>Q4AEG0</t>
  </si>
  <si>
    <t>Glycoprotein 9 OS=Rattus norvegicus OX=10116 GN=Gp9 PE=2 SV=1</t>
  </si>
  <si>
    <t>protein metabolism;other metabolic processes;stress response;transport;other biological processes</t>
  </si>
  <si>
    <t>ENSRNOG00000010015</t>
  </si>
  <si>
    <t>Q4AEG0; rno:502858</t>
  </si>
  <si>
    <t>A6HCX8</t>
  </si>
  <si>
    <t>Insulin-like growth factor binding protein, acid labile subunit, isoform CRA_a OS=Rattus norvegicus OX=10116 GN=Igfals PE=4 SV=1</t>
  </si>
  <si>
    <t>non-structural extracellular;plasma membrane;other membranes;ER/Golgi;other cell component</t>
  </si>
  <si>
    <t>A0A8I6AJE9</t>
  </si>
  <si>
    <t>Integrin subunit alpha 6 OS=Rattus norvegicus OX=10116 GN=Itga6 PE=1 SV=1</t>
  </si>
  <si>
    <t>cell adhesion;cell organization and biogenesis;developmental processes;signal transduction;other biological processes</t>
  </si>
  <si>
    <t>extracellular matrix;plasma membrane;other membranes;other cell component</t>
  </si>
  <si>
    <t>ENSRNOG00000001518</t>
  </si>
  <si>
    <t>Q62975</t>
  </si>
  <si>
    <t>Protein Z-dependent protease inhibitor OS=Rattus norvegicus OX=10116 GN=Serpina10 PE=2 SV=2</t>
  </si>
  <si>
    <t>ENSRNOG00000050761</t>
  </si>
  <si>
    <t>Q5M8C2; Q62975; rno:171154</t>
  </si>
  <si>
    <t>Q7TMC3</t>
  </si>
  <si>
    <t>Hermansky-Pudlak syndrome 5 protein homolog OS=Rattus norvegicus OX=10116 GN=Saa4 PE=1 SV=1</t>
  </si>
  <si>
    <t>ENSRNOG00000055531</t>
  </si>
  <si>
    <t>A0A0G2K722</t>
  </si>
  <si>
    <t>Ig-like domain-containing protein OS=Rattus norvegicus OX=10116 GN=ENSRNOG00000068347 PE=4 SV=2</t>
  </si>
  <si>
    <t>G3V7J5</t>
  </si>
  <si>
    <t>Pyrethroid hydrolase Ces2e OS=Rattus norvegicus OX=10116 GN=Ces2e PE=1 SV=2</t>
  </si>
  <si>
    <t>ENSRNOG00000011635</t>
  </si>
  <si>
    <t>G3V7J5; O35535</t>
  </si>
  <si>
    <t>P17220</t>
  </si>
  <si>
    <t>Proteasome subunit alpha type-2 OS=Rattus norvegicus OX=10116 GN=Psma2 PE=1 SV=3</t>
  </si>
  <si>
    <t>ENSRNOG00000049920; ENSRNOG00055011092; ENSRNOG00060014611; ENSRNOG00065018439</t>
  </si>
  <si>
    <t>P17220; rno:29669</t>
  </si>
  <si>
    <t>F1M5J8</t>
  </si>
  <si>
    <t>Ig-like domain-containing protein OS=Rattus norvegicus OX=10116 GN=ENSRNOG00000067894 PE=1 SV=2</t>
  </si>
  <si>
    <t>P13221</t>
  </si>
  <si>
    <t>Aspartate aminotransferase, cytoplasmic OS=Rattus norvegicus OX=10116 GN=Got1 PE=1 SV=3</t>
  </si>
  <si>
    <t>cytosol;other cell component</t>
  </si>
  <si>
    <t>ENSRNOG00055004126; ENSRNOG00060023531</t>
  </si>
  <si>
    <t>P13221; Q64570; Q6P721; rno:24401</t>
  </si>
  <si>
    <t>Q6P6V0</t>
  </si>
  <si>
    <t>Glucose-6-phosphate isomerase OS=Rattus norvegicus OX=10116 GN=Gpi PE=1 SV=1</t>
  </si>
  <si>
    <t>other metabolic processes;stress response;developmental processes;signal transduction;other biological processes</t>
  </si>
  <si>
    <t>non-structural extracellular;plasma membrane;other membranes;cytosol</t>
  </si>
  <si>
    <t>ENSRNOG00000023150; ENSRNOG00055033158; ENSRNOG00060027113; ENSRNOG00065031609</t>
  </si>
  <si>
    <t>Q6P6V0; rno:292804</t>
  </si>
  <si>
    <t>A0A0G2JSS8</t>
  </si>
  <si>
    <t>Peroxiredoxin-5 OS=Rattus norvegicus OX=10116 GN=Prdx5 PE=1 SV=2</t>
  </si>
  <si>
    <t>cytosol;mitochondrion;nucleus;other cytoplasmic organelle;other cell component</t>
  </si>
  <si>
    <t>enzyme regulator activity;nucleic acid binding activity;other molecular function</t>
  </si>
  <si>
    <t>ENSRNOG00000021125</t>
  </si>
  <si>
    <t>Q9JJM7</t>
  </si>
  <si>
    <t>Platelet glycoprotein Ib beta chain OS=Rattus norvegicus OX=10116 GN=Gp1bb PE=1 SV=1</t>
  </si>
  <si>
    <t>cell adhesion;protein metabolism;other metabolic processes;stress response;transport;other biological processes</t>
  </si>
  <si>
    <t>ENSRNOG00000046981; ENSRNOG00055003482; ENSRNOG00060012631; ENSRNOG00065008025</t>
  </si>
  <si>
    <t>Q9JJM7; rno:116727</t>
  </si>
  <si>
    <t>A0A8I6AFL1</t>
  </si>
  <si>
    <t>Ig-like domain-containing protein OS=Rattus norvegicus OX=10116 GN=ENSRNOG00000066785 PE=1 SV=1</t>
  </si>
  <si>
    <t>A6IH50</t>
  </si>
  <si>
    <t>Fatty acid-binding protein 5 OS=Rattus norvegicus OX=10116 GN=Fabp5 PE=3 SV=1</t>
  </si>
  <si>
    <t>A0A8I5Y7P7</t>
  </si>
  <si>
    <t>Immunoglobulin kappa variable like, pseudogene 6 OS=Rattus norvegicus OX=10116 GN=Igkvl-ps6 PE=4 SV=1</t>
  </si>
  <si>
    <t>ENSRNOG00000063365</t>
  </si>
  <si>
    <t>A0A8L2Q996</t>
  </si>
  <si>
    <t>Elongation factor 1-alpha OS=Rattus norvegicus OX=10116 GN=Eef1a2 PE=3 SV=1</t>
  </si>
  <si>
    <t>nucleus</t>
  </si>
  <si>
    <t>ENSRNOG00000011624</t>
  </si>
  <si>
    <t>A6IS11</t>
  </si>
  <si>
    <t>Adenylyl cyclase-associated protein OS=Rattus norvegicus OX=10116 GN=Cap1 PE=3 SV=1</t>
  </si>
  <si>
    <t>cell organization and biogenesis</t>
  </si>
  <si>
    <t>A6IS11; rno:64185</t>
  </si>
  <si>
    <t>F1MAF7</t>
  </si>
  <si>
    <t>Keratin 31 OS=Rattus norvegicus OX=10116 GN=Krt31 PE=3 SV=3</t>
  </si>
  <si>
    <t>ENSRNOG00000030344</t>
  </si>
  <si>
    <t>A6K307</t>
  </si>
  <si>
    <t>Extracellular matrix protein 1, isoform CRA_a OS=Rattus norvegicus OX=10116 GN=Ecm1 PE=4 SV=1</t>
  </si>
  <si>
    <t>A6K307; rno:116662</t>
  </si>
  <si>
    <t>A6I2Z9</t>
  </si>
  <si>
    <t>Guanine nucleotide-binding protein G(i) subunit alpha-2 OS=Rattus norvegicus OX=10116 GN=Gnai2 PE=2 SV=1</t>
  </si>
  <si>
    <t>cell-cell signaling;signal transduction</t>
  </si>
  <si>
    <t>plasma membrane;other membranes;cytoskeleton</t>
  </si>
  <si>
    <t>A6I2Z9; Q45QN0; rno:81664</t>
  </si>
  <si>
    <t>A0A0G2JZR4</t>
  </si>
  <si>
    <t>RAB11B, member RAS oncogene family OS=Rattus norvegicus OX=10116 GN=Rab11b PE=1 SV=2</t>
  </si>
  <si>
    <t>ENSRNOG00000007648</t>
  </si>
  <si>
    <t>A6J500</t>
  </si>
  <si>
    <t>protein-lysine 6-oxidase OS=Rattus norvegicus OX=10116 GN=Loxl1 PE=3 SV=1</t>
  </si>
  <si>
    <t>A6KKR3</t>
  </si>
  <si>
    <t>Vinculin OS=Rattus norvegicus OX=10116 GN=Vcl PE=3 SV=1</t>
  </si>
  <si>
    <t>A6HF69</t>
  </si>
  <si>
    <t>RCG33787 OS=Rattus norvegicus OX=10116 GN=Kcnj12 PE=3 SV=1</t>
  </si>
  <si>
    <t>transporter activity</t>
  </si>
  <si>
    <t>A0A8I6AK51</t>
  </si>
  <si>
    <t>Ig kappa chain V-II region RPMI 6410-like OS=Rattus norvegicus OX=10116 GN=Igkvl10 PE=4 SV=1</t>
  </si>
  <si>
    <t>ENSRNOG00000068824</t>
  </si>
  <si>
    <t>A6HG42</t>
  </si>
  <si>
    <t>Arachidonate 12-lipoxygenase (Predicted), isoform CRA_b OS=Rattus norvegicus OX=10116 GN=Alox12 PE=3 SV=1</t>
  </si>
  <si>
    <t>A6HG42; rno:287454</t>
  </si>
  <si>
    <t>A0A8I6AVN6</t>
  </si>
  <si>
    <t>Ig-like domain-containing protein OS=Rattus norvegicus OX=10116 GN=ENSRNOG00000069088 PE=4 SV=1</t>
  </si>
  <si>
    <t>A0A8I6A949</t>
  </si>
  <si>
    <t>Beta-2-microglobulin OS=Rattus norvegicus OX=10116 GN=B2m PE=1 SV=1</t>
  </si>
  <si>
    <t>cell organization and biogenesis;protein metabolism;other metabolic processes;other biological processes</t>
  </si>
  <si>
    <t>non-structural extracellular;plasma membrane;other membranes;cytosol;ER/Golgi</t>
  </si>
  <si>
    <t>ENSRNOG00000017123</t>
  </si>
  <si>
    <t>D3ZA93</t>
  </si>
  <si>
    <t>Acyl-CoA thioesterase 13 OS=Rattus norvegicus OX=10116 GN=Acot13 PE=3 SV=1</t>
  </si>
  <si>
    <t>ENSRNOG00000018415</t>
  </si>
  <si>
    <t>D3ZA93; rno:291135</t>
  </si>
  <si>
    <t>F7FMU8</t>
  </si>
  <si>
    <t>ADP/ATP translocase OS=Rattus norvegicus OX=10116 GN=Slc25a4 PE=1 SV=1</t>
  </si>
  <si>
    <t>cell organization and biogenesis;transport</t>
  </si>
  <si>
    <t>F7FMU8; rno:85333</t>
  </si>
  <si>
    <t>F7FC04</t>
  </si>
  <si>
    <t>Beta-2-glycoprotein 1 OS=Rattus norvegicus OX=10116 GN=Apoh PE=4 SV=1</t>
  </si>
  <si>
    <t>F7FC04; rno:287774</t>
  </si>
  <si>
    <t>A0A8I5ZY98</t>
  </si>
  <si>
    <t>Chymotrypsin like elastase 1 OS=Rattus norvegicus OX=10116 GN=Cela1 PE=4 SV=1</t>
  </si>
  <si>
    <t>cell organization and biogenesis;protein metabolism;transport;other biological processes</t>
  </si>
  <si>
    <t>ENSRNOG00000031930</t>
  </si>
  <si>
    <t>A0A8I6AMP2</t>
  </si>
  <si>
    <t>proteasome endopeptidase complex OS=Rattus norvegicus OX=10116 GN=Psmb9 PE=1 SV=1</t>
  </si>
  <si>
    <t>ENSRNOG00000000459</t>
  </si>
  <si>
    <t>A6ID81</t>
  </si>
  <si>
    <t>Peroxiredoxin-6 OS=Rattus norvegicus OX=10116 GN=Prdx6 PE=3 SV=1</t>
  </si>
  <si>
    <t>A6ID81; rno:94167</t>
  </si>
  <si>
    <t>Q6IFV6</t>
  </si>
  <si>
    <t>Keratin 35 OS=Rattus norvegicus OX=10116 GN=Krt35 PE=3 SV=1</t>
  </si>
  <si>
    <t>ENSRNOG00000013754</t>
  </si>
  <si>
    <t>Q6IFV6; rno:287697</t>
  </si>
  <si>
    <t>A0A8I6GL55</t>
  </si>
  <si>
    <t>Ig-like domain-containing protein OS=Rattus norvegicus OX=10116 GN=ENSRNOG00000065406 PE=1 SV=1</t>
  </si>
  <si>
    <t>Q9R290</t>
  </si>
  <si>
    <t>Fatty acid-binding protein, adipocyte OS=Rattus norvegicus OX=10116 GN=Fabp4 PE=2 SV=1</t>
  </si>
  <si>
    <t>Q9R290; rno:79451</t>
  </si>
  <si>
    <t>G3V7P2</t>
  </si>
  <si>
    <t>Fibrinogen-like 2 OS=Rattus norvegicus OX=10116 GN=Fgl2 PE=4 SV=1</t>
  </si>
  <si>
    <t>ENSRNOG00000012881</t>
  </si>
  <si>
    <t>G3V7P2; rno:84586</t>
  </si>
  <si>
    <t>A0A8L2Q0T2</t>
  </si>
  <si>
    <t>Superoxide dismutase [Cu-Zn] OS=Rattus norvegicus OX=10116 GN=Sod1 PE=1 SV=1</t>
  </si>
  <si>
    <t>non-structural extracellular;plasma membrane;other membranes;cytosol;mitochondrion;nucleus;other cytoplasmic organelle;other cell component</t>
  </si>
  <si>
    <t>ENSRNOG00000002115</t>
  </si>
  <si>
    <t>A0A8L2QUM7</t>
  </si>
  <si>
    <t>Cofilin-1 OS=Rattus norvegicus OX=10116 GN=Cfl1 PE=1 SV=1</t>
  </si>
  <si>
    <t>plasma membrane;other membranes;cytoskeleton;nucleus</t>
  </si>
  <si>
    <t>ENSRNOG00000020660</t>
  </si>
  <si>
    <t>B0BN33</t>
  </si>
  <si>
    <t>Collectin-11 (Fragment) OS=Rattus norvegicus OX=10116 PE=2 SV=1</t>
  </si>
  <si>
    <t>non-structural extracellular;other membranes;other cell component</t>
  </si>
  <si>
    <t>A0A0H2UI19</t>
  </si>
  <si>
    <t>Coagulation factor XII OS=Rattus norvegicus OX=10116 GN=F12 PE=1 SV=2</t>
  </si>
  <si>
    <t>ENSRNOG00000015139</t>
  </si>
  <si>
    <t>D4A8G5</t>
  </si>
  <si>
    <t>Transforming growth factor-beta-induced protein ig-h3 OS=Rattus norvegicus OX=10116 GN=Tgfbi PE=1 SV=3</t>
  </si>
  <si>
    <t>non-structural extracellular;extracellular matrix;ER/Golgi</t>
  </si>
  <si>
    <t>ENSRNOG00000012216</t>
  </si>
  <si>
    <t>A6KDU1</t>
  </si>
  <si>
    <t>Thioredoxin OS=Rattus norvegicus OX=10116 GN=Txn1 PE=3 SV=1</t>
  </si>
  <si>
    <t>A6KDU1; rno:116484</t>
  </si>
  <si>
    <t>A0A8I5ZQN0</t>
  </si>
  <si>
    <t>Phosphatidylethanolamine binding protein 1 OS=Rattus norvegicus OX=10116 GN=Pebp1 PE=1 SV=1</t>
  </si>
  <si>
    <t>ENSRNOG00000001136</t>
  </si>
  <si>
    <t>A0A8I5ZPK0</t>
  </si>
  <si>
    <t>Peptidyl-prolyl cis-trans isomerase OS=Rattus norvegicus OX=10116 GN=Ppia PE=1 SV=1</t>
  </si>
  <si>
    <t>ENSRNOG00000027864</t>
  </si>
  <si>
    <t>D3ZRX7</t>
  </si>
  <si>
    <t>Protocadherin 10 OS=Rattus norvegicus OX=10116 GN=Pcdh10 PE=4 SV=3</t>
  </si>
  <si>
    <t>ENSRNOG00000031974</t>
  </si>
  <si>
    <t>A0A8I6A864</t>
  </si>
  <si>
    <t>Creatine kinase S-type, mitochondrial OS=Rattus norvegicus OX=10116 GN=Ckmt2 PE=1 SV=1</t>
  </si>
  <si>
    <t>ENSRNOG00000055450</t>
  </si>
  <si>
    <t>A0A8I6GAH4</t>
  </si>
  <si>
    <t>Protein disulfide-isomerase OS=Rattus norvegicus OX=10116 GN=Pdia3 PE=3 SV=1</t>
  </si>
  <si>
    <t>cell adhesion;cell organization and biogenesis;stress response;signal transduction;other biological processes</t>
  </si>
  <si>
    <t>ENSRNOG00000015018</t>
  </si>
  <si>
    <t>A0A8I5ZVJ7</t>
  </si>
  <si>
    <t>Ig-like domain-containing protein OS=Rattus norvegicus OX=10116 GN=ENSRNOG00000066812 PE=4 SV=1</t>
  </si>
  <si>
    <t>A6IWJ9</t>
  </si>
  <si>
    <t>Protein Z, vitamin K-dependent plasma glycoprotein (Predicted), isoform CRA_b OS=Rattus norvegicus OX=10116 GN=Proz_predicted PE=4 SV=1</t>
  </si>
  <si>
    <t>B2GVB9</t>
  </si>
  <si>
    <t>FERM domain containing kindlin 3 OS=Rattus norvegicus OX=10116 GN=Fermt3 PE=1 SV=1</t>
  </si>
  <si>
    <t>ENSRNOG00000021161</t>
  </si>
  <si>
    <t>B2GVB9; rno:309186</t>
  </si>
  <si>
    <t>A0A8I5Y1J2</t>
  </si>
  <si>
    <t>Peptidyl-prolyl cis-trans isomerase OS=Rattus norvegicus OX=10116 GN=ENSRNOG00000067128 PE=3 SV=1</t>
  </si>
  <si>
    <t>Q4V7D9</t>
  </si>
  <si>
    <t>Acid sphingomyelinase-like phosphodiesterase OS=Rattus norvegicus OX=10116 GN=Smpdl3b PE=2 SV=1</t>
  </si>
  <si>
    <t>ENSRNOG00000042326</t>
  </si>
  <si>
    <t>Q4V7D9; rno:362619</t>
  </si>
  <si>
    <t>P59996</t>
  </si>
  <si>
    <t>Proprotein convertase subtilisin/kexin type 9 OS=Rattus norvegicus OX=10116 GN=Pcsk9 PE=1 SV=1</t>
  </si>
  <si>
    <t>protein metabolism;other metabolic processes;stress response;transport;developmental processes;other biological processes</t>
  </si>
  <si>
    <t>non-structural extracellular;plasma membrane;other membranes;ER/Golgi;other cytoplasmic organelle;other cell component</t>
  </si>
  <si>
    <t>ENSRNOG00000006280; ENSRNOG00055031814; ENSRNOG00060019885; ENSRNOG00065022391</t>
  </si>
  <si>
    <t>P59996; Q5I6U6; rno:298296</t>
  </si>
  <si>
    <t>A0A0G2K7Z3</t>
  </si>
  <si>
    <t>Acyl-CoA thioesterase 1 OS=Rattus norvegicus OX=10116 GN=Acot1 PE=1 SV=2</t>
  </si>
  <si>
    <t>ENSRNOG00000055221</t>
  </si>
  <si>
    <t>P46462</t>
  </si>
  <si>
    <t>Transitional endoplasmic reticulum ATPase OS=Rattus norvegicus OX=10116 GN=Vcp PE=1 SV=3</t>
  </si>
  <si>
    <t>cell cycle OR cell proliferation;cell organization and biogenesis;protein metabolism;DNA metabolism;other metabolic processes;stress response;transport;other biological processes</t>
  </si>
  <si>
    <t>other membranes;cytosol;ER/Golgi;nucleus;other cell component</t>
  </si>
  <si>
    <t>ENSRNOG00000034242; ENSRNOG00055016411; ENSRNOG00060004848; ENSRNOG00065004846</t>
  </si>
  <si>
    <t>P46462; rno:116643</t>
  </si>
  <si>
    <t>A0A8I6A0I6</t>
  </si>
  <si>
    <t>Glutathione S-transferase OS=Rattus norvegicus OX=10116 GN=Gsta4 PE=1 SV=1</t>
  </si>
  <si>
    <t>ENSRNOG00000030449</t>
  </si>
  <si>
    <t>A6K738</t>
  </si>
  <si>
    <t>Destrin OS=Rattus norvegicus OX=10116 GN=Dstn PE=3 SV=1</t>
  </si>
  <si>
    <t>A7VJC2</t>
  </si>
  <si>
    <t>Heterogeneous nuclear ribonucleoproteins A2/B1 OS=Rattus norvegicus OX=10116 GN=Hnrnpa2b1 PE=1 SV=1</t>
  </si>
  <si>
    <t>cell organization and biogenesis;DNA metabolism;RNA metabolism OR transcription;other metabolic processes;transport;developmental processes;other biological processes</t>
  </si>
  <si>
    <t>A7VJC1; A7VJC2; A7VJC3; A7VJC4; rno:362361</t>
  </si>
  <si>
    <t>F1M7F7</t>
  </si>
  <si>
    <t>Complement component C6 OS=Rattus norvegicus OX=10116 GN=C6 PE=1 SV=4</t>
  </si>
  <si>
    <t>ENSRNOG00000024115</t>
  </si>
  <si>
    <t>D4A7D7</t>
  </si>
  <si>
    <t>Hexose-6-phosphate dehydrogenase (glucose 1-dehydrogenase) OS=Rattus norvegicus OX=10116 GN=H6pd PE=4 SV=1</t>
  </si>
  <si>
    <t>cytosol;ER/Golgi</t>
  </si>
  <si>
    <t>ENSRNOG00000017523</t>
  </si>
  <si>
    <t>D4A7D7; rno:298655</t>
  </si>
  <si>
    <t>A0A8I6AS27</t>
  </si>
  <si>
    <t>Annexin OS=Rattus norvegicus OX=10116 GN=Anxa5 PE=1 SV=1</t>
  </si>
  <si>
    <t>ENSRNOG00000014453</t>
  </si>
  <si>
    <t>A6JJH0</t>
  </si>
  <si>
    <t>RCG60999, isoform CRA_a OS=Rattus norvegicus OX=10116 GN=rCG_60999 PE=3 SV=1</t>
  </si>
  <si>
    <t>non-structural extracellular;plasma membrane;other membranes;ER/Golgi</t>
  </si>
  <si>
    <t>A0A8I6GLL0</t>
  </si>
  <si>
    <t>Complement component 4 binding protein, beta OS=Rattus norvegicus OX=10116 GN=C4bpb PE=1 SV=1</t>
  </si>
  <si>
    <t>ENSRNOG00000004125</t>
  </si>
  <si>
    <t>P12007</t>
  </si>
  <si>
    <t>Isovaleryl-CoA dehydrogenase, mitochondrial OS=Rattus norvegicus OX=10116 GN=Ivd PE=1 SV=2</t>
  </si>
  <si>
    <t>other membranes;mitochondrion;nucleus</t>
  </si>
  <si>
    <t>ENSRNOG00000009421; ENSRNOG00055002697; ENSRNOG00060025127; ENSRNOG00065023036</t>
  </si>
  <si>
    <t>P12007; rno:24513</t>
  </si>
  <si>
    <t>Q5FVS1</t>
  </si>
  <si>
    <t>Ferritin (Fragment) OS=Rattus norvegicus OX=10116 GN=Fth1 PE=2 SV=1</t>
  </si>
  <si>
    <t>A6HUW2</t>
  </si>
  <si>
    <t>Glutathione S-transferase OS=Rattus norvegicus OX=10116 GN=Gstm3 PE=3 SV=1</t>
  </si>
  <si>
    <t>Q9QWW6</t>
  </si>
  <si>
    <t>Olfactory receptor (Fragment) OS=Rattus norvegicus OX=10116 PE=2 SV=1</t>
  </si>
  <si>
    <t>signal transduction;other biological processes</t>
  </si>
  <si>
    <t>F7F7R3</t>
  </si>
  <si>
    <t>Hyaluronan binding protein 2 OS=Rattus norvegicus OX=10116 GN=Habp2 PE=1 SV=1</t>
  </si>
  <si>
    <t>ENSRNOG00000016659</t>
  </si>
  <si>
    <t>A0A8L2Q8Y7</t>
  </si>
  <si>
    <t>Arginase OS=Rattus norvegicus OX=10116 GN=Arg1 PE=3 SV=1</t>
  </si>
  <si>
    <t>ENSRNOG00000013304</t>
  </si>
  <si>
    <t>F1LVL9</t>
  </si>
  <si>
    <t>Deleted in malignant brain tumors 1 protein OS=Rattus norvegicus OX=10116 GN=LOC100911413 PE=3 SV=4</t>
  </si>
  <si>
    <t>ENSRNOG00000034038</t>
  </si>
  <si>
    <t>A0A8I5ZSR7</t>
  </si>
  <si>
    <t>Ig-like domain-containing protein OS=Rattus norvegicus OX=10116 GN=ENSRNOG00000070662 PE=4 SV=1</t>
  </si>
  <si>
    <t>A0A8I5Y1A4</t>
  </si>
  <si>
    <t>Cytochrome c, somatic, pseudogene 9 OS=Rattus norvegicus OX=10116 GN=Cycs PE=1 SV=1</t>
  </si>
  <si>
    <t>ENSRNOG00000010452</t>
  </si>
  <si>
    <t>F1LM33</t>
  </si>
  <si>
    <t>Leucine-rich pentatricopeptide repeat containing OS=Rattus norvegicus OX=10116 GN=Lrpprc PE=1 SV=3</t>
  </si>
  <si>
    <t>RNA metabolism OR transcription;other metabolic processes;other biological processes</t>
  </si>
  <si>
    <t>ENSRNOG00000005877</t>
  </si>
  <si>
    <t>A6JVT0</t>
  </si>
  <si>
    <t>Arp2/3 complex 34 kDa subunit OS=Rattus norvegicus OX=10116 GN=Arpc2 PE=3 SV=1</t>
  </si>
  <si>
    <t>A6JVT0; rno:301511</t>
  </si>
  <si>
    <t>E9PSP1</t>
  </si>
  <si>
    <t>Phospholipid transfer protein OS=Rattus norvegicus OX=10116 GN=Pltp PE=1 SV=1</t>
  </si>
  <si>
    <t>cell organization and biogenesis;other metabolic processes;transport;other biological processes</t>
  </si>
  <si>
    <t>non-structural extracellular;nucleus</t>
  </si>
  <si>
    <t>ENSRNOG00000016488</t>
  </si>
  <si>
    <t>E9PSP1; rno:296371</t>
  </si>
  <si>
    <t>A0A8I6AAJ5</t>
  </si>
  <si>
    <t>Similar to IG KAPPA CHAIN V-V REGION K2 PRECURSOR OS=Rattus norvegicus OX=10116 GN=Igkvl16 PE=1 SV=1</t>
  </si>
  <si>
    <t>ENSRNOG00000064003</t>
  </si>
  <si>
    <t>A0A0G2K542</t>
  </si>
  <si>
    <t>UTP--glucose-1-phosphate uridylyltransferase OS=Rattus norvegicus OX=10116 GN=Ugp2 PE=1 SV=2</t>
  </si>
  <si>
    <t>other metabolic processes;developmental processes</t>
  </si>
  <si>
    <t>ENSRNOG00000008079</t>
  </si>
  <si>
    <t>A6KP26</t>
  </si>
  <si>
    <t>Superoxide dismutase OS=Rattus norvegicus OX=10116 GN=Sod2 PE=3 SV=1</t>
  </si>
  <si>
    <t>other metabolic processes;stress response</t>
  </si>
  <si>
    <t>A6KP26; rno:24787</t>
  </si>
  <si>
    <t>D3ZY51</t>
  </si>
  <si>
    <t>Plakophilin 1 OS=Rattus norvegicus OX=10116 GN=Pkp1 PE=3 SV=3</t>
  </si>
  <si>
    <t>ENSRNOG00000010076</t>
  </si>
  <si>
    <t>A0A8I6GG73</t>
  </si>
  <si>
    <t>Calmodulin 2 OS=Rattus norvegicus OX=10116 GN=Calm2 PE=4 SV=1</t>
  </si>
  <si>
    <t>ENSRNOG00000067086</t>
  </si>
  <si>
    <t>A0A8I6ACW2</t>
  </si>
  <si>
    <t>M0RBP4</t>
  </si>
  <si>
    <t>Family with sequence similarity 131, member A OS=Rattus norvegicus OX=10116 GN=Fam131a PE=3 SV=1</t>
  </si>
  <si>
    <t>ENSRNOG00000063031</t>
  </si>
  <si>
    <t>A6I0F7</t>
  </si>
  <si>
    <t>Olfactory receptor OS=Rattus norvegicus OX=10116 GN=rCG_48442 PE=3 SV=1</t>
  </si>
  <si>
    <t>G3V7J0</t>
  </si>
  <si>
    <t>methylmalonate-semialdehyde dehydrogenase (CoA acylating) OS=Rattus norvegicus OX=10116 GN=Aldh6a1 PE=3 SV=1</t>
  </si>
  <si>
    <t>mitochondrion;nucleus</t>
  </si>
  <si>
    <t>ENSRNOG00000011419</t>
  </si>
  <si>
    <t>G3V7J0; rno:81708</t>
  </si>
  <si>
    <t>A0A0G2K4H7</t>
  </si>
  <si>
    <t>Keratin 78 OS=Rattus norvegicus OX=10116 GN=Krt78 PE=3 SV=1</t>
  </si>
  <si>
    <t>ENSRNOG00000059790</t>
  </si>
  <si>
    <t>A0A0G2K4H7; rno:315324</t>
  </si>
  <si>
    <t>F1M6N0</t>
  </si>
  <si>
    <t>Similar to keratinocytes proline-rich protein OS=Rattus norvegicus OX=10116 GN=Kplce PE=4 SV=4</t>
  </si>
  <si>
    <t>ENSRNOG00000023511</t>
  </si>
  <si>
    <t>A6JKH4</t>
  </si>
  <si>
    <t>D-dopachrome decarboxylase OS=Rattus norvegicus OX=10116 GN=Ddt PE=3 SV=1</t>
  </si>
  <si>
    <t>Q64599</t>
  </si>
  <si>
    <t>Hemiferrin OS=Rattus norvegicus OX=10116 GN=LOC286987 PE=2 SV=1</t>
  </si>
  <si>
    <t>Q6IRK9</t>
  </si>
  <si>
    <t>Carboxypeptidase Q OS=Rattus norvegicus OX=10116 GN=Cpq PE=1 SV=1</t>
  </si>
  <si>
    <t>non-structural extracellular;ER/Golgi;other cytoplasmic organelle;other cell component</t>
  </si>
  <si>
    <t>ENSRNOG00000005931; ENSRNOG00055026477; ENSRNOG00060009425; ENSRNOG00065016771</t>
  </si>
  <si>
    <t>Q6IRK9; Q9JLV0; Q9Z1Y1; rno:58952</t>
  </si>
  <si>
    <t>A0A8I6A3F2</t>
  </si>
  <si>
    <t>Ig-like domain-containing protein OS=Rattus norvegicus OX=10116 GN=AABR07034730.2 PE=1 SV=1</t>
  </si>
  <si>
    <t>ENSRNOG00000050898</t>
  </si>
  <si>
    <t>Q6AYQ9</t>
  </si>
  <si>
    <t>Peptidyl-prolyl cis-trans isomerase OS=Rattus norvegicus OX=10116 GN=Ppic PE=3 SV=1</t>
  </si>
  <si>
    <t>ENSRNOG00000017416</t>
  </si>
  <si>
    <t>Q6AYQ9; rno:291463</t>
  </si>
  <si>
    <t>A0A8I6G8Z3</t>
  </si>
  <si>
    <t>Similar to immunoglobulin light chain variable region OS=Rattus norvegicus OX=10116 GN=Igkv8-30l1 PE=1 SV=1</t>
  </si>
  <si>
    <t>ENSRNOG00000067740</t>
  </si>
  <si>
    <t>Q91XT9</t>
  </si>
  <si>
    <t>Neutral ceramidase OS=Rattus norvegicus OX=10116 GN=Asah2 PE=1 SV=1</t>
  </si>
  <si>
    <t>non-structural extracellular;plasma membrane;other membranes;mitochondrion;ER/Golgi</t>
  </si>
  <si>
    <t>ENSRNOG00000012196; ENSRNOG00055029490; ENSRNOG00060029443; ENSRNOG00065029336</t>
  </si>
  <si>
    <t>Q91XT9; rno:114104</t>
  </si>
  <si>
    <t>A6JL62</t>
  </si>
  <si>
    <t>Amyloid-beta A4 protein OS=Rattus norvegicus OX=10116 GN=App PE=3 SV=1</t>
  </si>
  <si>
    <t>transport;signal transduction</t>
  </si>
  <si>
    <t>plasma membrane;other membranes;ER/Golgi;other cytoplasmic organelle;other cell component</t>
  </si>
  <si>
    <t>A6JL62; rno:54226</t>
  </si>
  <si>
    <t>A6KCD4</t>
  </si>
  <si>
    <t>Peripherin 1, isoform CRA_a OS=Rattus norvegicus OX=10116 GN=Prph PE=3 SV=1</t>
  </si>
  <si>
    <t>A0A8I5ZRL8</t>
  </si>
  <si>
    <t>ArfGAP with SH3 domain, ankyrin repeat and PH domain 2 OS=Rattus norvegicus OX=10116 GN=Asap2 PE=1 SV=1</t>
  </si>
  <si>
    <t>ENSRNOG00000061519</t>
  </si>
  <si>
    <t>F7F7A6</t>
  </si>
  <si>
    <t>Eukaryotic initiation factor 4A-I OS=Rattus norvegicus OX=10116 GN=Eif4a1 PE=1 SV=1</t>
  </si>
  <si>
    <t>ENSRNOG00000030628</t>
  </si>
  <si>
    <t>A0A8I6GDC1</t>
  </si>
  <si>
    <t>Isocitrate dehydrogenase [NAD] subunit, mitochondrial OS=Rattus norvegicus OX=10116 GN=Idh3g PE=1 SV=1</t>
  </si>
  <si>
    <t>ENSRNOG00000055572</t>
  </si>
  <si>
    <t>B1PL10</t>
  </si>
  <si>
    <t>Gap junction protein OS=Rattus norvegicus OX=10116 GN=Gja8 PE=3 SV=1</t>
  </si>
  <si>
    <t>cell-cell signaling;transport</t>
  </si>
  <si>
    <t>B1PL10; rno:29601</t>
  </si>
  <si>
    <t>A6JPR7</t>
  </si>
  <si>
    <t>Kallikrein B, plasma 1 OS=Rattus norvegicus OX=10116 GN=Klkb1 PE=1 SV=1</t>
  </si>
  <si>
    <t>ENSRNOG00000014118</t>
  </si>
  <si>
    <t>A6JPR7; Q5FVS2; rno:25048</t>
  </si>
  <si>
    <t>A0A0G2K373</t>
  </si>
  <si>
    <t>Sphingosine kinase 1 OS=Rattus norvegicus OX=10116 GN=Sphk1 PE=4 SV=1</t>
  </si>
  <si>
    <t>other metabolic processes;signal transduction;other biological processes</t>
  </si>
  <si>
    <t>plasma membrane;other membranes;cytosol;other cytoplasmic organelle</t>
  </si>
  <si>
    <t>nucleic acid binding activity;kinase activity;other molecular function</t>
  </si>
  <si>
    <t>ENSRNOG00000010626</t>
  </si>
  <si>
    <t>P04906</t>
  </si>
  <si>
    <t>Glutathione S-transferase P OS=Rattus norvegicus OX=10116 GN=Gstp1 PE=1 SV=2</t>
  </si>
  <si>
    <t>cell cycle OR cell proliferation;other metabolic processes;stress response;developmental processes;other biological processes</t>
  </si>
  <si>
    <t>ENSRNOG00000018237</t>
  </si>
  <si>
    <t>P04906; rno:24426</t>
  </si>
  <si>
    <t>D4AAY7</t>
  </si>
  <si>
    <t>phosphatidylinositol N-acetylglucosaminyltransferase OS=Rattus norvegicus OX=10116 GN=Piga PE=4 SV=2</t>
  </si>
  <si>
    <t>other membranes;ER/Golgi</t>
  </si>
  <si>
    <t>ENSRNOG00000003554</t>
  </si>
  <si>
    <t>A1A5L2</t>
  </si>
  <si>
    <t>Phosphoglucomutase-1 (Fragment) OS=Rattus norvegicus OX=10116 GN=Pgm1 PE=2 SV=1</t>
  </si>
  <si>
    <t>A6K450</t>
  </si>
  <si>
    <t>Proteoglycan peptide core protein, isoform CRA_b OS=Rattus norvegicus OX=10116 GN=Srgn PE=4 SV=1</t>
  </si>
  <si>
    <t>A6HXG6</t>
  </si>
  <si>
    <t>Enoyl-CoA hydratase, mitochondrial OS=Rattus norvegicus OX=10116 GN=Echs1 PE=3 SV=1</t>
  </si>
  <si>
    <t>A6HXG6; rno:140547</t>
  </si>
  <si>
    <t>A0A8I5ZRT6</t>
  </si>
  <si>
    <t>Dedicator of cytokinesis 2 OS=Rattus norvegicus OX=10116 GN=Dock2 PE=1 SV=1</t>
  </si>
  <si>
    <t>ENSRNOG00000006932</t>
  </si>
  <si>
    <t>A0A8I6AKF7</t>
  </si>
  <si>
    <t>Voltage-dependent anion-selective channel protein 1 OS=Rattus norvegicus OX=10116 GN=Vdac1 PE=1 SV=1</t>
  </si>
  <si>
    <t>cell-cell signaling;stress response;transport;other biological processes</t>
  </si>
  <si>
    <t>ENSRNOG00000006375</t>
  </si>
  <si>
    <t>D3ZTC4</t>
  </si>
  <si>
    <t>Coiled-coil domain containing 88B OS=Rattus norvegicus OX=10116 GN=Ccdc88b PE=1 SV=2</t>
  </si>
  <si>
    <t>other membranes;cytosol;cytoskeleton;nucleus;other cell component</t>
  </si>
  <si>
    <t>ENSRNOG00000024931</t>
  </si>
  <si>
    <t>D3ZTC4; rno:293698</t>
  </si>
  <si>
    <t>A0A8I5Y7R1</t>
  </si>
  <si>
    <t>Protein disulfide-isomerase A6 OS=Rattus norvegicus OX=10116 GN=Pdia6 PE=1 SV=1</t>
  </si>
  <si>
    <t>non-structural extracellular;cytosol;ER/Golgi</t>
  </si>
  <si>
    <t>ENSRNOG00000050197</t>
  </si>
  <si>
    <t>G3V734</t>
  </si>
  <si>
    <t>2,4-dienoyl-CoA reductase [(3E)-enoyl-CoA-producing] OS=Rattus norvegicus OX=10116 GN=Decr1 PE=3 SV=1</t>
  </si>
  <si>
    <t>ENSRNOG00000008236</t>
  </si>
  <si>
    <t>G3V734; rno:117543</t>
  </si>
  <si>
    <t>A0A0G2JXI9</t>
  </si>
  <si>
    <t>Histone H2B OS=Rattus norvegicus OX=10116 GN=ENSRNOG00000068034 PE=3 SV=2</t>
  </si>
  <si>
    <t>A6JPU2</t>
  </si>
  <si>
    <t>Fibronigen-like protein 1 OS=Rattus norvegicus OX=10116 GN=Fgl1 PE=4 SV=1</t>
  </si>
  <si>
    <t>A0A8I6A8W8</t>
  </si>
  <si>
    <t>procollagen-lysine 5-dioxygenase OS=Rattus norvegicus OX=10116 GN=Plod3 PE=1 SV=1</t>
  </si>
  <si>
    <t>cell organization and biogenesis;protein metabolism;other metabolic processes;developmental processes;other biological processes</t>
  </si>
  <si>
    <t>non-structural extracellular;extracellular matrix;other membranes;ER/Golgi</t>
  </si>
  <si>
    <t>ENSRNOG00000001417</t>
  </si>
  <si>
    <t>A6KSB3</t>
  </si>
  <si>
    <t>Apolipoprotein N OS=Rattus norvegicus OX=10116 GN=Apon PE=1 SV=1</t>
  </si>
  <si>
    <t>ENSRNOG00000033466</t>
  </si>
  <si>
    <t>A6KSB3; Q5M890; rno:304603</t>
  </si>
  <si>
    <t>B2RZ77</t>
  </si>
  <si>
    <t>Dermatopontin OS=Rattus norvegicus OX=10116 GN=Dpt PE=3 SV=1</t>
  </si>
  <si>
    <t>ENSRNOG00000002947</t>
  </si>
  <si>
    <t>A0A8I6AAA9</t>
  </si>
  <si>
    <t>Leucine rich repeats and calponin homology domain containing 1 OS=Rattus norvegicus OX=10116 GN=Lrch1 PE=1 SV=1</t>
  </si>
  <si>
    <t>ENSRNOG00000009412</t>
  </si>
  <si>
    <t>A0A8I6AIU4</t>
  </si>
  <si>
    <t>Ig-like domain-containing protein OS=Rattus norvegicus OX=10116 GN=ENSRNOG00000067551 PE=1 SV=1</t>
  </si>
  <si>
    <t>A0A0G2K4E0</t>
  </si>
  <si>
    <t>T-cell surface glycoprotein YE1/48-like OS=Rattus norvegicus OX=10116 GN=LOC103690111 PE=4 SV=2</t>
  </si>
  <si>
    <t>ENSRNOG00000061895</t>
  </si>
  <si>
    <t>A0A8I6A6H8</t>
  </si>
  <si>
    <t>Serpin B6 OS=Rattus norvegicus OX=10116 GN=Serpinb6a PE=1 SV=1</t>
  </si>
  <si>
    <t>ENSRNOG00000017962</t>
  </si>
  <si>
    <t>A6I0B0</t>
  </si>
  <si>
    <t>Mitochondrial ribosomal protein L16, isoform CRA_c OS=Rattus norvegicus OX=10116 GN=Mrpl16 PE=4 SV=1</t>
  </si>
  <si>
    <t>translational apparatus</t>
  </si>
  <si>
    <t>D3ZAH4</t>
  </si>
  <si>
    <t>SKI family transcriptional corepressor 2 OS=Rattus norvegicus OX=10116 GN=Skor2 PE=3 SV=4</t>
  </si>
  <si>
    <t>ENSRNOG00000018006</t>
  </si>
  <si>
    <t>B1H248</t>
  </si>
  <si>
    <t>Vacuolar protein-sorting-associated protein 36 OS=Rattus norvegicus OX=10116 GN=Vps36 PE=1 SV=1</t>
  </si>
  <si>
    <t>other membranes;other cytoplasmic organelle</t>
  </si>
  <si>
    <t>ENSRNOG00000012654</t>
  </si>
  <si>
    <t>B1H248; rno:290851</t>
  </si>
  <si>
    <t>F1LS29</t>
  </si>
  <si>
    <t>Calpain-1 catalytic subunit OS=Rattus norvegicus OX=10116 GN=Capn1 PE=1 SV=2</t>
  </si>
  <si>
    <t>plasma membrane;cytosol;mitochondrion;other cytoplasmic organelle</t>
  </si>
  <si>
    <t>ENSRNOG00000020935</t>
  </si>
  <si>
    <t>A6JSV5</t>
  </si>
  <si>
    <t>Serine (Or cysteine) peptidase inhibitor, clade B (Ovalbumin), member 13 (Predicted) OS=Rattus norvegicus OX=10116 GN=Serpinb13 PE=3 SV=1</t>
  </si>
  <si>
    <t>A6JSV5; rno:304690</t>
  </si>
  <si>
    <t>A0A0G2JW29</t>
  </si>
  <si>
    <t>alpha-1,2-Mannosidase OS=Rattus norvegicus OX=10116 GN=Man1a1 PE=1 SV=2</t>
  </si>
  <si>
    <t>other membranes;cytosol;ER/Golgi;other cell component</t>
  </si>
  <si>
    <t>ENSRNOG00000000800</t>
  </si>
  <si>
    <t>D3ZQU7</t>
  </si>
  <si>
    <t>Glycoprotein Ib platelet subunit alpha OS=Rattus norvegicus OX=10116 GN=Gp1ba PE=1 SV=1</t>
  </si>
  <si>
    <t>ENSRNOG00000025959</t>
  </si>
  <si>
    <t>D3ZQU7; rno:691992</t>
  </si>
  <si>
    <t>Q9WVK7</t>
  </si>
  <si>
    <t>Hydroxyacyl-coenzyme A dehydrogenase, mitochondrial OS=Rattus norvegicus OX=10116 GN=Hadh PE=2 SV=1</t>
  </si>
  <si>
    <t>ENSRNOG00000010697; ENSRNOG00055010800; ENSRNOG00060022720; ENSRNOG00065014559</t>
  </si>
  <si>
    <t>Q9WVK7; rno:113965</t>
  </si>
  <si>
    <t>A0A0G2JSK5</t>
  </si>
  <si>
    <t>Integrin beta OS=Rattus norvegicus OX=10116 GN=Itgb1 PE=3 SV=2</t>
  </si>
  <si>
    <t>cell adhesion;cell cycle OR cell proliferation;cell organization and biogenesis;stress response;transport;developmental processes;signal transduction;other biological processes</t>
  </si>
  <si>
    <t>ENSRNOG00000010966</t>
  </si>
  <si>
    <t>A0A0G2QC02</t>
  </si>
  <si>
    <t>SKI2 subunit of superkiller complex OS=Rattus norvegicus OX=10116 GN=Skic2 PE=1 SV=2</t>
  </si>
  <si>
    <t>cell organization and biogenesis;protein metabolism;RNA metabolism OR transcription;other metabolic processes</t>
  </si>
  <si>
    <t>ENSRNOG00000000421</t>
  </si>
  <si>
    <t>A0A8I5ZXS9</t>
  </si>
  <si>
    <t>Sperm associated antigen 5 OS=Rattus norvegicus OX=10116 GN=Spag5 PE=4 SV=1</t>
  </si>
  <si>
    <t>ENSRNOG00000011777</t>
  </si>
  <si>
    <t>A0A8I6GEK5</t>
  </si>
  <si>
    <t>Ig-like domain-containing protein OS=Rattus norvegicus OX=10116 GN=AC109901.2 PE=1 SV=1</t>
  </si>
  <si>
    <t>ENSRNOG00000059447</t>
  </si>
  <si>
    <t>A6HRF8</t>
  </si>
  <si>
    <t>Collectin sub-family member 10 (C-type lectin) (Predicted) OS=Rattus norvegicus OX=10116 GN=Colec10 PE=4 SV=1</t>
  </si>
  <si>
    <t>non-structural extracellular;other cytoplasmic organelle;other cell component</t>
  </si>
  <si>
    <t>A6HRF8; rno:299928</t>
  </si>
  <si>
    <t>Q6SJ79</t>
  </si>
  <si>
    <t>Eomesodermin (Fragment) OS=Rattus norvegicus OX=10116 PE=2 SV=1</t>
  </si>
  <si>
    <t>D3ZM39</t>
  </si>
  <si>
    <t>Desmoglein 1 OS=Rattus norvegicus OX=10116 GN=Dsg1 PE=4 SV=1</t>
  </si>
  <si>
    <t>cell adhesion;other biological processes</t>
  </si>
  <si>
    <t>ENSRNOG00000016853</t>
  </si>
  <si>
    <t>D3ZVU1</t>
  </si>
  <si>
    <t>DNA-dependent metalloprotease SPRTN OS=Rattus norvegicus OX=10116 GN=Sprtn PE=3 SV=1</t>
  </si>
  <si>
    <t>protein metabolism;DNA metabolism;other metabolic processes;stress response;other biological processes</t>
  </si>
  <si>
    <t>ENSRNOG00000021330</t>
  </si>
  <si>
    <t>A0A8L2Q5I9</t>
  </si>
  <si>
    <t>ADP-ribosylation factor 5 OS=Rattus norvegicus OX=10116 GN=Arf5 PE=1 SV=1</t>
  </si>
  <si>
    <t>ENSRNOG00000007806</t>
  </si>
  <si>
    <t>A0A8I6GK15</t>
  </si>
  <si>
    <t>Small ribosomal subunit protein eS6 OS=Rattus norvegicus OX=10116 GN=Rps6 PE=1 SV=1</t>
  </si>
  <si>
    <t>translational apparatus;other cell component</t>
  </si>
  <si>
    <t>ENSRNOG00000007663</t>
  </si>
  <si>
    <t>A0A8L2Q4B4</t>
  </si>
  <si>
    <t>Isocitrate dehydrogenase [NAD] subunit, mitochondrial OS=Rattus norvegicus OX=10116 GN=Idh3b PE=1 SV=1</t>
  </si>
  <si>
    <t>ENSRNOG00000007316</t>
  </si>
  <si>
    <t>A0A8I5ZVH2</t>
  </si>
  <si>
    <t>Bromodomain PHD finger transcription factor OS=Rattus norvegicus OX=10116 GN=Bptf PE=1 SV=1</t>
  </si>
  <si>
    <t>ENSRNOG00000047296</t>
  </si>
  <si>
    <t>A6IVC4</t>
  </si>
  <si>
    <t>Similar to Vigilin (High density lipoprotein-binding protein) (Predicted) OS=Rattus norvegicus OX=10116 GN=Hdlbpl2 PE=4 SV=1</t>
  </si>
  <si>
    <t>nucleic acid binding activity</t>
  </si>
  <si>
    <t>M0R628</t>
  </si>
  <si>
    <t>Ig-like domain-containing protein OS=Rattus norvegicus OX=10116 GN=ENSRNOG00000068268 PE=4 SV=3</t>
  </si>
  <si>
    <t>A0A8I6GKV6</t>
  </si>
  <si>
    <t>Pyruvate dehydrogenase E1 component subunit alpha OS=Rattus norvegicus OX=10116 GN=Pdha1 PE=1 SV=1</t>
  </si>
  <si>
    <t>ENSRNOG00000025383</t>
  </si>
  <si>
    <t>A0A8I6AE55</t>
  </si>
  <si>
    <t>Ig-like domain-containing protein OS=Rattus norvegicus OX=10116 GN=ENSRNOG00000063193 PE=4 SV=1</t>
  </si>
  <si>
    <t>A0A8I5ZS25</t>
  </si>
  <si>
    <t>Ig-like domain-containing protein OS=Rattus norvegicus OX=10116 GN=ENSRNOG00000065055 PE=4 SV=1</t>
  </si>
  <si>
    <t>A0A0G2K9Z5</t>
  </si>
  <si>
    <t>Ig-like domain-containing protein OS=Rattus norvegicus OX=10116 GN=AABR07060971.1 PE=4 SV=2</t>
  </si>
  <si>
    <t>ENSRNOG00000054428</t>
  </si>
  <si>
    <t>D3ZEG0</t>
  </si>
  <si>
    <t>H1.8 linker histone OS=Rattus norvegicus OX=10116 GN=H1f8 PE=4 SV=1</t>
  </si>
  <si>
    <t>ENSRNOG00000025251</t>
  </si>
  <si>
    <t>D3ZEG0; rno:502875</t>
  </si>
  <si>
    <t>F1LRJ9</t>
  </si>
  <si>
    <t>Methanethiol oxidase OS=Rattus norvegicus OX=10116 GN=Selenbp1 PE=3 SV=2</t>
  </si>
  <si>
    <t>other membranes;cytosol;nucleus</t>
  </si>
  <si>
    <t>ENSRNOG00000047158</t>
  </si>
  <si>
    <t>A0A8I5ZLK5</t>
  </si>
  <si>
    <t>ATP binding cassette subfamily A member 1 OS=Rattus norvegicus OX=10116 GN=Abca1 PE=1 SV=1</t>
  </si>
  <si>
    <t>cell-cell signaling;cell organization and biogenesis;protein metabolism;other metabolic processes;stress response;transport;signal transduction;other biological processes</t>
  </si>
  <si>
    <t>ENSRNOG00000018126</t>
  </si>
  <si>
    <t>A0A8I6GB84</t>
  </si>
  <si>
    <t>Voltage-dependent anion-selective channel protein 2 OS=Rattus norvegicus OX=10116 GN=Vdac2 PE=1 SV=1</t>
  </si>
  <si>
    <t>ENSRNOG00000013505</t>
  </si>
  <si>
    <t>A6J680</t>
  </si>
  <si>
    <t>Lamin A, isoform CRA_b OS=Rattus norvegicus OX=10116 GN=Lmna PE=3 SV=1</t>
  </si>
  <si>
    <t>cytoskeleton;nucleus</t>
  </si>
  <si>
    <t>A6J680; rno:60374</t>
  </si>
  <si>
    <t>P18424</t>
  </si>
  <si>
    <t>Phosphatidylcholine-sterol acyltransferase OS=Rattus norvegicus OX=10116 GN=Lcat PE=1 SV=2</t>
  </si>
  <si>
    <t>cell organization and biogenesis;protein metabolism;other metabolic processes;transport;other biological processes</t>
  </si>
  <si>
    <t>ENSRNOG00055003235</t>
  </si>
  <si>
    <t>O35849; P18424; rno:24530</t>
  </si>
  <si>
    <t>A0A8I6ACB9</t>
  </si>
  <si>
    <t>Dihydrolipoyllysine-residue succinyltransferase component of 2-oxoglutarate dehydrogenase complex, mitochondrial OS=Rattus norvegicus OX=10116 GN=Dlst PE=1 SV=1</t>
  </si>
  <si>
    <t>ENSRNOG00000005061</t>
  </si>
  <si>
    <t>A0A8I6A090</t>
  </si>
  <si>
    <t>Ig-like domain-containing protein OS=Rattus norvegicus OX=10116 GN=ENSRNOG00000064389 PE=4 SV=1</t>
  </si>
  <si>
    <t>A6I811</t>
  </si>
  <si>
    <t>SWAP complex protein (Predicted), isoform CRA_b OS=Rattus norvegicus OX=10116 GN=Swap70 PE=4 SV=1</t>
  </si>
  <si>
    <t>cell organization and biogenesis;DNA metabolism;other metabolic processes;developmental processes;other biological processes</t>
  </si>
  <si>
    <t>A6I811; rno:293410</t>
  </si>
  <si>
    <t>D3ZMI6</t>
  </si>
  <si>
    <t>Olfactomedin 4 OS=Rattus norvegicus OX=10116 GN=Olfm4 PE=4 SV=1</t>
  </si>
  <si>
    <t>ENSRNOG00000013280</t>
  </si>
  <si>
    <t>D3ZMI6; rno:290409</t>
  </si>
  <si>
    <t>A0A8I5ZS67</t>
  </si>
  <si>
    <t>GRB10 interacting GYF protein 2 OS=Rattus norvegicus OX=10116 GN=Gigyf2 PE=1 SV=1</t>
  </si>
  <si>
    <t>cell cycle OR cell proliferation;cell organization and biogenesis;protein metabolism;other metabolic processes;stress response;developmental processes;signal transduction;other biological processes</t>
  </si>
  <si>
    <t>other membranes;cytosol;ER/Golgi;other cytoplasmic organelle;other cell component</t>
  </si>
  <si>
    <t>ENSRNOG00000023577</t>
  </si>
  <si>
    <t>sang_plasma_rank</t>
  </si>
  <si>
    <t>lp01_plasma_rank</t>
  </si>
  <si>
    <t>plga_plasma_rank</t>
  </si>
  <si>
    <t>sang_plasma_fdr</t>
  </si>
  <si>
    <t>lp01_plasma_fdr</t>
  </si>
  <si>
    <t>plga_plasma_fdr</t>
  </si>
  <si>
    <t>sang_plasma_sig</t>
  </si>
  <si>
    <t>lp01_plasma_sig</t>
  </si>
  <si>
    <t>plga_plasma_sig</t>
  </si>
  <si>
    <t>sang_plasma_raw_p</t>
  </si>
  <si>
    <t>lp01_plasma_raw_p</t>
  </si>
  <si>
    <t>plga_plasma_raw_p</t>
  </si>
  <si>
    <t>sang_LP01_rank</t>
  </si>
  <si>
    <t>sang_PLGA_rank</t>
  </si>
  <si>
    <t>sang_LP01_fdr</t>
  </si>
  <si>
    <t>sang_PLGA_fdr</t>
  </si>
  <si>
    <t>sang_LP01_sig</t>
  </si>
  <si>
    <t>sang_PLGA_sig</t>
  </si>
  <si>
    <t>vlp_plasma_raw_p</t>
  </si>
  <si>
    <t>vlp_plasma_rank</t>
  </si>
  <si>
    <t>vlp_plasma_fdr</t>
  </si>
  <si>
    <t>vlp_plasma_sig</t>
  </si>
  <si>
    <t>sang_vlp_rank</t>
  </si>
  <si>
    <t>sang_LP01_raw_p</t>
  </si>
  <si>
    <t>sang_plga_raw_p</t>
  </si>
  <si>
    <t>sang_vlp_raw_p</t>
  </si>
  <si>
    <t>sang_vlp_fdr</t>
  </si>
  <si>
    <t>sang_vlp_sig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</si>
</sst>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1" fillId="0" borderId="0" xfId="0" applyFont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C466"/>
  <sheetViews>
    <sheetView tabSelected="1" topLeftCell="AI1" zoomScale="94" workbookViewId="0">
      <pane ySplit="1" topLeftCell="A43" activePane="bottomLeft" state="frozen"/>
      <selection activeCell="N1" sqref="N1"/>
      <selection pane="bottomLeft" activeCell="Z85" sqref="A85:XFD85"/>
    </sheetView>
  </sheetViews>
  <sheetFormatPr baseColWidth="10" defaultRowHeight="15" x14ac:dyDescent="0.2"/>
  <cols>
    <col min="1" max="1" width="7.5" bestFit="1" customWidth="1"/>
    <col min="2" max="2" width="28.1640625" bestFit="1" customWidth="1"/>
    <col min="3" max="3" width="12.33203125" bestFit="1" customWidth="1"/>
    <col min="4" max="4" width="12" bestFit="1" customWidth="1"/>
    <col min="5" max="5" width="95.6640625" customWidth="1"/>
    <col min="6" max="6" width="8.83203125" hidden="1" customWidth="1"/>
    <col min="7" max="7" width="14.6640625" hidden="1" customWidth="1"/>
    <col min="8" max="8" width="8.5" hidden="1" customWidth="1"/>
    <col min="9" max="9" width="6.5" hidden="1" customWidth="1"/>
    <col min="10" max="10" width="175.5" hidden="1" customWidth="1"/>
    <col min="11" max="11" width="127.5" hidden="1" customWidth="1"/>
    <col min="12" max="12" width="109.5" hidden="1" customWidth="1"/>
    <col min="13" max="13" width="88.33203125" hidden="1" customWidth="1"/>
    <col min="14" max="14" width="66.33203125" hidden="1" customWidth="1"/>
    <col min="15" max="15" width="26.33203125" hidden="1" customWidth="1"/>
    <col min="16" max="16" width="26.6640625" hidden="1" customWidth="1"/>
    <col min="17" max="17" width="25.1640625" hidden="1" customWidth="1"/>
    <col min="18" max="18" width="31.33203125" hidden="1" customWidth="1"/>
    <col min="19" max="19" width="31.5" hidden="1" customWidth="1"/>
    <col min="20" max="20" width="31.83203125" hidden="1" customWidth="1"/>
    <col min="21" max="21" width="30.33203125" hidden="1" customWidth="1"/>
    <col min="22" max="22" width="26.83203125" hidden="1" customWidth="1"/>
    <col min="23" max="23" width="25.33203125" hidden="1" customWidth="1"/>
    <col min="24" max="24" width="25.5" hidden="1" customWidth="1"/>
    <col min="25" max="25" width="23.33203125" hidden="1" customWidth="1"/>
    <col min="26" max="26" width="28.5" customWidth="1"/>
    <col min="27" max="27" width="23.5" customWidth="1"/>
    <col min="28" max="28" width="23.6640625" customWidth="1"/>
    <col min="29" max="29" width="22.33203125" customWidth="1"/>
    <col min="30" max="34" width="24.6640625" customWidth="1"/>
    <col min="35" max="39" width="29.83203125" customWidth="1"/>
    <col min="40" max="44" width="24.83203125" customWidth="1"/>
    <col min="45" max="49" width="25" customWidth="1"/>
    <col min="50" max="54" width="23.6640625" customWidth="1"/>
    <col min="55" max="59" width="28.83203125" customWidth="1"/>
    <col min="60" max="64" width="34" customWidth="1"/>
    <col min="65" max="69" width="29" customWidth="1"/>
    <col min="70" max="74" width="29.1640625" customWidth="1"/>
    <col min="75" max="79" width="27.83203125" customWidth="1"/>
    <col min="80" max="80" width="16.33203125" bestFit="1" customWidth="1"/>
    <col min="81" max="81" width="16.5" bestFit="1" customWidth="1"/>
    <col min="82" max="82" width="16" bestFit="1" customWidth="1"/>
    <col min="83" max="83" width="16" customWidth="1"/>
    <col min="84" max="84" width="14.83203125" bestFit="1" customWidth="1"/>
    <col min="85" max="85" width="15" bestFit="1" customWidth="1"/>
    <col min="86" max="86" width="14.6640625" bestFit="1" customWidth="1"/>
    <col min="87" max="87" width="14.6640625" customWidth="1"/>
    <col min="88" max="88" width="14.83203125" bestFit="1" customWidth="1"/>
    <col min="89" max="89" width="15" bestFit="1" customWidth="1"/>
    <col min="90" max="90" width="14.6640625" bestFit="1" customWidth="1"/>
    <col min="91" max="94" width="14.6640625" customWidth="1"/>
  </cols>
  <sheetData>
    <row r="1" spans="1:10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3" t="s">
        <v>1710</v>
      </c>
      <c r="CC1" s="3" t="s">
        <v>1711</v>
      </c>
      <c r="CD1" s="3" t="s">
        <v>1712</v>
      </c>
      <c r="CE1" s="3" t="s">
        <v>1719</v>
      </c>
      <c r="CF1" s="3" t="s">
        <v>1701</v>
      </c>
      <c r="CG1" s="3" t="s">
        <v>1702</v>
      </c>
      <c r="CH1" s="3" t="s">
        <v>1703</v>
      </c>
      <c r="CI1" s="3" t="s">
        <v>1720</v>
      </c>
      <c r="CJ1" s="3" t="s">
        <v>1704</v>
      </c>
      <c r="CK1" s="3" t="s">
        <v>1705</v>
      </c>
      <c r="CL1" s="3" t="s">
        <v>1706</v>
      </c>
      <c r="CM1" s="3" t="s">
        <v>1721</v>
      </c>
      <c r="CN1" s="3" t="s">
        <v>1707</v>
      </c>
      <c r="CO1" s="3" t="s">
        <v>1708</v>
      </c>
      <c r="CP1" s="3" t="s">
        <v>1709</v>
      </c>
      <c r="CQ1" s="3" t="s">
        <v>1722</v>
      </c>
      <c r="CR1" s="3" t="s">
        <v>1724</v>
      </c>
      <c r="CS1" s="3" t="s">
        <v>1725</v>
      </c>
      <c r="CT1" s="3" t="s">
        <v>1726</v>
      </c>
      <c r="CU1" s="3" t="s">
        <v>1713</v>
      </c>
      <c r="CV1" s="3" t="s">
        <v>1714</v>
      </c>
      <c r="CW1" s="3" t="s">
        <v>1723</v>
      </c>
      <c r="CX1" s="3" t="s">
        <v>1715</v>
      </c>
      <c r="CY1" s="3" t="s">
        <v>1716</v>
      </c>
      <c r="CZ1" s="3" t="s">
        <v>1727</v>
      </c>
      <c r="DA1" s="3" t="s">
        <v>1717</v>
      </c>
      <c r="DB1" s="3" t="s">
        <v>1718</v>
      </c>
      <c r="DC1" s="3" t="s">
        <v>1728</v>
      </c>
    </row>
    <row r="2" spans="1:107" x14ac:dyDescent="0.2">
      <c r="A2" s="2" t="b">
        <v>0</v>
      </c>
      <c r="B2" s="2" t="s">
        <v>79</v>
      </c>
      <c r="C2" s="2" t="s">
        <v>80</v>
      </c>
      <c r="D2" s="2" t="s">
        <v>1197</v>
      </c>
      <c r="E2" s="2" t="s">
        <v>1198</v>
      </c>
      <c r="F2" s="2">
        <v>2</v>
      </c>
      <c r="G2" s="2">
        <v>2</v>
      </c>
      <c r="H2" s="2">
        <v>24.6</v>
      </c>
      <c r="I2" s="2">
        <v>8.7899999999999991</v>
      </c>
      <c r="J2" s="2" t="s">
        <v>89</v>
      </c>
      <c r="K2" s="2" t="s">
        <v>1199</v>
      </c>
      <c r="L2" s="2" t="s">
        <v>1200</v>
      </c>
      <c r="M2" s="2" t="s">
        <v>1201</v>
      </c>
      <c r="N2" s="2" t="s">
        <v>1197</v>
      </c>
      <c r="O2" s="2">
        <v>1.6819999999999999</v>
      </c>
      <c r="P2" s="2">
        <v>0.82699999999999996</v>
      </c>
      <c r="Q2" s="2">
        <v>50.271000000000001</v>
      </c>
      <c r="R2" s="2">
        <v>0.34</v>
      </c>
      <c r="S2" s="2">
        <v>0.64800000000000002</v>
      </c>
      <c r="T2" s="2">
        <v>0.28199999999999997</v>
      </c>
      <c r="U2" s="2">
        <v>17.309999999999999</v>
      </c>
      <c r="V2" s="2">
        <v>0.435</v>
      </c>
      <c r="W2" s="2">
        <v>22.783000000000001</v>
      </c>
      <c r="X2" s="2">
        <v>60.68</v>
      </c>
      <c r="Y2" s="2">
        <v>8.6999999999999993</v>
      </c>
      <c r="Z2" s="2">
        <v>25.5</v>
      </c>
      <c r="AA2" s="2">
        <v>16.5</v>
      </c>
      <c r="AB2" s="2">
        <v>7.2</v>
      </c>
      <c r="AC2" s="2">
        <v>442.1</v>
      </c>
      <c r="AD2" s="2">
        <v>155838.59375</v>
      </c>
      <c r="AE2" s="2" t="s">
        <v>83</v>
      </c>
      <c r="AF2" s="2">
        <v>113352.796875</v>
      </c>
      <c r="AG2" s="2">
        <v>505180.25</v>
      </c>
      <c r="AH2" s="2" t="s">
        <v>83</v>
      </c>
      <c r="AI2" s="2" t="s">
        <v>83</v>
      </c>
      <c r="AJ2" s="2" t="s">
        <v>83</v>
      </c>
      <c r="AK2" s="2" t="s">
        <v>83</v>
      </c>
      <c r="AL2" s="2">
        <v>11948.4208984375</v>
      </c>
      <c r="AM2" s="2" t="s">
        <v>83</v>
      </c>
      <c r="AN2" s="2">
        <v>3429.2890625</v>
      </c>
      <c r="AO2" s="2">
        <v>5465.658203125</v>
      </c>
      <c r="AP2" s="2">
        <v>6123.56396484375</v>
      </c>
      <c r="AQ2" s="2">
        <v>4797.4365234375</v>
      </c>
      <c r="AR2" s="2">
        <v>12561.9365234375</v>
      </c>
      <c r="AS2" s="2">
        <v>15261.251953125</v>
      </c>
      <c r="AT2" s="2">
        <v>26873.849609375</v>
      </c>
      <c r="AU2" s="2">
        <v>15098.79296875</v>
      </c>
      <c r="AV2" s="2">
        <v>21589.0625</v>
      </c>
      <c r="AW2" s="2">
        <v>17394.943359375</v>
      </c>
      <c r="AX2" s="2">
        <v>398787.375</v>
      </c>
      <c r="AY2" s="2">
        <v>344402.40625</v>
      </c>
      <c r="AZ2" s="2">
        <v>400107.4375</v>
      </c>
      <c r="BA2" s="2">
        <v>344663.65625</v>
      </c>
      <c r="BB2" s="2">
        <v>324142.875</v>
      </c>
      <c r="BC2" s="2" t="s">
        <v>79</v>
      </c>
      <c r="BD2" s="2" t="s">
        <v>98</v>
      </c>
      <c r="BE2" s="2" t="s">
        <v>91</v>
      </c>
      <c r="BF2" s="2" t="s">
        <v>79</v>
      </c>
      <c r="BG2" s="2" t="s">
        <v>98</v>
      </c>
      <c r="BH2" s="2" t="s">
        <v>98</v>
      </c>
      <c r="BI2" s="2" t="s">
        <v>98</v>
      </c>
      <c r="BJ2" s="2" t="s">
        <v>98</v>
      </c>
      <c r="BK2" s="2" t="s">
        <v>91</v>
      </c>
      <c r="BL2" s="2" t="s">
        <v>98</v>
      </c>
      <c r="BM2" s="2" t="s">
        <v>91</v>
      </c>
      <c r="BN2" s="2" t="s">
        <v>91</v>
      </c>
      <c r="BO2" s="2" t="s">
        <v>91</v>
      </c>
      <c r="BP2" s="2" t="s">
        <v>91</v>
      </c>
      <c r="BQ2" s="2" t="s">
        <v>91</v>
      </c>
      <c r="BR2" s="2" t="s">
        <v>91</v>
      </c>
      <c r="BS2" s="2" t="s">
        <v>91</v>
      </c>
      <c r="BT2" s="2" t="s">
        <v>91</v>
      </c>
      <c r="BU2" s="2" t="s">
        <v>91</v>
      </c>
      <c r="BV2" s="2" t="s">
        <v>91</v>
      </c>
      <c r="BW2" s="2" t="s">
        <v>91</v>
      </c>
      <c r="BX2" s="2" t="s">
        <v>91</v>
      </c>
      <c r="BY2" s="2" t="s">
        <v>91</v>
      </c>
      <c r="BZ2" s="2" t="s">
        <v>91</v>
      </c>
      <c r="CA2" s="2" t="s">
        <v>91</v>
      </c>
      <c r="CB2" t="e">
        <f>TTEST(AS2:AW2,AI2:AM2,2,2)</f>
        <v>#DIV/0!</v>
      </c>
      <c r="CC2" t="e">
        <f>TTEST(AD2:AH2,AI2:AM2,2,2)</f>
        <v>#DIV/0!</v>
      </c>
      <c r="CD2" t="e">
        <f>TTEST(AN2:AR2,AI2:AM2,2,2)</f>
        <v>#DIV/0!</v>
      </c>
      <c r="CE2" t="e">
        <f>TTEST(AX2:BB2,AI2:AM2,2,2)</f>
        <v>#DIV/0!</v>
      </c>
      <c r="CF2">
        <v>287</v>
      </c>
      <c r="CG2">
        <v>301</v>
      </c>
      <c r="CH2">
        <v>305</v>
      </c>
      <c r="CI2">
        <v>223</v>
      </c>
      <c r="CJ2">
        <f>0.05*CF2/464</f>
        <v>3.0926724137931037E-2</v>
      </c>
      <c r="CK2">
        <f>0.05*CG2/464</f>
        <v>3.2435344827586206E-2</v>
      </c>
      <c r="CL2">
        <f>0.05*CH2/464</f>
        <v>3.2866379310344827E-2</v>
      </c>
      <c r="CM2">
        <f>0.05*CI2/464</f>
        <v>2.4030172413793103E-2</v>
      </c>
      <c r="CN2" t="e">
        <f>IF(CB2&lt;CJ2,"yes","no")</f>
        <v>#DIV/0!</v>
      </c>
      <c r="CO2" t="e">
        <f>IF(CC2&lt;CK2,"yes","no")</f>
        <v>#DIV/0!</v>
      </c>
      <c r="CP2" t="e">
        <f>IF(CD2&lt;CL2,"yes","no")</f>
        <v>#DIV/0!</v>
      </c>
      <c r="CQ2" t="e">
        <f>IF(CE2&lt;CM2,"yes","no")</f>
        <v>#DIV/0!</v>
      </c>
      <c r="CR2">
        <f>TTEST(AS2:AW2,AD2:AH2,2,2)</f>
        <v>3.8871900484518239E-2</v>
      </c>
      <c r="CS2">
        <f>TTEST(AS2:AW2,AN2:AR2,2,2)</f>
        <v>1.6339029023024238E-3</v>
      </c>
      <c r="CT2">
        <f>TTEST(AS2:AW2,AX2:BB2,2,2)</f>
        <v>2.0543158050249053E-8</v>
      </c>
      <c r="CU2">
        <v>221</v>
      </c>
      <c r="CV2">
        <v>98</v>
      </c>
      <c r="CW2">
        <v>1</v>
      </c>
      <c r="CX2">
        <f>0.05*CU2/464</f>
        <v>2.3814655172413796E-2</v>
      </c>
      <c r="CY2">
        <f>0.05*CV2/464</f>
        <v>1.0560344827586207E-2</v>
      </c>
      <c r="CZ2">
        <f>0.05*CW2/464</f>
        <v>1.0775862068965518E-4</v>
      </c>
      <c r="DA2" t="str">
        <f>IF(CR2&lt;CX2,"yes","no")</f>
        <v>no</v>
      </c>
      <c r="DB2" t="str">
        <f>IF(CS2&lt;CY2,"yes","no")</f>
        <v>yes</v>
      </c>
      <c r="DC2" t="str">
        <f>IF(CT2&lt;CZ2,"yes","no")</f>
        <v>yes</v>
      </c>
    </row>
    <row r="3" spans="1:107" x14ac:dyDescent="0.2">
      <c r="A3" s="2" t="b">
        <v>0</v>
      </c>
      <c r="B3" s="2" t="s">
        <v>79</v>
      </c>
      <c r="C3" s="2" t="s">
        <v>80</v>
      </c>
      <c r="D3" s="2" t="s">
        <v>648</v>
      </c>
      <c r="E3" s="2" t="s">
        <v>649</v>
      </c>
      <c r="F3" s="2">
        <v>5</v>
      </c>
      <c r="G3" s="2">
        <v>2</v>
      </c>
      <c r="H3" s="2">
        <v>96.7</v>
      </c>
      <c r="I3" s="2">
        <v>6.9</v>
      </c>
      <c r="J3" s="2" t="s">
        <v>135</v>
      </c>
      <c r="K3" s="2" t="s">
        <v>319</v>
      </c>
      <c r="L3" s="2" t="s">
        <v>119</v>
      </c>
      <c r="M3" s="2" t="s">
        <v>650</v>
      </c>
      <c r="N3" s="2" t="s">
        <v>651</v>
      </c>
      <c r="O3" s="2">
        <v>1.393</v>
      </c>
      <c r="P3" s="2">
        <v>3.8010000000000002</v>
      </c>
      <c r="Q3" s="2">
        <v>100</v>
      </c>
      <c r="R3" s="2">
        <v>100</v>
      </c>
      <c r="S3" s="2">
        <v>100</v>
      </c>
      <c r="T3" s="2">
        <v>100</v>
      </c>
      <c r="U3" s="2">
        <v>100</v>
      </c>
      <c r="V3" s="2" t="s">
        <v>83</v>
      </c>
      <c r="W3" s="2" t="s">
        <v>83</v>
      </c>
      <c r="X3" s="2">
        <v>60.76</v>
      </c>
      <c r="Y3" s="2">
        <v>4.4000000000000004</v>
      </c>
      <c r="Z3" s="2" t="s">
        <v>83</v>
      </c>
      <c r="AA3" s="2">
        <v>22.7</v>
      </c>
      <c r="AB3" s="2">
        <v>7.7</v>
      </c>
      <c r="AC3" s="2">
        <v>465.1</v>
      </c>
      <c r="AD3" s="2" t="s">
        <v>83</v>
      </c>
      <c r="AE3" s="2" t="s">
        <v>83</v>
      </c>
      <c r="AF3" s="2">
        <v>26274.611328125</v>
      </c>
      <c r="AG3" s="2">
        <v>742922.546875</v>
      </c>
      <c r="AH3" s="2" t="s">
        <v>83</v>
      </c>
      <c r="AI3" s="2" t="s">
        <v>83</v>
      </c>
      <c r="AJ3" s="2" t="s">
        <v>83</v>
      </c>
      <c r="AK3" s="2" t="s">
        <v>83</v>
      </c>
      <c r="AL3" s="2" t="s">
        <v>83</v>
      </c>
      <c r="AM3" s="2" t="s">
        <v>83</v>
      </c>
      <c r="AN3" s="2" t="s">
        <v>83</v>
      </c>
      <c r="AO3" s="2" t="s">
        <v>83</v>
      </c>
      <c r="AP3" s="2" t="s">
        <v>83</v>
      </c>
      <c r="AQ3" s="2" t="s">
        <v>83</v>
      </c>
      <c r="AR3" s="2">
        <v>18203.255859375</v>
      </c>
      <c r="AS3" s="2">
        <v>36223.078125</v>
      </c>
      <c r="AT3" s="2">
        <v>47726.74609375</v>
      </c>
      <c r="AU3" s="2">
        <v>32690.396484375</v>
      </c>
      <c r="AV3" s="2">
        <v>36880.51953125</v>
      </c>
      <c r="AW3" s="2">
        <v>38059.3203125</v>
      </c>
      <c r="AX3" s="2">
        <v>837040.5625</v>
      </c>
      <c r="AY3" s="2">
        <v>873732.5</v>
      </c>
      <c r="AZ3" s="2">
        <v>837035.5</v>
      </c>
      <c r="BA3" s="2">
        <v>854572.3125</v>
      </c>
      <c r="BB3" s="2">
        <v>639407.1875</v>
      </c>
      <c r="BC3" s="2" t="s">
        <v>79</v>
      </c>
      <c r="BD3" s="2" t="s">
        <v>98</v>
      </c>
      <c r="BE3" s="2" t="s">
        <v>79</v>
      </c>
      <c r="BF3" s="2" t="s">
        <v>79</v>
      </c>
      <c r="BG3" s="2" t="s">
        <v>98</v>
      </c>
      <c r="BH3" s="2" t="s">
        <v>98</v>
      </c>
      <c r="BI3" s="2" t="s">
        <v>98</v>
      </c>
      <c r="BJ3" s="2" t="s">
        <v>98</v>
      </c>
      <c r="BK3" s="2" t="s">
        <v>98</v>
      </c>
      <c r="BL3" s="2" t="s">
        <v>98</v>
      </c>
      <c r="BM3" s="2" t="s">
        <v>98</v>
      </c>
      <c r="BN3" s="2" t="s">
        <v>98</v>
      </c>
      <c r="BO3" s="2" t="s">
        <v>98</v>
      </c>
      <c r="BP3" s="2" t="s">
        <v>98</v>
      </c>
      <c r="BQ3" s="2" t="s">
        <v>91</v>
      </c>
      <c r="BR3" s="2" t="s">
        <v>91</v>
      </c>
      <c r="BS3" s="2" t="s">
        <v>91</v>
      </c>
      <c r="BT3" s="2" t="s">
        <v>91</v>
      </c>
      <c r="BU3" s="2" t="s">
        <v>91</v>
      </c>
      <c r="BV3" s="2" t="s">
        <v>91</v>
      </c>
      <c r="BW3" s="2" t="s">
        <v>91</v>
      </c>
      <c r="BX3" s="2" t="s">
        <v>91</v>
      </c>
      <c r="BY3" s="2" t="s">
        <v>91</v>
      </c>
      <c r="BZ3" s="2" t="s">
        <v>91</v>
      </c>
      <c r="CA3" s="2" t="s">
        <v>91</v>
      </c>
      <c r="CB3" t="e">
        <f>TTEST(AS3:AW3,AI3:AM3,2,2)</f>
        <v>#DIV/0!</v>
      </c>
      <c r="CC3" t="e">
        <f>TTEST(AD3:AH3,AI3:AM3,2,2)</f>
        <v>#DIV/0!</v>
      </c>
      <c r="CD3" t="e">
        <f>TTEST(AN3:AR3,AI3:AM3,2,2)</f>
        <v>#DIV/0!</v>
      </c>
      <c r="CE3" t="e">
        <f>TTEST(AX3:BB3,AI3:AM3,2,2)</f>
        <v>#DIV/0!</v>
      </c>
      <c r="CF3">
        <v>300</v>
      </c>
      <c r="CG3">
        <v>314</v>
      </c>
      <c r="CH3">
        <v>318</v>
      </c>
      <c r="CI3">
        <v>313</v>
      </c>
      <c r="CJ3">
        <f>0.05*CF3/464</f>
        <v>3.2327586206896554E-2</v>
      </c>
      <c r="CK3">
        <f>0.05*CG3/464</f>
        <v>3.3836206896551729E-2</v>
      </c>
      <c r="CL3">
        <f>0.05*CH3/464</f>
        <v>3.4267241379310344E-2</v>
      </c>
      <c r="CM3">
        <f>0.05*CI3/464</f>
        <v>3.372844827586207E-2</v>
      </c>
      <c r="CN3" t="e">
        <f>IF(CB3&lt;CJ3,"yes","no")</f>
        <v>#DIV/0!</v>
      </c>
      <c r="CO3" t="e">
        <f>IF(CC3&lt;CK3,"yes","no")</f>
        <v>#DIV/0!</v>
      </c>
      <c r="CP3" t="e">
        <f>IF(CD3&lt;CL3,"yes","no")</f>
        <v>#DIV/0!</v>
      </c>
      <c r="CQ3" t="e">
        <f>IF(CE3&lt;CM3,"yes","no")</f>
        <v>#DIV/0!</v>
      </c>
      <c r="CR3">
        <f>TTEST(AS3:AW3,AD3:AH3,2,2)</f>
        <v>0.12744384086311902</v>
      </c>
      <c r="CS3" t="e">
        <f>TTEST(AS3:AW3,AN3:AR3,2,2)</f>
        <v>#DIV/0!</v>
      </c>
      <c r="CT3">
        <f>TTEST(AS3:AW3,AX3:BB3,2,2)</f>
        <v>9.4318878922168416E-8</v>
      </c>
      <c r="CU3">
        <v>257</v>
      </c>
      <c r="CV3">
        <v>306</v>
      </c>
      <c r="CW3">
        <v>2</v>
      </c>
      <c r="CX3">
        <f t="shared" ref="CX3:CX66" si="0">0.05*CU3/464</f>
        <v>2.7693965517241383E-2</v>
      </c>
      <c r="CY3">
        <f t="shared" ref="CY3:CY66" si="1">0.05*CV3/464</f>
        <v>3.2974137931034486E-2</v>
      </c>
      <c r="CZ3">
        <f t="shared" ref="CZ3:CZ66" si="2">0.05*CW3/464</f>
        <v>2.1551724137931037E-4</v>
      </c>
      <c r="DA3" t="str">
        <f>IF(CR3&lt;CX3,"yes","no")</f>
        <v>no</v>
      </c>
      <c r="DB3" t="e">
        <f>IF(CS3&lt;CY3,"yes","no")</f>
        <v>#DIV/0!</v>
      </c>
      <c r="DC3" t="str">
        <f>IF(CT3&lt;CZ3,"yes","no")</f>
        <v>yes</v>
      </c>
    </row>
    <row r="4" spans="1:107" x14ac:dyDescent="0.2">
      <c r="A4" s="2" t="b">
        <v>0</v>
      </c>
      <c r="B4" s="2" t="s">
        <v>79</v>
      </c>
      <c r="C4" s="2" t="s">
        <v>80</v>
      </c>
      <c r="D4" s="2" t="s">
        <v>991</v>
      </c>
      <c r="E4" s="2" t="s">
        <v>992</v>
      </c>
      <c r="F4" s="2">
        <v>3</v>
      </c>
      <c r="G4" s="2">
        <v>1</v>
      </c>
      <c r="H4" s="2">
        <v>52</v>
      </c>
      <c r="I4" s="2">
        <v>4.75</v>
      </c>
      <c r="J4" s="2" t="s">
        <v>918</v>
      </c>
      <c r="K4" s="2" t="s">
        <v>247</v>
      </c>
      <c r="L4" s="2" t="s">
        <v>119</v>
      </c>
      <c r="M4" s="2" t="s">
        <v>993</v>
      </c>
      <c r="N4" s="2" t="s">
        <v>991</v>
      </c>
      <c r="O4" s="2">
        <v>0.24299999999999999</v>
      </c>
      <c r="P4" s="2">
        <v>0.33600000000000002</v>
      </c>
      <c r="Q4" s="2">
        <v>0.16300000000000001</v>
      </c>
      <c r="R4" s="2">
        <v>3.1230000000000002</v>
      </c>
      <c r="S4" s="2">
        <v>0.69599999999999995</v>
      </c>
      <c r="T4" s="2">
        <v>1.2490000000000001</v>
      </c>
      <c r="U4" s="2">
        <v>0.53200000000000003</v>
      </c>
      <c r="V4" s="2">
        <v>1.6619999999999999</v>
      </c>
      <c r="W4" s="2">
        <v>0.69399999999999995</v>
      </c>
      <c r="X4" s="2">
        <v>0.48599999999999999</v>
      </c>
      <c r="Y4" s="2">
        <v>253.8</v>
      </c>
      <c r="Z4" s="2">
        <v>68.2</v>
      </c>
      <c r="AA4" s="2">
        <v>51.3</v>
      </c>
      <c r="AB4" s="2">
        <v>85.2</v>
      </c>
      <c r="AC4" s="2">
        <v>41.4</v>
      </c>
      <c r="AD4" s="2">
        <v>64376752</v>
      </c>
      <c r="AE4" s="2">
        <v>63381841.847656302</v>
      </c>
      <c r="AF4" s="2">
        <v>61586699.28125</v>
      </c>
      <c r="AG4" s="2">
        <v>27521778.996093798</v>
      </c>
      <c r="AH4" s="2">
        <v>20064158</v>
      </c>
      <c r="AI4" s="2">
        <v>271062.5</v>
      </c>
      <c r="AJ4" s="2">
        <v>319227.25</v>
      </c>
      <c r="AK4" s="2">
        <v>392281.6875</v>
      </c>
      <c r="AL4" s="2">
        <v>346782.40625</v>
      </c>
      <c r="AM4" s="2">
        <v>293119.0625</v>
      </c>
      <c r="AN4" s="2">
        <v>180300.640625</v>
      </c>
      <c r="AO4" s="2">
        <v>205888.21875</v>
      </c>
      <c r="AP4" s="2">
        <v>182640.28125</v>
      </c>
      <c r="AQ4" s="2">
        <v>176793.40625</v>
      </c>
      <c r="AR4" s="2">
        <v>438164.15625</v>
      </c>
      <c r="AS4" s="2">
        <v>2630013.75</v>
      </c>
      <c r="AT4" s="2">
        <v>3382369.5</v>
      </c>
      <c r="AU4" s="2">
        <v>2565249.5</v>
      </c>
      <c r="AV4" s="2">
        <v>2797843.75</v>
      </c>
      <c r="AW4" s="2">
        <v>2867532.75</v>
      </c>
      <c r="AX4" s="2">
        <v>457861.71875</v>
      </c>
      <c r="AY4" s="2">
        <v>452919.125</v>
      </c>
      <c r="AZ4" s="2">
        <v>378445.375</v>
      </c>
      <c r="BA4" s="2">
        <v>550883.1875</v>
      </c>
      <c r="BB4" s="2">
        <v>434709.84375</v>
      </c>
      <c r="BC4" s="2" t="s">
        <v>91</v>
      </c>
      <c r="BD4" s="2" t="s">
        <v>79</v>
      </c>
      <c r="BE4" s="2" t="s">
        <v>91</v>
      </c>
      <c r="BF4" s="2" t="s">
        <v>79</v>
      </c>
      <c r="BG4" s="2" t="s">
        <v>91</v>
      </c>
      <c r="BH4" s="2" t="s">
        <v>91</v>
      </c>
      <c r="BI4" s="2" t="s">
        <v>79</v>
      </c>
      <c r="BJ4" s="2" t="s">
        <v>91</v>
      </c>
      <c r="BK4" s="2" t="s">
        <v>91</v>
      </c>
      <c r="BL4" s="2" t="s">
        <v>91</v>
      </c>
      <c r="BM4" s="2" t="s">
        <v>91</v>
      </c>
      <c r="BN4" s="2" t="s">
        <v>91</v>
      </c>
      <c r="BO4" s="2" t="s">
        <v>91</v>
      </c>
      <c r="BP4" s="2" t="s">
        <v>91</v>
      </c>
      <c r="BQ4" s="2" t="s">
        <v>91</v>
      </c>
      <c r="BR4" s="2" t="s">
        <v>91</v>
      </c>
      <c r="BS4" s="2" t="s">
        <v>91</v>
      </c>
      <c r="BT4" s="2" t="s">
        <v>79</v>
      </c>
      <c r="BU4" s="2" t="s">
        <v>91</v>
      </c>
      <c r="BV4" s="2" t="s">
        <v>91</v>
      </c>
      <c r="BW4" s="2" t="s">
        <v>91</v>
      </c>
      <c r="BX4" s="2" t="s">
        <v>79</v>
      </c>
      <c r="BY4" s="2" t="s">
        <v>91</v>
      </c>
      <c r="BZ4" s="2" t="s">
        <v>91</v>
      </c>
      <c r="CA4" s="2" t="s">
        <v>79</v>
      </c>
      <c r="CB4">
        <f>TTEST(AS4:AW4,AI4:AM4,2,2)</f>
        <v>1.2592045926603921E-7</v>
      </c>
      <c r="CC4">
        <f>TTEST(AD4:AH4,AI4:AM4,2,2)</f>
        <v>1.2805124802933313E-3</v>
      </c>
      <c r="CD4">
        <f>TTEST(AN4:AR4,AI4:AM4,2,2)</f>
        <v>0.14841074108488322</v>
      </c>
      <c r="CE4">
        <f>TTEST(AX4:BB4,AI4:AM4,2,2)</f>
        <v>5.7673179352062762E-3</v>
      </c>
      <c r="CF4">
        <v>2</v>
      </c>
      <c r="CG4">
        <v>139</v>
      </c>
      <c r="CH4">
        <v>140</v>
      </c>
      <c r="CI4">
        <v>76</v>
      </c>
      <c r="CJ4">
        <f>0.05*CF4/464</f>
        <v>2.1551724137931037E-4</v>
      </c>
      <c r="CK4">
        <f>0.05*CG4/464</f>
        <v>1.4978448275862069E-2</v>
      </c>
      <c r="CL4">
        <f>0.05*CH4/464</f>
        <v>1.5086206896551725E-2</v>
      </c>
      <c r="CM4">
        <f>0.05*CI4/464</f>
        <v>8.1896551724137939E-3</v>
      </c>
      <c r="CN4" t="str">
        <f>IF(CB4&lt;CJ4,"yes","no")</f>
        <v>yes</v>
      </c>
      <c r="CO4" t="str">
        <f>IF(CC4&lt;CK4,"yes","no")</f>
        <v>yes</v>
      </c>
      <c r="CP4" t="str">
        <f>IF(CD4&lt;CL4,"yes","no")</f>
        <v>no</v>
      </c>
      <c r="CQ4" t="str">
        <f>IF(CE4&lt;CM4,"yes","no")</f>
        <v>yes</v>
      </c>
      <c r="CR4">
        <f>TTEST(AS4:AW4,AD4:AH4,2,2)</f>
        <v>1.7918164246976068E-3</v>
      </c>
      <c r="CS4">
        <f>TTEST(AS4:AW4,AN4:AR4,2,2)</f>
        <v>1.3965408583898934E-7</v>
      </c>
      <c r="CT4">
        <f>TTEST(AS4:AW4,AX4:BB4,2,2)</f>
        <v>2.0216631713940259E-7</v>
      </c>
      <c r="CU4">
        <v>171</v>
      </c>
      <c r="CV4">
        <v>1</v>
      </c>
      <c r="CW4">
        <v>3</v>
      </c>
      <c r="CX4">
        <f t="shared" si="0"/>
        <v>1.8426724137931037E-2</v>
      </c>
      <c r="CY4">
        <f t="shared" si="1"/>
        <v>1.0775862068965518E-4</v>
      </c>
      <c r="CZ4">
        <f t="shared" si="2"/>
        <v>3.2327586206896557E-4</v>
      </c>
      <c r="DA4" t="str">
        <f>IF(CR4&lt;CX4,"yes","no")</f>
        <v>yes</v>
      </c>
      <c r="DB4" t="str">
        <f>IF(CS4&lt;CY4,"yes","no")</f>
        <v>yes</v>
      </c>
      <c r="DC4" t="str">
        <f>IF(CT4&lt;CZ4,"yes","no")</f>
        <v>yes</v>
      </c>
    </row>
    <row r="5" spans="1:107" x14ac:dyDescent="0.2">
      <c r="A5" s="2" t="b">
        <v>0</v>
      </c>
      <c r="B5" s="2" t="s">
        <v>79</v>
      </c>
      <c r="C5" s="2" t="s">
        <v>80</v>
      </c>
      <c r="D5" s="2" t="s">
        <v>945</v>
      </c>
      <c r="E5" s="2" t="s">
        <v>946</v>
      </c>
      <c r="F5" s="2">
        <v>2</v>
      </c>
      <c r="G5" s="2">
        <v>2</v>
      </c>
      <c r="H5" s="2">
        <v>18</v>
      </c>
      <c r="I5" s="2">
        <v>5.72</v>
      </c>
      <c r="J5" s="2" t="s">
        <v>83</v>
      </c>
      <c r="K5" s="2" t="s">
        <v>83</v>
      </c>
      <c r="L5" s="2" t="s">
        <v>83</v>
      </c>
      <c r="M5" s="2" t="s">
        <v>83</v>
      </c>
      <c r="N5" s="2" t="s">
        <v>945</v>
      </c>
      <c r="O5" s="2">
        <v>2.3460000000000001</v>
      </c>
      <c r="P5" s="2">
        <v>0.88</v>
      </c>
      <c r="Q5" s="2">
        <v>0.32200000000000001</v>
      </c>
      <c r="R5" s="2">
        <v>1.5680000000000001</v>
      </c>
      <c r="S5" s="2">
        <v>3.38</v>
      </c>
      <c r="T5" s="2">
        <v>1.06</v>
      </c>
      <c r="U5" s="2">
        <v>0.503</v>
      </c>
      <c r="V5" s="2">
        <v>0.36099999999999999</v>
      </c>
      <c r="W5" s="2">
        <v>0.14299999999999999</v>
      </c>
      <c r="X5" s="2">
        <v>0.39600000000000002</v>
      </c>
      <c r="Y5" s="2">
        <v>104.8</v>
      </c>
      <c r="Z5" s="2">
        <v>47.9</v>
      </c>
      <c r="AA5" s="2">
        <v>239.9</v>
      </c>
      <c r="AB5" s="2">
        <v>84.3</v>
      </c>
      <c r="AC5" s="2">
        <v>23.2</v>
      </c>
      <c r="AD5" s="2">
        <v>1726736.53125</v>
      </c>
      <c r="AE5" s="2">
        <v>1462592.0625</v>
      </c>
      <c r="AF5" s="2">
        <v>1405219.6875</v>
      </c>
      <c r="AG5" s="2">
        <v>1481801.1875</v>
      </c>
      <c r="AH5" s="2">
        <v>1493840</v>
      </c>
      <c r="AI5" s="2">
        <v>23284.30078125</v>
      </c>
      <c r="AJ5" s="2">
        <v>19309.617675781301</v>
      </c>
      <c r="AK5" s="2">
        <v>11988.3349609375</v>
      </c>
      <c r="AL5" s="2">
        <v>16960.33203125</v>
      </c>
      <c r="AM5" s="2">
        <v>11841.634765625</v>
      </c>
      <c r="AN5" s="2">
        <v>54653.2890625</v>
      </c>
      <c r="AO5" s="2">
        <v>64057.138671875</v>
      </c>
      <c r="AP5" s="2">
        <v>85031.0234375</v>
      </c>
      <c r="AQ5" s="2">
        <v>61719.556640625</v>
      </c>
      <c r="AR5" s="2">
        <v>90907.65234375</v>
      </c>
      <c r="AS5" s="2">
        <v>166182.0078125</v>
      </c>
      <c r="AT5" s="2">
        <v>228371.1015625</v>
      </c>
      <c r="AU5" s="2">
        <v>180720.3125</v>
      </c>
      <c r="AV5" s="2">
        <v>181374.75</v>
      </c>
      <c r="AW5" s="2">
        <v>211218.25</v>
      </c>
      <c r="AX5" s="2">
        <v>25726.357910156301</v>
      </c>
      <c r="AY5" s="2">
        <v>24338.060546875</v>
      </c>
      <c r="AZ5" s="2">
        <v>19718.814453125</v>
      </c>
      <c r="BA5" s="2">
        <v>4000.67163085938</v>
      </c>
      <c r="BB5" s="2">
        <v>26394.5576171875</v>
      </c>
      <c r="BC5" s="2" t="s">
        <v>79</v>
      </c>
      <c r="BD5" s="2" t="s">
        <v>79</v>
      </c>
      <c r="BE5" s="2" t="s">
        <v>79</v>
      </c>
      <c r="BF5" s="2" t="s">
        <v>79</v>
      </c>
      <c r="BG5" s="2" t="s">
        <v>79</v>
      </c>
      <c r="BH5" s="2" t="s">
        <v>91</v>
      </c>
      <c r="BI5" s="2" t="s">
        <v>91</v>
      </c>
      <c r="BJ5" s="2" t="s">
        <v>91</v>
      </c>
      <c r="BK5" s="2" t="s">
        <v>91</v>
      </c>
      <c r="BL5" s="2" t="s">
        <v>91</v>
      </c>
      <c r="BM5" s="2" t="s">
        <v>91</v>
      </c>
      <c r="BN5" s="2" t="s">
        <v>91</v>
      </c>
      <c r="BO5" s="2" t="s">
        <v>91</v>
      </c>
      <c r="BP5" s="2" t="s">
        <v>91</v>
      </c>
      <c r="BQ5" s="2" t="s">
        <v>91</v>
      </c>
      <c r="BR5" s="2" t="s">
        <v>79</v>
      </c>
      <c r="BS5" s="2" t="s">
        <v>79</v>
      </c>
      <c r="BT5" s="2" t="s">
        <v>79</v>
      </c>
      <c r="BU5" s="2" t="s">
        <v>79</v>
      </c>
      <c r="BV5" s="2" t="s">
        <v>79</v>
      </c>
      <c r="BW5" s="2" t="s">
        <v>91</v>
      </c>
      <c r="BX5" s="2" t="s">
        <v>91</v>
      </c>
      <c r="BY5" s="2" t="s">
        <v>91</v>
      </c>
      <c r="BZ5" s="2" t="s">
        <v>91</v>
      </c>
      <c r="CA5" s="2" t="s">
        <v>91</v>
      </c>
      <c r="CB5">
        <f>TTEST(AS5:AW5,AI5:AM5,2,2)</f>
        <v>3.3481811627242017E-7</v>
      </c>
      <c r="CC5">
        <f>TTEST(AD5:AH5,AI5:AM5,2,2)</f>
        <v>3.7543438120748927E-9</v>
      </c>
      <c r="CD5">
        <f>TTEST(AN5:AR5,AI5:AM5,2,2)</f>
        <v>7.6617522716489615E-5</v>
      </c>
      <c r="CE5">
        <f>TTEST(AX5:BB5,AI5:AM5,2,2)</f>
        <v>0.49646098811821093</v>
      </c>
      <c r="CF5">
        <v>4</v>
      </c>
      <c r="CG5">
        <v>4</v>
      </c>
      <c r="CH5">
        <v>47</v>
      </c>
      <c r="CI5">
        <v>161</v>
      </c>
      <c r="CJ5">
        <f>0.05*CF5/464</f>
        <v>4.3103448275862074E-4</v>
      </c>
      <c r="CK5">
        <f>0.05*CG5/464</f>
        <v>4.3103448275862074E-4</v>
      </c>
      <c r="CL5">
        <f>0.05*CH5/464</f>
        <v>5.0646551724137937E-3</v>
      </c>
      <c r="CM5">
        <f>0.05*CI5/464</f>
        <v>1.7349137931034483E-2</v>
      </c>
      <c r="CN5" t="str">
        <f>IF(CB5&lt;CJ5,"yes","no")</f>
        <v>yes</v>
      </c>
      <c r="CO5" t="str">
        <f>IF(CC5&lt;CK5,"yes","no")</f>
        <v>yes</v>
      </c>
      <c r="CP5" t="str">
        <f>IF(CD5&lt;CL5,"yes","no")</f>
        <v>yes</v>
      </c>
      <c r="CQ5" t="str">
        <f>IF(CE5&lt;CM5,"yes","no")</f>
        <v>no</v>
      </c>
      <c r="CR5">
        <f>TTEST(AS5:AW5,AD5:AH5,2,2)</f>
        <v>1.1880578568462325E-8</v>
      </c>
      <c r="CS5">
        <f>TTEST(AS5:AW5,AN5:AR5,2,2)</f>
        <v>1.6541091255671266E-5</v>
      </c>
      <c r="CT5">
        <f>TTEST(AS5:AW5,AX5:BB5,2,2)</f>
        <v>5.503150796248019E-7</v>
      </c>
      <c r="CU5">
        <v>5</v>
      </c>
      <c r="CV5">
        <v>15</v>
      </c>
      <c r="CW5">
        <v>4</v>
      </c>
      <c r="CX5">
        <f t="shared" si="0"/>
        <v>5.3879310344827585E-4</v>
      </c>
      <c r="CY5">
        <f t="shared" si="1"/>
        <v>1.6163793103448276E-3</v>
      </c>
      <c r="CZ5">
        <f t="shared" si="2"/>
        <v>4.3103448275862074E-4</v>
      </c>
      <c r="DA5" t="str">
        <f>IF(CR5&lt;CX5,"yes","no")</f>
        <v>yes</v>
      </c>
      <c r="DB5" t="str">
        <f>IF(CS5&lt;CY5,"yes","no")</f>
        <v>yes</v>
      </c>
      <c r="DC5" t="str">
        <f>IF(CT5&lt;CZ5,"yes","no")</f>
        <v>yes</v>
      </c>
    </row>
    <row r="6" spans="1:107" x14ac:dyDescent="0.2">
      <c r="A6" s="2" t="b">
        <v>0</v>
      </c>
      <c r="B6" s="2" t="s">
        <v>79</v>
      </c>
      <c r="C6" s="2" t="s">
        <v>80</v>
      </c>
      <c r="D6" s="2" t="s">
        <v>1214</v>
      </c>
      <c r="E6" s="2" t="s">
        <v>1215</v>
      </c>
      <c r="F6" s="2">
        <v>2</v>
      </c>
      <c r="G6" s="2">
        <v>2</v>
      </c>
      <c r="H6" s="2">
        <v>50.6</v>
      </c>
      <c r="I6" s="2">
        <v>8.9499999999999993</v>
      </c>
      <c r="J6" s="2" t="s">
        <v>380</v>
      </c>
      <c r="K6" s="2" t="s">
        <v>1216</v>
      </c>
      <c r="L6" s="2" t="s">
        <v>115</v>
      </c>
      <c r="M6" s="2" t="s">
        <v>1217</v>
      </c>
      <c r="N6" s="2" t="s">
        <v>1214</v>
      </c>
      <c r="O6" s="2">
        <v>33.420999999999999</v>
      </c>
      <c r="P6" s="2">
        <v>5.92</v>
      </c>
      <c r="Q6" s="2">
        <v>9.3970000000000002</v>
      </c>
      <c r="R6" s="2">
        <v>4.3999999999999997E-2</v>
      </c>
      <c r="S6" s="2">
        <v>2.919</v>
      </c>
      <c r="T6" s="2">
        <v>11.43</v>
      </c>
      <c r="U6" s="2">
        <v>100</v>
      </c>
      <c r="V6" s="2">
        <v>0.76600000000000001</v>
      </c>
      <c r="W6" s="2">
        <v>60.274000000000001</v>
      </c>
      <c r="X6" s="2">
        <v>17.166</v>
      </c>
      <c r="Y6" s="2">
        <v>0.1</v>
      </c>
      <c r="Z6" s="2">
        <v>1.5</v>
      </c>
      <c r="AA6" s="2">
        <v>9.8000000000000007</v>
      </c>
      <c r="AB6" s="2">
        <v>19.3</v>
      </c>
      <c r="AC6" s="2">
        <v>469.2</v>
      </c>
      <c r="AD6" s="2">
        <v>83352.53125</v>
      </c>
      <c r="AE6" s="2">
        <v>53458.40625</v>
      </c>
      <c r="AF6" s="2">
        <v>63430.05078125</v>
      </c>
      <c r="AG6" s="2">
        <v>436744.390625</v>
      </c>
      <c r="AH6" s="2" t="s">
        <v>83</v>
      </c>
      <c r="AI6" s="2">
        <v>18411.435546875</v>
      </c>
      <c r="AJ6" s="2">
        <v>8442.3564453125</v>
      </c>
      <c r="AK6" s="2">
        <v>17738.3359375</v>
      </c>
      <c r="AL6" s="2">
        <v>449959.2421875</v>
      </c>
      <c r="AM6" s="2">
        <v>5187.45361328125</v>
      </c>
      <c r="AN6" s="2">
        <v>83642.3203125</v>
      </c>
      <c r="AO6" s="2">
        <v>88009.376953125</v>
      </c>
      <c r="AP6" s="2">
        <v>159547.9140625</v>
      </c>
      <c r="AQ6" s="2">
        <v>91690.2109375</v>
      </c>
      <c r="AR6" s="2">
        <v>139216.75390625</v>
      </c>
      <c r="AS6" s="2">
        <v>1501276.96484375</v>
      </c>
      <c r="AT6" s="2">
        <v>2376100.51025391</v>
      </c>
      <c r="AU6" s="2">
        <v>1327383.02734375</v>
      </c>
      <c r="AV6" s="2">
        <v>1497369.09765625</v>
      </c>
      <c r="AW6" s="2">
        <v>1948736.9296875</v>
      </c>
      <c r="AX6" s="2">
        <v>14321218.637695299</v>
      </c>
      <c r="AY6" s="2">
        <v>15668878.416015601</v>
      </c>
      <c r="AZ6" s="2">
        <v>16540511.5893555</v>
      </c>
      <c r="BA6" s="2">
        <v>11509368.2148438</v>
      </c>
      <c r="BB6" s="2">
        <v>12411680</v>
      </c>
      <c r="BC6" s="2" t="s">
        <v>79</v>
      </c>
      <c r="BD6" s="2" t="s">
        <v>91</v>
      </c>
      <c r="BE6" s="2" t="s">
        <v>79</v>
      </c>
      <c r="BF6" s="2" t="s">
        <v>79</v>
      </c>
      <c r="BG6" s="2" t="s">
        <v>98</v>
      </c>
      <c r="BH6" s="2" t="s">
        <v>91</v>
      </c>
      <c r="BI6" s="2" t="s">
        <v>91</v>
      </c>
      <c r="BJ6" s="2" t="s">
        <v>91</v>
      </c>
      <c r="BK6" s="2" t="s">
        <v>79</v>
      </c>
      <c r="BL6" s="2" t="s">
        <v>91</v>
      </c>
      <c r="BM6" s="2" t="s">
        <v>79</v>
      </c>
      <c r="BN6" s="2" t="s">
        <v>91</v>
      </c>
      <c r="BO6" s="2" t="s">
        <v>79</v>
      </c>
      <c r="BP6" s="2" t="s">
        <v>91</v>
      </c>
      <c r="BQ6" s="2" t="s">
        <v>79</v>
      </c>
      <c r="BR6" s="2" t="s">
        <v>91</v>
      </c>
      <c r="BS6" s="2" t="s">
        <v>91</v>
      </c>
      <c r="BT6" s="2" t="s">
        <v>79</v>
      </c>
      <c r="BU6" s="2" t="s">
        <v>79</v>
      </c>
      <c r="BV6" s="2" t="s">
        <v>79</v>
      </c>
      <c r="BW6" s="2" t="s">
        <v>91</v>
      </c>
      <c r="BX6" s="2" t="s">
        <v>91</v>
      </c>
      <c r="BY6" s="2" t="s">
        <v>91</v>
      </c>
      <c r="BZ6" s="2" t="s">
        <v>91</v>
      </c>
      <c r="CA6" s="2" t="s">
        <v>91</v>
      </c>
      <c r="CB6">
        <f>TTEST(AS6:AW6,AI6:AM6,2,2)</f>
        <v>5.5314859519818254E-5</v>
      </c>
      <c r="CC6">
        <f>TTEST(AD6:AH6,AI6:AM6,2,2)</f>
        <v>0.65818207100009984</v>
      </c>
      <c r="CD6">
        <f>TTEST(AN6:AR6,AI6:AM6,2,2)</f>
        <v>0.89188218413205411</v>
      </c>
      <c r="CE6">
        <f>TTEST(AX6:BB6,AI6:AM6,2,2)</f>
        <v>4.569602372070392E-7</v>
      </c>
      <c r="CF6">
        <v>54</v>
      </c>
      <c r="CG6">
        <v>232</v>
      </c>
      <c r="CH6">
        <v>228</v>
      </c>
      <c r="CI6">
        <v>12</v>
      </c>
      <c r="CJ6">
        <f>0.05*CF6/464</f>
        <v>5.8189655172413797E-3</v>
      </c>
      <c r="CK6">
        <f>0.05*CG6/464</f>
        <v>2.5000000000000001E-2</v>
      </c>
      <c r="CL6">
        <f>0.05*CH6/464</f>
        <v>2.456896551724138E-2</v>
      </c>
      <c r="CM6">
        <f>0.05*CI6/464</f>
        <v>1.2931034482758623E-3</v>
      </c>
      <c r="CN6" t="str">
        <f>IF(CB6&lt;CJ6,"yes","no")</f>
        <v>yes</v>
      </c>
      <c r="CO6" t="str">
        <f>IF(CC6&lt;CK6,"yes","no")</f>
        <v>no</v>
      </c>
      <c r="CP6" t="str">
        <f>IF(CD6&lt;CL6,"yes","no")</f>
        <v>no</v>
      </c>
      <c r="CQ6" t="str">
        <f>IF(CE6&lt;CM6,"yes","no")</f>
        <v>yes</v>
      </c>
      <c r="CR6">
        <f>TTEST(AS6:AW6,AD6:AH6,2,2)</f>
        <v>2.596340646656742E-4</v>
      </c>
      <c r="CS6">
        <f>TTEST(AS6:AW6,AN6:AR6,2,2)</f>
        <v>3.0206410542822985E-5</v>
      </c>
      <c r="CT6">
        <f>TTEST(AS6:AW6,AX6:BB6,2,2)</f>
        <v>1.3396080971569797E-6</v>
      </c>
      <c r="CU6">
        <v>145</v>
      </c>
      <c r="CV6">
        <v>24</v>
      </c>
      <c r="CW6">
        <v>5</v>
      </c>
      <c r="CX6">
        <f t="shared" si="0"/>
        <v>1.5625E-2</v>
      </c>
      <c r="CY6">
        <f t="shared" si="1"/>
        <v>2.5862068965517245E-3</v>
      </c>
      <c r="CZ6">
        <f t="shared" si="2"/>
        <v>5.3879310344827585E-4</v>
      </c>
      <c r="DA6" t="str">
        <f>IF(CR6&lt;CX6,"yes","no")</f>
        <v>yes</v>
      </c>
      <c r="DB6" t="str">
        <f>IF(CS6&lt;CY6,"yes","no")</f>
        <v>yes</v>
      </c>
      <c r="DC6" t="str">
        <f>IF(CT6&lt;CZ6,"yes","no")</f>
        <v>yes</v>
      </c>
    </row>
    <row r="7" spans="1:107" x14ac:dyDescent="0.2">
      <c r="A7" s="2" t="b">
        <v>0</v>
      </c>
      <c r="B7" s="2" t="s">
        <v>79</v>
      </c>
      <c r="C7" s="2" t="s">
        <v>80</v>
      </c>
      <c r="D7" s="2" t="s">
        <v>1659</v>
      </c>
      <c r="E7" s="2" t="s">
        <v>1660</v>
      </c>
      <c r="F7" s="2">
        <v>1</v>
      </c>
      <c r="G7" s="2">
        <v>1</v>
      </c>
      <c r="H7" s="2">
        <v>35.1</v>
      </c>
      <c r="I7" s="2">
        <v>10.49</v>
      </c>
      <c r="J7" s="2" t="s">
        <v>228</v>
      </c>
      <c r="K7" s="2" t="s">
        <v>607</v>
      </c>
      <c r="L7" s="2" t="s">
        <v>115</v>
      </c>
      <c r="M7" s="2" t="s">
        <v>1661</v>
      </c>
      <c r="N7" s="2" t="s">
        <v>1662</v>
      </c>
      <c r="O7" s="2">
        <v>1.0329999999999999</v>
      </c>
      <c r="P7" s="2">
        <v>0.61499999999999999</v>
      </c>
      <c r="Q7" s="2">
        <v>7.5999999999999998E-2</v>
      </c>
      <c r="R7" s="2">
        <v>0.57099999999999995</v>
      </c>
      <c r="S7" s="2">
        <v>0.58199999999999996</v>
      </c>
      <c r="T7" s="2">
        <v>0.32900000000000001</v>
      </c>
      <c r="U7" s="2">
        <v>4.4999999999999998E-2</v>
      </c>
      <c r="V7" s="2">
        <v>0.58399999999999996</v>
      </c>
      <c r="W7" s="2">
        <v>6.8000000000000005E-2</v>
      </c>
      <c r="X7" s="2">
        <v>0.13200000000000001</v>
      </c>
      <c r="Y7" s="2">
        <v>103.4</v>
      </c>
      <c r="Z7" s="2">
        <v>210.9</v>
      </c>
      <c r="AA7" s="2">
        <v>110.2</v>
      </c>
      <c r="AB7" s="2">
        <v>66.7</v>
      </c>
      <c r="AC7" s="2">
        <v>8.8000000000000007</v>
      </c>
      <c r="AD7" s="2">
        <v>17375368</v>
      </c>
      <c r="AE7" s="2">
        <v>23037706</v>
      </c>
      <c r="AF7" s="2">
        <v>24236702</v>
      </c>
      <c r="AG7" s="2">
        <v>11072453</v>
      </c>
      <c r="AH7" s="2">
        <v>15569578</v>
      </c>
      <c r="AI7" s="2" t="s">
        <v>83</v>
      </c>
      <c r="AJ7" s="2">
        <v>658142.75</v>
      </c>
      <c r="AK7" s="2">
        <v>697056.5625</v>
      </c>
      <c r="AL7" s="2">
        <v>617366.4375</v>
      </c>
      <c r="AM7" s="2">
        <v>587922.9375</v>
      </c>
      <c r="AN7" s="2">
        <v>275570.875</v>
      </c>
      <c r="AO7" s="2">
        <v>327388.75</v>
      </c>
      <c r="AP7" s="2">
        <v>359024.46875</v>
      </c>
      <c r="AQ7" s="2">
        <v>342379.53125</v>
      </c>
      <c r="AR7" s="2">
        <v>698055.25</v>
      </c>
      <c r="AS7" s="2">
        <v>1464508.375</v>
      </c>
      <c r="AT7" s="2">
        <v>1967396.125</v>
      </c>
      <c r="AU7" s="2">
        <v>1340471.625</v>
      </c>
      <c r="AV7" s="2">
        <v>1779153.625</v>
      </c>
      <c r="AW7" s="2">
        <v>1977918.875</v>
      </c>
      <c r="AX7" s="2">
        <v>67578.1328125</v>
      </c>
      <c r="AY7" s="2">
        <v>73720.9765625</v>
      </c>
      <c r="AZ7" s="2">
        <v>53285.50390625</v>
      </c>
      <c r="BA7" s="2">
        <v>92648.28125</v>
      </c>
      <c r="BB7" s="2">
        <v>99876.9375</v>
      </c>
      <c r="BC7" s="2" t="s">
        <v>91</v>
      </c>
      <c r="BD7" s="2" t="s">
        <v>91</v>
      </c>
      <c r="BE7" s="2" t="s">
        <v>91</v>
      </c>
      <c r="BF7" s="2" t="s">
        <v>91</v>
      </c>
      <c r="BG7" s="2" t="s">
        <v>91</v>
      </c>
      <c r="BH7" s="2" t="s">
        <v>98</v>
      </c>
      <c r="BI7" s="2" t="s">
        <v>91</v>
      </c>
      <c r="BJ7" s="2" t="s">
        <v>91</v>
      </c>
      <c r="BK7" s="2" t="s">
        <v>91</v>
      </c>
      <c r="BL7" s="2" t="s">
        <v>91</v>
      </c>
      <c r="BM7" s="2" t="s">
        <v>91</v>
      </c>
      <c r="BN7" s="2" t="s">
        <v>91</v>
      </c>
      <c r="BO7" s="2" t="s">
        <v>91</v>
      </c>
      <c r="BP7" s="2" t="s">
        <v>91</v>
      </c>
      <c r="BQ7" s="2" t="s">
        <v>91</v>
      </c>
      <c r="BR7" s="2" t="s">
        <v>79</v>
      </c>
      <c r="BS7" s="2" t="s">
        <v>91</v>
      </c>
      <c r="BT7" s="2" t="s">
        <v>91</v>
      </c>
      <c r="BU7" s="2" t="s">
        <v>91</v>
      </c>
      <c r="BV7" s="2" t="s">
        <v>91</v>
      </c>
      <c r="BW7" s="2" t="s">
        <v>91</v>
      </c>
      <c r="BX7" s="2" t="s">
        <v>91</v>
      </c>
      <c r="BY7" s="2" t="s">
        <v>91</v>
      </c>
      <c r="BZ7" s="2" t="s">
        <v>91</v>
      </c>
      <c r="CA7" s="2" t="s">
        <v>91</v>
      </c>
      <c r="CB7">
        <f>TTEST(AS7:AW7,AI7:AM7,2,2)</f>
        <v>1.8659868196141966E-4</v>
      </c>
      <c r="CC7">
        <f>TTEST(AD7:AH7,AI7:AM7,2,2)</f>
        <v>3.7064149774784723E-4</v>
      </c>
      <c r="CD7">
        <f>TTEST(AN7:AR7,AI7:AM7,2,2)</f>
        <v>3.0083970131529494E-2</v>
      </c>
      <c r="CE7">
        <f>TTEST(AX7:BB7,AI7:AM7,2,2)</f>
        <v>4.874148901186046E-8</v>
      </c>
      <c r="CF7">
        <v>75</v>
      </c>
      <c r="CG7">
        <v>122</v>
      </c>
      <c r="CH7">
        <v>113</v>
      </c>
      <c r="CI7">
        <v>6</v>
      </c>
      <c r="CJ7">
        <f>0.05*CF7/464</f>
        <v>8.0818965517241385E-3</v>
      </c>
      <c r="CK7">
        <f>0.05*CG7/464</f>
        <v>1.3146551724137933E-2</v>
      </c>
      <c r="CL7">
        <f>0.05*CH7/464</f>
        <v>1.2176724137931035E-2</v>
      </c>
      <c r="CM7">
        <f>0.05*CI7/464</f>
        <v>6.4655172413793113E-4</v>
      </c>
      <c r="CN7" t="str">
        <f>IF(CB7&lt;CJ7,"yes","no")</f>
        <v>yes</v>
      </c>
      <c r="CO7" t="str">
        <f>IF(CC7&lt;CK7,"yes","no")</f>
        <v>yes</v>
      </c>
      <c r="CP7" t="str">
        <f>IF(CD7&lt;CL7,"yes","no")</f>
        <v>no</v>
      </c>
      <c r="CQ7" t="str">
        <f>IF(CE7&lt;CM7,"yes","no")</f>
        <v>yes</v>
      </c>
      <c r="CR7">
        <f>TTEST(AS7:AW7,AD7:AH7,2,2)</f>
        <v>1.3807913536358012E-4</v>
      </c>
      <c r="CS7">
        <f>TTEST(AS7:AW7,AN7:AR7,2,2)</f>
        <v>2.4512310366525518E-5</v>
      </c>
      <c r="CT7">
        <f>TTEST(AS7:AW7,AX7:BB7,2,2)</f>
        <v>1.5970704514692685E-6</v>
      </c>
      <c r="CU7">
        <v>134</v>
      </c>
      <c r="CV7">
        <v>22</v>
      </c>
      <c r="CW7">
        <v>6</v>
      </c>
      <c r="CX7">
        <f t="shared" si="0"/>
        <v>1.4439655172413794E-2</v>
      </c>
      <c r="CY7">
        <f t="shared" si="1"/>
        <v>2.3706896551724142E-3</v>
      </c>
      <c r="CZ7">
        <f t="shared" si="2"/>
        <v>6.4655172413793113E-4</v>
      </c>
      <c r="DA7" t="str">
        <f>IF(CR7&lt;CX7,"yes","no")</f>
        <v>yes</v>
      </c>
      <c r="DB7" t="str">
        <f>IF(CS7&lt;CY7,"yes","no")</f>
        <v>yes</v>
      </c>
      <c r="DC7" t="str">
        <f>IF(CT7&lt;CZ7,"yes","no")</f>
        <v>yes</v>
      </c>
    </row>
    <row r="8" spans="1:107" x14ac:dyDescent="0.2">
      <c r="A8" s="2" t="b">
        <v>0</v>
      </c>
      <c r="B8" s="2" t="s">
        <v>79</v>
      </c>
      <c r="C8" s="2" t="s">
        <v>80</v>
      </c>
      <c r="D8" s="2" t="s">
        <v>1391</v>
      </c>
      <c r="E8" s="2" t="s">
        <v>1392</v>
      </c>
      <c r="F8" s="2">
        <v>1</v>
      </c>
      <c r="G8" s="2">
        <v>1</v>
      </c>
      <c r="H8" s="2">
        <v>24.6</v>
      </c>
      <c r="I8" s="2">
        <v>7.84</v>
      </c>
      <c r="J8" s="2" t="s">
        <v>1393</v>
      </c>
      <c r="K8" s="2" t="s">
        <v>136</v>
      </c>
      <c r="L8" s="2" t="s">
        <v>119</v>
      </c>
      <c r="M8" s="2" t="s">
        <v>83</v>
      </c>
      <c r="N8" s="2" t="s">
        <v>83</v>
      </c>
      <c r="O8" s="2">
        <v>100</v>
      </c>
      <c r="P8" s="2">
        <v>100</v>
      </c>
      <c r="Q8" s="2">
        <v>100</v>
      </c>
      <c r="R8" s="2" t="s">
        <v>83</v>
      </c>
      <c r="S8" s="2">
        <v>100</v>
      </c>
      <c r="T8" s="2">
        <v>100</v>
      </c>
      <c r="U8" s="2">
        <v>100</v>
      </c>
      <c r="V8" s="2">
        <v>19.850999999999999</v>
      </c>
      <c r="W8" s="2">
        <v>100</v>
      </c>
      <c r="X8" s="2">
        <v>61.674999999999997</v>
      </c>
      <c r="Y8" s="2" t="s">
        <v>83</v>
      </c>
      <c r="Z8" s="2" t="s">
        <v>83</v>
      </c>
      <c r="AA8" s="2">
        <v>0.4</v>
      </c>
      <c r="AB8" s="2">
        <v>7.6</v>
      </c>
      <c r="AC8" s="2">
        <v>492</v>
      </c>
      <c r="AD8" s="2" t="s">
        <v>83</v>
      </c>
      <c r="AE8" s="2" t="s">
        <v>83</v>
      </c>
      <c r="AF8" s="2" t="s">
        <v>83</v>
      </c>
      <c r="AG8" s="2" t="s">
        <v>83</v>
      </c>
      <c r="AH8" s="2" t="s">
        <v>83</v>
      </c>
      <c r="AI8" s="2" t="s">
        <v>83</v>
      </c>
      <c r="AJ8" s="2" t="s">
        <v>83</v>
      </c>
      <c r="AK8" s="2" t="s">
        <v>83</v>
      </c>
      <c r="AL8" s="2" t="s">
        <v>83</v>
      </c>
      <c r="AM8" s="2" t="s">
        <v>83</v>
      </c>
      <c r="AN8" s="2">
        <v>11318.73828125</v>
      </c>
      <c r="AO8" s="2">
        <v>10912.4765625</v>
      </c>
      <c r="AP8" s="2">
        <v>11990.166015625</v>
      </c>
      <c r="AQ8" s="2">
        <v>9225.2802734375</v>
      </c>
      <c r="AR8" s="2">
        <v>19554.08984375</v>
      </c>
      <c r="AS8" s="2">
        <v>4332297</v>
      </c>
      <c r="AT8" s="2">
        <v>2791493.25</v>
      </c>
      <c r="AU8" s="2">
        <v>1651285.625</v>
      </c>
      <c r="AV8" s="2">
        <v>1641190.875</v>
      </c>
      <c r="AW8" s="2">
        <v>1624135.375</v>
      </c>
      <c r="AX8" s="2">
        <v>43538028</v>
      </c>
      <c r="AY8" s="2">
        <v>51760972</v>
      </c>
      <c r="AZ8" s="2">
        <v>45773832</v>
      </c>
      <c r="BA8" s="2">
        <v>49433904</v>
      </c>
      <c r="BB8" s="2">
        <v>32034080</v>
      </c>
      <c r="BC8" s="2" t="s">
        <v>98</v>
      </c>
      <c r="BD8" s="2" t="s">
        <v>98</v>
      </c>
      <c r="BE8" s="2" t="s">
        <v>98</v>
      </c>
      <c r="BF8" s="2" t="s">
        <v>98</v>
      </c>
      <c r="BG8" s="2" t="s">
        <v>98</v>
      </c>
      <c r="BH8" s="2" t="s">
        <v>98</v>
      </c>
      <c r="BI8" s="2" t="s">
        <v>98</v>
      </c>
      <c r="BJ8" s="2" t="s">
        <v>98</v>
      </c>
      <c r="BK8" s="2" t="s">
        <v>98</v>
      </c>
      <c r="BL8" s="2" t="s">
        <v>98</v>
      </c>
      <c r="BM8" s="2" t="s">
        <v>91</v>
      </c>
      <c r="BN8" s="2" t="s">
        <v>91</v>
      </c>
      <c r="BO8" s="2" t="s">
        <v>91</v>
      </c>
      <c r="BP8" s="2" t="s">
        <v>91</v>
      </c>
      <c r="BQ8" s="2" t="s">
        <v>91</v>
      </c>
      <c r="BR8" s="2" t="s">
        <v>79</v>
      </c>
      <c r="BS8" s="2" t="s">
        <v>91</v>
      </c>
      <c r="BT8" s="2" t="s">
        <v>91</v>
      </c>
      <c r="BU8" s="2" t="s">
        <v>79</v>
      </c>
      <c r="BV8" s="2" t="s">
        <v>91</v>
      </c>
      <c r="BW8" s="2" t="s">
        <v>91</v>
      </c>
      <c r="BX8" s="2" t="s">
        <v>79</v>
      </c>
      <c r="BY8" s="2" t="s">
        <v>91</v>
      </c>
      <c r="BZ8" s="2" t="s">
        <v>91</v>
      </c>
      <c r="CA8" s="2" t="s">
        <v>91</v>
      </c>
      <c r="CB8" t="e">
        <f>TTEST(AS8:AW8,AI8:AM8,2,2)</f>
        <v>#DIV/0!</v>
      </c>
      <c r="CC8" t="e">
        <f>TTEST(AD8:AH8,AI8:AM8,2,2)</f>
        <v>#DIV/0!</v>
      </c>
      <c r="CD8" t="e">
        <f>TTEST(AN8:AR8,AI8:AM8,2,2)</f>
        <v>#DIV/0!</v>
      </c>
      <c r="CE8" t="e">
        <f>TTEST(AX8:BB8,AI8:AM8,2,2)</f>
        <v>#DIV/0!</v>
      </c>
      <c r="CF8">
        <v>418</v>
      </c>
      <c r="CG8">
        <v>432</v>
      </c>
      <c r="CH8">
        <v>436</v>
      </c>
      <c r="CI8">
        <v>225</v>
      </c>
      <c r="CJ8">
        <f>0.05*CF8/464</f>
        <v>4.5043103448275869E-2</v>
      </c>
      <c r="CK8">
        <f>0.05*CG8/464</f>
        <v>4.6551724137931037E-2</v>
      </c>
      <c r="CL8">
        <f>0.05*CH8/464</f>
        <v>4.6982758620689659E-2</v>
      </c>
      <c r="CM8">
        <f>0.05*CI8/464</f>
        <v>2.4245689655172414E-2</v>
      </c>
      <c r="CN8" t="e">
        <f>IF(CB8&lt;CJ8,"yes","no")</f>
        <v>#DIV/0!</v>
      </c>
      <c r="CO8" t="e">
        <f>IF(CC8&lt;CK8,"yes","no")</f>
        <v>#DIV/0!</v>
      </c>
      <c r="CP8" t="e">
        <f>IF(CD8&lt;CL8,"yes","no")</f>
        <v>#DIV/0!</v>
      </c>
      <c r="CQ8" t="e">
        <f>IF(CE8&lt;CM8,"yes","no")</f>
        <v>#DIV/0!</v>
      </c>
      <c r="CR8" t="e">
        <f>TTEST(AS8:AW8,AD8:AH8,2,2)</f>
        <v>#DIV/0!</v>
      </c>
      <c r="CS8">
        <f>TTEST(AS8:AW8,AN8:AR8,2,2)</f>
        <v>1.9578520267100061E-3</v>
      </c>
      <c r="CT8">
        <f>TTEST(AS8:AW8,AX8:BB8,2,2)</f>
        <v>1.9659206002546866E-6</v>
      </c>
      <c r="CU8">
        <v>436</v>
      </c>
      <c r="CV8">
        <v>102</v>
      </c>
      <c r="CW8">
        <v>7</v>
      </c>
      <c r="CX8">
        <f t="shared" si="0"/>
        <v>4.6982758620689659E-2</v>
      </c>
      <c r="CY8">
        <f t="shared" si="1"/>
        <v>1.0991379310344829E-2</v>
      </c>
      <c r="CZ8">
        <f t="shared" si="2"/>
        <v>7.543103448275863E-4</v>
      </c>
      <c r="DA8" t="e">
        <f>IF(CR8&lt;CX8,"yes","no")</f>
        <v>#DIV/0!</v>
      </c>
      <c r="DB8" t="str">
        <f>IF(CS8&lt;CY8,"yes","no")</f>
        <v>yes</v>
      </c>
      <c r="DC8" t="str">
        <f>IF(CT8&lt;CZ8,"yes","no")</f>
        <v>yes</v>
      </c>
    </row>
    <row r="9" spans="1:107" x14ac:dyDescent="0.2">
      <c r="A9" s="2" t="b">
        <v>0</v>
      </c>
      <c r="B9" s="2" t="s">
        <v>79</v>
      </c>
      <c r="C9" s="2" t="s">
        <v>80</v>
      </c>
      <c r="D9" s="2" t="s">
        <v>471</v>
      </c>
      <c r="E9" s="2" t="s">
        <v>472</v>
      </c>
      <c r="F9" s="2">
        <v>6</v>
      </c>
      <c r="G9" s="2">
        <v>3</v>
      </c>
      <c r="H9" s="2">
        <v>75.5</v>
      </c>
      <c r="I9" s="2">
        <v>7.01</v>
      </c>
      <c r="J9" s="2" t="s">
        <v>89</v>
      </c>
      <c r="K9" s="2" t="s">
        <v>84</v>
      </c>
      <c r="L9" s="2" t="s">
        <v>85</v>
      </c>
      <c r="M9" s="2" t="s">
        <v>473</v>
      </c>
      <c r="N9" s="2" t="s">
        <v>471</v>
      </c>
      <c r="O9" s="2">
        <v>3.5819999999999999</v>
      </c>
      <c r="P9" s="2">
        <v>0.88200000000000001</v>
      </c>
      <c r="Q9" s="2">
        <v>0.33300000000000002</v>
      </c>
      <c r="R9" s="2">
        <v>2.1819999999999999</v>
      </c>
      <c r="S9" s="2">
        <v>9.0500000000000007</v>
      </c>
      <c r="T9" s="2">
        <v>2.27</v>
      </c>
      <c r="U9" s="2">
        <v>0.98499999999999999</v>
      </c>
      <c r="V9" s="2">
        <v>0.29299999999999998</v>
      </c>
      <c r="W9" s="2">
        <v>0.108</v>
      </c>
      <c r="X9" s="2">
        <v>0.33800000000000002</v>
      </c>
      <c r="Y9" s="2">
        <v>90.9</v>
      </c>
      <c r="Z9" s="2">
        <v>29.2</v>
      </c>
      <c r="AA9" s="2">
        <v>276.39999999999998</v>
      </c>
      <c r="AB9" s="2">
        <v>80.5</v>
      </c>
      <c r="AC9" s="2">
        <v>23.1</v>
      </c>
      <c r="AD9" s="2">
        <v>3182586.59375</v>
      </c>
      <c r="AE9" s="2">
        <v>2645040.59375</v>
      </c>
      <c r="AF9" s="2">
        <v>2612197.015625</v>
      </c>
      <c r="AG9" s="2">
        <v>2121532.7578125</v>
      </c>
      <c r="AH9" s="2">
        <v>2472236.828125</v>
      </c>
      <c r="AI9" s="2">
        <v>22881.947265625</v>
      </c>
      <c r="AJ9" s="2" t="s">
        <v>83</v>
      </c>
      <c r="AK9" s="2">
        <v>13785.6396484375</v>
      </c>
      <c r="AL9" s="2">
        <v>18101.6064453125</v>
      </c>
      <c r="AM9" s="2">
        <v>16520.3447265625</v>
      </c>
      <c r="AN9" s="2">
        <v>137680.91796875</v>
      </c>
      <c r="AO9" s="2">
        <v>96895.8203125</v>
      </c>
      <c r="AP9" s="2">
        <v>199478.18261718799</v>
      </c>
      <c r="AQ9" s="2">
        <v>172527.35693359401</v>
      </c>
      <c r="AR9" s="2">
        <v>341045.9921875</v>
      </c>
      <c r="AS9" s="2">
        <v>319545.15234375</v>
      </c>
      <c r="AT9" s="2">
        <v>469389.796875</v>
      </c>
      <c r="AU9" s="2">
        <v>329360.82421875</v>
      </c>
      <c r="AV9" s="2">
        <v>355859.73828125</v>
      </c>
      <c r="AW9" s="2">
        <v>412206.29296875</v>
      </c>
      <c r="AX9" s="2">
        <v>27839.875</v>
      </c>
      <c r="AY9" s="2">
        <v>31517.05859375</v>
      </c>
      <c r="AZ9" s="2">
        <v>65552.8984375</v>
      </c>
      <c r="BA9" s="2">
        <v>44669.84375</v>
      </c>
      <c r="BB9" s="2">
        <v>33458.6015625</v>
      </c>
      <c r="BC9" s="2" t="s">
        <v>79</v>
      </c>
      <c r="BD9" s="2" t="s">
        <v>79</v>
      </c>
      <c r="BE9" s="2" t="s">
        <v>79</v>
      </c>
      <c r="BF9" s="2" t="s">
        <v>79</v>
      </c>
      <c r="BG9" s="2" t="s">
        <v>79</v>
      </c>
      <c r="BH9" s="2" t="s">
        <v>91</v>
      </c>
      <c r="BI9" s="2" t="s">
        <v>98</v>
      </c>
      <c r="BJ9" s="2" t="s">
        <v>91</v>
      </c>
      <c r="BK9" s="2" t="s">
        <v>91</v>
      </c>
      <c r="BL9" s="2" t="s">
        <v>91</v>
      </c>
      <c r="BM9" s="2" t="s">
        <v>79</v>
      </c>
      <c r="BN9" s="2" t="s">
        <v>79</v>
      </c>
      <c r="BO9" s="2" t="s">
        <v>79</v>
      </c>
      <c r="BP9" s="2" t="s">
        <v>91</v>
      </c>
      <c r="BQ9" s="2" t="s">
        <v>79</v>
      </c>
      <c r="BR9" s="2" t="s">
        <v>79</v>
      </c>
      <c r="BS9" s="2" t="s">
        <v>79</v>
      </c>
      <c r="BT9" s="2" t="s">
        <v>79</v>
      </c>
      <c r="BU9" s="2" t="s">
        <v>79</v>
      </c>
      <c r="BV9" s="2" t="s">
        <v>79</v>
      </c>
      <c r="BW9" s="2" t="s">
        <v>91</v>
      </c>
      <c r="BX9" s="2" t="s">
        <v>91</v>
      </c>
      <c r="BY9" s="2" t="s">
        <v>91</v>
      </c>
      <c r="BZ9" s="2" t="s">
        <v>91</v>
      </c>
      <c r="CA9" s="2" t="s">
        <v>91</v>
      </c>
      <c r="CB9">
        <f>TTEST(AS9:AW9,AI9:AM9,2,2)</f>
        <v>9.7028217615809521E-6</v>
      </c>
      <c r="CC9">
        <f>TTEST(AD9:AH9,AI9:AM9,2,2)</f>
        <v>3.1296773781128199E-6</v>
      </c>
      <c r="CD9">
        <f>TTEST(AN9:AR9,AI9:AM9,2,2)</f>
        <v>8.3132390809741857E-3</v>
      </c>
      <c r="CE9">
        <f>TTEST(AX9:BB9,AI9:AM9,2,2)</f>
        <v>2.3928674667444787E-2</v>
      </c>
      <c r="CF9">
        <v>24</v>
      </c>
      <c r="CG9">
        <v>71</v>
      </c>
      <c r="CH9">
        <v>93</v>
      </c>
      <c r="CI9">
        <v>96</v>
      </c>
      <c r="CJ9">
        <f>0.05*CF9/464</f>
        <v>2.5862068965517245E-3</v>
      </c>
      <c r="CK9">
        <f>0.05*CG9/464</f>
        <v>7.6508620689655178E-3</v>
      </c>
      <c r="CL9">
        <f>0.05*CH9/464</f>
        <v>1.0021551724137932E-2</v>
      </c>
      <c r="CM9">
        <f>0.05*CI9/464</f>
        <v>1.0344827586206898E-2</v>
      </c>
      <c r="CN9" t="str">
        <f>IF(CB9&lt;CJ9,"yes","no")</f>
        <v>yes</v>
      </c>
      <c r="CO9" t="str">
        <f>IF(CC9&lt;CK9,"yes","no")</f>
        <v>yes</v>
      </c>
      <c r="CP9" t="str">
        <f>IF(CD9&lt;CL9,"yes","no")</f>
        <v>yes</v>
      </c>
      <c r="CQ9" t="str">
        <f>IF(CE9&lt;CM9,"yes","no")</f>
        <v>no</v>
      </c>
      <c r="CR9">
        <f>TTEST(AS9:AW9,AD9:AH9,2,2)</f>
        <v>1.2736005218653702E-6</v>
      </c>
      <c r="CS9">
        <f>TTEST(AS9:AW9,AN9:AR9,2,2)</f>
        <v>5.7074595329579666E-3</v>
      </c>
      <c r="CT9">
        <f>TTEST(AS9:AW9,AX9:BB9,2,2)</f>
        <v>2.7012897799199555E-6</v>
      </c>
      <c r="CU9">
        <v>59</v>
      </c>
      <c r="CV9">
        <v>121</v>
      </c>
      <c r="CW9">
        <v>8</v>
      </c>
      <c r="CX9">
        <f t="shared" si="0"/>
        <v>6.3577586206896557E-3</v>
      </c>
      <c r="CY9">
        <f t="shared" si="1"/>
        <v>1.3038793103448278E-2</v>
      </c>
      <c r="CZ9">
        <f t="shared" si="2"/>
        <v>8.6206896551724148E-4</v>
      </c>
      <c r="DA9" t="str">
        <f>IF(CR9&lt;CX9,"yes","no")</f>
        <v>yes</v>
      </c>
      <c r="DB9" t="str">
        <f>IF(CS9&lt;CY9,"yes","no")</f>
        <v>yes</v>
      </c>
      <c r="DC9" t="str">
        <f>IF(CT9&lt;CZ9,"yes","no")</f>
        <v>yes</v>
      </c>
    </row>
    <row r="10" spans="1:107" x14ac:dyDescent="0.2">
      <c r="A10" s="2" t="b">
        <v>0</v>
      </c>
      <c r="B10" s="2" t="s">
        <v>79</v>
      </c>
      <c r="C10" s="2" t="s">
        <v>80</v>
      </c>
      <c r="D10" s="2" t="s">
        <v>526</v>
      </c>
      <c r="E10" s="2" t="s">
        <v>527</v>
      </c>
      <c r="F10" s="2">
        <v>7</v>
      </c>
      <c r="G10" s="2">
        <v>7</v>
      </c>
      <c r="H10" s="2">
        <v>54.8</v>
      </c>
      <c r="I10" s="2">
        <v>6.13</v>
      </c>
      <c r="J10" s="2" t="s">
        <v>528</v>
      </c>
      <c r="K10" s="2" t="s">
        <v>136</v>
      </c>
      <c r="L10" s="2" t="s">
        <v>83</v>
      </c>
      <c r="M10" s="2" t="s">
        <v>529</v>
      </c>
      <c r="N10" s="2" t="s">
        <v>526</v>
      </c>
      <c r="O10" s="2">
        <v>0.71799999999999997</v>
      </c>
      <c r="P10" s="2">
        <v>0.71399999999999997</v>
      </c>
      <c r="Q10" s="2">
        <v>0.34100000000000003</v>
      </c>
      <c r="R10" s="2">
        <v>1.498</v>
      </c>
      <c r="S10" s="2">
        <v>1.252</v>
      </c>
      <c r="T10" s="2">
        <v>1.08</v>
      </c>
      <c r="U10" s="2">
        <v>0.45900000000000002</v>
      </c>
      <c r="V10" s="2">
        <v>1.1100000000000001</v>
      </c>
      <c r="W10" s="2">
        <v>0.58899999999999997</v>
      </c>
      <c r="X10" s="2">
        <v>0.373</v>
      </c>
      <c r="Y10" s="2">
        <v>137</v>
      </c>
      <c r="Z10" s="2">
        <v>81.599999999999994</v>
      </c>
      <c r="AA10" s="2">
        <v>195.8</v>
      </c>
      <c r="AB10" s="2">
        <v>68.900000000000006</v>
      </c>
      <c r="AC10" s="2">
        <v>16.7</v>
      </c>
      <c r="AD10" s="2">
        <v>16536131.0703125</v>
      </c>
      <c r="AE10" s="2">
        <v>14734155.9921875</v>
      </c>
      <c r="AF10" s="2">
        <v>14340954.4921875</v>
      </c>
      <c r="AG10" s="2">
        <v>8992413.54296875</v>
      </c>
      <c r="AH10" s="2">
        <v>9411151.84375</v>
      </c>
      <c r="AI10" s="2">
        <v>299617.43066406302</v>
      </c>
      <c r="AJ10" s="2">
        <v>150289.205078125</v>
      </c>
      <c r="AK10" s="2">
        <v>149005.6484375</v>
      </c>
      <c r="AL10" s="2">
        <v>185719.50097656299</v>
      </c>
      <c r="AM10" s="2">
        <v>142722.31787109401</v>
      </c>
      <c r="AN10" s="2">
        <v>363336.64355468802</v>
      </c>
      <c r="AO10" s="2">
        <v>366335.25268554699</v>
      </c>
      <c r="AP10" s="2">
        <v>414539.912109375</v>
      </c>
      <c r="AQ10" s="2">
        <v>363884.90722656302</v>
      </c>
      <c r="AR10" s="2">
        <v>524466.36230468797</v>
      </c>
      <c r="AS10" s="2">
        <v>1011956.00390625</v>
      </c>
      <c r="AT10" s="2">
        <v>1420321.6347656299</v>
      </c>
      <c r="AU10" s="2">
        <v>931597.76953125</v>
      </c>
      <c r="AV10" s="2">
        <v>1085117.6308593799</v>
      </c>
      <c r="AW10" s="2">
        <v>1215750.2578125</v>
      </c>
      <c r="AX10" s="2">
        <v>142617.55761718799</v>
      </c>
      <c r="AY10" s="2">
        <v>161589.353515625</v>
      </c>
      <c r="AZ10" s="2">
        <v>91455.0546875</v>
      </c>
      <c r="BA10" s="2">
        <v>87376.708984375</v>
      </c>
      <c r="BB10" s="2">
        <v>29464.53515625</v>
      </c>
      <c r="BC10" s="2" t="s">
        <v>79</v>
      </c>
      <c r="BD10" s="2" t="s">
        <v>79</v>
      </c>
      <c r="BE10" s="2" t="s">
        <v>79</v>
      </c>
      <c r="BF10" s="2" t="s">
        <v>79</v>
      </c>
      <c r="BG10" s="2" t="s">
        <v>79</v>
      </c>
      <c r="BH10" s="2" t="s">
        <v>79</v>
      </c>
      <c r="BI10" s="2" t="s">
        <v>79</v>
      </c>
      <c r="BJ10" s="2" t="s">
        <v>79</v>
      </c>
      <c r="BK10" s="2" t="s">
        <v>79</v>
      </c>
      <c r="BL10" s="2" t="s">
        <v>79</v>
      </c>
      <c r="BM10" s="2" t="s">
        <v>79</v>
      </c>
      <c r="BN10" s="2" t="s">
        <v>79</v>
      </c>
      <c r="BO10" s="2" t="s">
        <v>79</v>
      </c>
      <c r="BP10" s="2" t="s">
        <v>79</v>
      </c>
      <c r="BQ10" s="2" t="s">
        <v>79</v>
      </c>
      <c r="BR10" s="2" t="s">
        <v>79</v>
      </c>
      <c r="BS10" s="2" t="s">
        <v>79</v>
      </c>
      <c r="BT10" s="2" t="s">
        <v>79</v>
      </c>
      <c r="BU10" s="2" t="s">
        <v>79</v>
      </c>
      <c r="BV10" s="2" t="s">
        <v>79</v>
      </c>
      <c r="BW10" s="2" t="s">
        <v>91</v>
      </c>
      <c r="BX10" s="2" t="s">
        <v>91</v>
      </c>
      <c r="BY10" s="2" t="s">
        <v>91</v>
      </c>
      <c r="BZ10" s="2" t="s">
        <v>91</v>
      </c>
      <c r="CA10" s="2" t="s">
        <v>91</v>
      </c>
      <c r="CB10">
        <f>TTEST(AS10:AW10,AI10:AM10,2,2)</f>
        <v>6.0938933160947907E-6</v>
      </c>
      <c r="CC10">
        <f>TTEST(AD10:AH10,AI10:AM10,2,2)</f>
        <v>3.3090664120639135E-5</v>
      </c>
      <c r="CD10">
        <f>TTEST(AN10:AR10,AI10:AM10,2,2)</f>
        <v>8.633838345403072E-4</v>
      </c>
      <c r="CE10">
        <f>TTEST(AX10:BB10,AI10:AM10,2,2)</f>
        <v>5.8154224771535409E-2</v>
      </c>
      <c r="CF10">
        <v>20</v>
      </c>
      <c r="CG10">
        <v>92</v>
      </c>
      <c r="CH10">
        <v>72</v>
      </c>
      <c r="CI10">
        <v>108</v>
      </c>
      <c r="CJ10">
        <f>0.05*CF10/464</f>
        <v>2.1551724137931034E-3</v>
      </c>
      <c r="CK10">
        <f>0.05*CG10/464</f>
        <v>9.9137931034482766E-3</v>
      </c>
      <c r="CL10">
        <f>0.05*CH10/464</f>
        <v>7.7586206896551723E-3</v>
      </c>
      <c r="CM10">
        <f>0.05*CI10/464</f>
        <v>1.1637931034482759E-2</v>
      </c>
      <c r="CN10" t="str">
        <f>IF(CB10&lt;CJ10,"yes","no")</f>
        <v>yes</v>
      </c>
      <c r="CO10" t="str">
        <f>IF(CC10&lt;CK10,"yes","no")</f>
        <v>yes</v>
      </c>
      <c r="CP10" t="str">
        <f>IF(CD10&lt;CL10,"yes","no")</f>
        <v>yes</v>
      </c>
      <c r="CQ10" t="str">
        <f>IF(CE10&lt;CM10,"yes","no")</f>
        <v>no</v>
      </c>
      <c r="CR10">
        <f>TTEST(AS10:AW10,AD10:AH10,2,2)</f>
        <v>5.8619662438383399E-5</v>
      </c>
      <c r="CS10">
        <f>TTEST(AS10:AW10,AN10:AR10,2,2)</f>
        <v>4.4892696865617027E-5</v>
      </c>
      <c r="CT10">
        <f>TTEST(AS10:AW10,AX10:BB10,2,2)</f>
        <v>2.7662232397933095E-6</v>
      </c>
      <c r="CU10">
        <v>120</v>
      </c>
      <c r="CV10">
        <v>30</v>
      </c>
      <c r="CW10">
        <v>9</v>
      </c>
      <c r="CX10">
        <f t="shared" si="0"/>
        <v>1.2931034482758621E-2</v>
      </c>
      <c r="CY10">
        <f t="shared" si="1"/>
        <v>3.2327586206896551E-3</v>
      </c>
      <c r="CZ10">
        <f t="shared" si="2"/>
        <v>9.6982758620689654E-4</v>
      </c>
      <c r="DA10" t="str">
        <f>IF(CR10&lt;CX10,"yes","no")</f>
        <v>yes</v>
      </c>
      <c r="DB10" t="str">
        <f>IF(CS10&lt;CY10,"yes","no")</f>
        <v>yes</v>
      </c>
      <c r="DC10" t="str">
        <f>IF(CT10&lt;CZ10,"yes","no")</f>
        <v>yes</v>
      </c>
    </row>
    <row r="11" spans="1:107" x14ac:dyDescent="0.2">
      <c r="A11" s="2" t="b">
        <v>0</v>
      </c>
      <c r="B11" s="2" t="s">
        <v>79</v>
      </c>
      <c r="C11" s="2" t="s">
        <v>80</v>
      </c>
      <c r="D11" s="2" t="s">
        <v>530</v>
      </c>
      <c r="E11" s="2" t="s">
        <v>531</v>
      </c>
      <c r="F11" s="2">
        <v>3</v>
      </c>
      <c r="G11" s="2">
        <v>1</v>
      </c>
      <c r="H11" s="2">
        <v>13</v>
      </c>
      <c r="I11" s="2">
        <v>7.78</v>
      </c>
      <c r="J11" s="2" t="s">
        <v>254</v>
      </c>
      <c r="K11" s="2" t="s">
        <v>319</v>
      </c>
      <c r="L11" s="2" t="s">
        <v>83</v>
      </c>
      <c r="M11" s="2" t="s">
        <v>83</v>
      </c>
      <c r="N11" s="2" t="s">
        <v>532</v>
      </c>
      <c r="O11" s="2">
        <v>3.5720000000000001</v>
      </c>
      <c r="P11" s="2">
        <v>0.91600000000000004</v>
      </c>
      <c r="Q11" s="2">
        <v>0.51300000000000001</v>
      </c>
      <c r="R11" s="2">
        <v>1.1970000000000001</v>
      </c>
      <c r="S11" s="2">
        <v>3.3610000000000002</v>
      </c>
      <c r="T11" s="2">
        <v>1.1140000000000001</v>
      </c>
      <c r="U11" s="2">
        <v>0.61399999999999999</v>
      </c>
      <c r="V11" s="2">
        <v>0.314</v>
      </c>
      <c r="W11" s="2">
        <v>0.184</v>
      </c>
      <c r="X11" s="2">
        <v>0.55900000000000005</v>
      </c>
      <c r="Y11" s="2">
        <v>82.2</v>
      </c>
      <c r="Z11" s="2">
        <v>68.7</v>
      </c>
      <c r="AA11" s="2">
        <v>231.7</v>
      </c>
      <c r="AB11" s="2">
        <v>75.3</v>
      </c>
      <c r="AC11" s="2">
        <v>42.2</v>
      </c>
      <c r="AD11" s="2">
        <v>21501967.328125</v>
      </c>
      <c r="AE11" s="2">
        <v>16760992.71875</v>
      </c>
      <c r="AF11" s="2">
        <v>16840315.5234375</v>
      </c>
      <c r="AG11" s="2">
        <v>16586763.5742188</v>
      </c>
      <c r="AH11" s="2">
        <v>13421325.078125</v>
      </c>
      <c r="AI11" s="2">
        <v>358621.26269531302</v>
      </c>
      <c r="AJ11" s="2">
        <v>272334.61035156302</v>
      </c>
      <c r="AK11" s="2">
        <v>263891.06347656302</v>
      </c>
      <c r="AL11" s="2">
        <v>307606.85546875</v>
      </c>
      <c r="AM11" s="2">
        <v>255078.5078125</v>
      </c>
      <c r="AN11" s="2">
        <v>835185.81542968797</v>
      </c>
      <c r="AO11" s="2">
        <v>963829.103515625</v>
      </c>
      <c r="AP11" s="2">
        <v>1205456.33984375</v>
      </c>
      <c r="AQ11" s="2">
        <v>960535.353515625</v>
      </c>
      <c r="AR11" s="2">
        <v>1310756.53515625</v>
      </c>
      <c r="AS11" s="2">
        <v>2372905.6875</v>
      </c>
      <c r="AT11" s="2">
        <v>3389211.125</v>
      </c>
      <c r="AU11" s="2">
        <v>2358267.7548828102</v>
      </c>
      <c r="AV11" s="2">
        <v>2418720.375</v>
      </c>
      <c r="AW11" s="2">
        <v>2609334.8535156301</v>
      </c>
      <c r="AX11" s="2">
        <v>462912.671875</v>
      </c>
      <c r="AY11" s="2">
        <v>452278.59375</v>
      </c>
      <c r="AZ11" s="2">
        <v>576155.328125</v>
      </c>
      <c r="BA11" s="2">
        <v>466716.015625</v>
      </c>
      <c r="BB11" s="2">
        <v>422464.2109375</v>
      </c>
      <c r="BC11" s="2" t="s">
        <v>79</v>
      </c>
      <c r="BD11" s="2" t="s">
        <v>98</v>
      </c>
      <c r="BE11" s="2" t="s">
        <v>91</v>
      </c>
      <c r="BF11" s="2" t="s">
        <v>79</v>
      </c>
      <c r="BG11" s="2" t="s">
        <v>79</v>
      </c>
      <c r="BH11" s="2" t="s">
        <v>98</v>
      </c>
      <c r="BI11" s="2" t="s">
        <v>98</v>
      </c>
      <c r="BJ11" s="2" t="s">
        <v>98</v>
      </c>
      <c r="BK11" s="2" t="s">
        <v>98</v>
      </c>
      <c r="BL11" s="2" t="s">
        <v>98</v>
      </c>
      <c r="BM11" s="2" t="s">
        <v>91</v>
      </c>
      <c r="BN11" s="2" t="s">
        <v>91</v>
      </c>
      <c r="BO11" s="2" t="s">
        <v>91</v>
      </c>
      <c r="BP11" s="2" t="s">
        <v>91</v>
      </c>
      <c r="BQ11" s="2" t="s">
        <v>91</v>
      </c>
      <c r="BR11" s="2" t="s">
        <v>98</v>
      </c>
      <c r="BS11" s="2" t="s">
        <v>98</v>
      </c>
      <c r="BT11" s="2" t="s">
        <v>91</v>
      </c>
      <c r="BU11" s="2" t="s">
        <v>98</v>
      </c>
      <c r="BV11" s="2" t="s">
        <v>91</v>
      </c>
      <c r="BW11" s="2" t="s">
        <v>98</v>
      </c>
      <c r="BX11" s="2" t="s">
        <v>98</v>
      </c>
      <c r="BY11" s="2" t="s">
        <v>98</v>
      </c>
      <c r="BZ11" s="2" t="s">
        <v>98</v>
      </c>
      <c r="CA11" s="2" t="s">
        <v>98</v>
      </c>
      <c r="CB11">
        <f>TTEST(AS11:AW11,AI11:AM11,2,2)</f>
        <v>2.2456828919465964E-6</v>
      </c>
      <c r="CC11">
        <f>TTEST(AD11:AH11,AI11:AM11,2,2)</f>
        <v>1.1903538231079787E-6</v>
      </c>
      <c r="CD11">
        <f>TTEST(AN11:AR11,AI11:AM11,2,2)</f>
        <v>2.7772053906653082E-5</v>
      </c>
      <c r="CE11">
        <f>TTEST(AX11:BB11,AI11:AM11,2,2)</f>
        <v>4.5163154822035835E-4</v>
      </c>
      <c r="CF11">
        <v>9</v>
      </c>
      <c r="CG11">
        <v>56</v>
      </c>
      <c r="CH11">
        <v>33</v>
      </c>
      <c r="CI11">
        <v>46</v>
      </c>
      <c r="CJ11">
        <f>0.05*CF11/464</f>
        <v>9.6982758620689654E-4</v>
      </c>
      <c r="CK11">
        <f>0.05*CG11/464</f>
        <v>6.0344827586206904E-3</v>
      </c>
      <c r="CL11">
        <f>0.05*CH11/464</f>
        <v>3.5560344827586209E-3</v>
      </c>
      <c r="CM11">
        <f>0.05*CI11/464</f>
        <v>4.9568965517241383E-3</v>
      </c>
      <c r="CN11" t="str">
        <f>IF(CB11&lt;CJ11,"yes","no")</f>
        <v>yes</v>
      </c>
      <c r="CO11" t="str">
        <f>IF(CC11&lt;CK11,"yes","no")</f>
        <v>yes</v>
      </c>
      <c r="CP11" t="str">
        <f>IF(CD11&lt;CL11,"yes","no")</f>
        <v>yes</v>
      </c>
      <c r="CQ11" t="str">
        <f>IF(CE11&lt;CM11,"yes","no")</f>
        <v>yes</v>
      </c>
      <c r="CR11">
        <f>TTEST(AS11:AW11,AD11:AH11,2,2)</f>
        <v>4.0796360614255054E-6</v>
      </c>
      <c r="CS11">
        <f>TTEST(AS11:AW11,AN11:AR11,2,2)</f>
        <v>7.9074020956685899E-5</v>
      </c>
      <c r="CT11">
        <f>TTEST(AS11:AW11,AX11:BB11,2,2)</f>
        <v>4.325678627370053E-6</v>
      </c>
      <c r="CU11">
        <v>76</v>
      </c>
      <c r="CV11">
        <v>37</v>
      </c>
      <c r="CW11">
        <v>10</v>
      </c>
      <c r="CX11">
        <f t="shared" si="0"/>
        <v>8.1896551724137939E-3</v>
      </c>
      <c r="CY11">
        <f t="shared" si="1"/>
        <v>3.9870689655172415E-3</v>
      </c>
      <c r="CZ11">
        <f t="shared" si="2"/>
        <v>1.0775862068965517E-3</v>
      </c>
      <c r="DA11" t="str">
        <f>IF(CR11&lt;CX11,"yes","no")</f>
        <v>yes</v>
      </c>
      <c r="DB11" t="str">
        <f>IF(CS11&lt;CY11,"yes","no")</f>
        <v>yes</v>
      </c>
      <c r="DC11" t="str">
        <f>IF(CT11&lt;CZ11,"yes","no")</f>
        <v>yes</v>
      </c>
    </row>
    <row r="12" spans="1:107" x14ac:dyDescent="0.2">
      <c r="A12" s="2" t="b">
        <v>0</v>
      </c>
      <c r="B12" s="2" t="s">
        <v>79</v>
      </c>
      <c r="C12" s="2" t="s">
        <v>80</v>
      </c>
      <c r="D12" s="2" t="s">
        <v>1102</v>
      </c>
      <c r="E12" s="2" t="s">
        <v>1103</v>
      </c>
      <c r="F12" s="2">
        <v>2</v>
      </c>
      <c r="G12" s="2">
        <v>2</v>
      </c>
      <c r="H12" s="2">
        <v>22.1</v>
      </c>
      <c r="I12" s="2">
        <v>7.72</v>
      </c>
      <c r="J12" s="2" t="s">
        <v>83</v>
      </c>
      <c r="K12" s="2" t="s">
        <v>83</v>
      </c>
      <c r="L12" s="2" t="s">
        <v>119</v>
      </c>
      <c r="M12" s="2" t="s">
        <v>83</v>
      </c>
      <c r="N12" s="2" t="s">
        <v>1102</v>
      </c>
      <c r="O12" s="2">
        <v>17.722000000000001</v>
      </c>
      <c r="P12" s="2">
        <v>0.46100000000000002</v>
      </c>
      <c r="Q12" s="2">
        <v>1.8220000000000001</v>
      </c>
      <c r="R12" s="2">
        <v>0.40500000000000003</v>
      </c>
      <c r="S12" s="2">
        <v>7.1710000000000003</v>
      </c>
      <c r="T12" s="2">
        <v>0.187</v>
      </c>
      <c r="U12" s="2">
        <v>0.73699999999999999</v>
      </c>
      <c r="V12" s="2">
        <v>2.5999999999999999E-2</v>
      </c>
      <c r="W12" s="2">
        <v>0.10299999999999999</v>
      </c>
      <c r="X12" s="2">
        <v>23.623999999999999</v>
      </c>
      <c r="Y12" s="2">
        <v>1</v>
      </c>
      <c r="Z12" s="2">
        <v>2.5</v>
      </c>
      <c r="AA12" s="2">
        <v>17.899999999999999</v>
      </c>
      <c r="AB12" s="2">
        <v>19.2</v>
      </c>
      <c r="AC12" s="2">
        <v>459.4</v>
      </c>
      <c r="AD12" s="2">
        <v>283964.96875</v>
      </c>
      <c r="AE12" s="2">
        <v>229652.421875</v>
      </c>
      <c r="AF12" s="2">
        <v>197626.71875</v>
      </c>
      <c r="AG12" s="2">
        <v>311202.65625</v>
      </c>
      <c r="AH12" s="2">
        <v>142399.109375</v>
      </c>
      <c r="AI12" s="2" t="s">
        <v>83</v>
      </c>
      <c r="AJ12" s="2" t="s">
        <v>83</v>
      </c>
      <c r="AK12" s="2" t="s">
        <v>83</v>
      </c>
      <c r="AL12" s="2">
        <v>18284.66796875</v>
      </c>
      <c r="AM12" s="2" t="s">
        <v>83</v>
      </c>
      <c r="AN12" s="2">
        <v>69777.046875</v>
      </c>
      <c r="AO12" s="2">
        <v>87773.328125</v>
      </c>
      <c r="AP12" s="2">
        <v>82673.25</v>
      </c>
      <c r="AQ12" s="2">
        <v>74503.28125</v>
      </c>
      <c r="AR12" s="2">
        <v>112730.9609375</v>
      </c>
      <c r="AS12" s="2">
        <v>688228.04296875</v>
      </c>
      <c r="AT12" s="2">
        <v>977726.3515625</v>
      </c>
      <c r="AU12" s="2">
        <v>631928.2734375</v>
      </c>
      <c r="AV12" s="2">
        <v>744413.65625</v>
      </c>
      <c r="AW12" s="2">
        <v>670983.58056640602</v>
      </c>
      <c r="AX12" s="2">
        <v>6697128.42578125</v>
      </c>
      <c r="AY12" s="2">
        <v>7836249.70703125</v>
      </c>
      <c r="AZ12" s="2">
        <v>7668486.75</v>
      </c>
      <c r="BA12" s="2">
        <v>5604612</v>
      </c>
      <c r="BB12" s="2">
        <v>5159862.9550781297</v>
      </c>
      <c r="BC12" s="2" t="s">
        <v>91</v>
      </c>
      <c r="BD12" s="2" t="s">
        <v>79</v>
      </c>
      <c r="BE12" s="2" t="s">
        <v>91</v>
      </c>
      <c r="BF12" s="2" t="s">
        <v>79</v>
      </c>
      <c r="BG12" s="2" t="s">
        <v>91</v>
      </c>
      <c r="BH12" s="2" t="s">
        <v>98</v>
      </c>
      <c r="BI12" s="2" t="s">
        <v>98</v>
      </c>
      <c r="BJ12" s="2" t="s">
        <v>98</v>
      </c>
      <c r="BK12" s="2" t="s">
        <v>91</v>
      </c>
      <c r="BL12" s="2" t="s">
        <v>98</v>
      </c>
      <c r="BM12" s="2" t="s">
        <v>91</v>
      </c>
      <c r="BN12" s="2" t="s">
        <v>91</v>
      </c>
      <c r="BO12" s="2" t="s">
        <v>91</v>
      </c>
      <c r="BP12" s="2" t="s">
        <v>91</v>
      </c>
      <c r="BQ12" s="2" t="s">
        <v>91</v>
      </c>
      <c r="BR12" s="2" t="s">
        <v>79</v>
      </c>
      <c r="BS12" s="2" t="s">
        <v>91</v>
      </c>
      <c r="BT12" s="2" t="s">
        <v>91</v>
      </c>
      <c r="BU12" s="2" t="s">
        <v>91</v>
      </c>
      <c r="BV12" s="2" t="s">
        <v>91</v>
      </c>
      <c r="BW12" s="2" t="s">
        <v>79</v>
      </c>
      <c r="BX12" s="2" t="s">
        <v>79</v>
      </c>
      <c r="BY12" s="2" t="s">
        <v>79</v>
      </c>
      <c r="BZ12" s="2" t="s">
        <v>91</v>
      </c>
      <c r="CA12" s="2" t="s">
        <v>79</v>
      </c>
      <c r="CB12" t="e">
        <f>TTEST(AS12:AW12,AI12:AM12,2,2)</f>
        <v>#DIV/0!</v>
      </c>
      <c r="CC12" t="e">
        <f>TTEST(AD12:AH12,AI12:AM12,2,2)</f>
        <v>#DIV/0!</v>
      </c>
      <c r="CD12" t="e">
        <f>TTEST(AN12:AR12,AI12:AM12,2,2)</f>
        <v>#DIV/0!</v>
      </c>
      <c r="CE12" t="e">
        <f>TTEST(AX12:BB12,AI12:AM12,2,2)</f>
        <v>#DIV/0!</v>
      </c>
      <c r="CF12">
        <v>250</v>
      </c>
      <c r="CG12">
        <v>264</v>
      </c>
      <c r="CH12">
        <v>268</v>
      </c>
      <c r="CI12">
        <v>200</v>
      </c>
      <c r="CJ12">
        <f>0.05*CF12/464</f>
        <v>2.6939655172413791E-2</v>
      </c>
      <c r="CK12">
        <f>0.05*CG12/464</f>
        <v>2.8448275862068967E-2</v>
      </c>
      <c r="CL12">
        <f>0.05*CH12/464</f>
        <v>2.8879310344827588E-2</v>
      </c>
      <c r="CM12">
        <f>0.05*CI12/464</f>
        <v>2.1551724137931036E-2</v>
      </c>
      <c r="CN12" t="e">
        <f>IF(CB12&lt;CJ12,"yes","no")</f>
        <v>#DIV/0!</v>
      </c>
      <c r="CO12" t="e">
        <f>IF(CC12&lt;CK12,"yes","no")</f>
        <v>#DIV/0!</v>
      </c>
      <c r="CP12" t="e">
        <f>IF(CD12&lt;CL12,"yes","no")</f>
        <v>#DIV/0!</v>
      </c>
      <c r="CQ12" t="e">
        <f>IF(CE12&lt;CM12,"yes","no")</f>
        <v>#DIV/0!</v>
      </c>
      <c r="CR12">
        <f>TTEST(AS12:AW12,AD12:AH12,2,2)</f>
        <v>7.318233919275432E-5</v>
      </c>
      <c r="CS12">
        <f>TTEST(AS12:AW12,AN12:AR12,2,2)</f>
        <v>5.450790607106732E-6</v>
      </c>
      <c r="CT12">
        <f>TTEST(AS12:AW12,AX12:BB12,2,2)</f>
        <v>4.6146279467021041E-6</v>
      </c>
      <c r="CU12">
        <v>127</v>
      </c>
      <c r="CV12">
        <v>6</v>
      </c>
      <c r="CW12">
        <v>11</v>
      </c>
      <c r="CX12">
        <f t="shared" si="0"/>
        <v>1.3685344827586208E-2</v>
      </c>
      <c r="CY12">
        <f t="shared" si="1"/>
        <v>6.4655172413793113E-4</v>
      </c>
      <c r="CZ12">
        <f t="shared" si="2"/>
        <v>1.1853448275862071E-3</v>
      </c>
      <c r="DA12" t="str">
        <f>IF(CR12&lt;CX12,"yes","no")</f>
        <v>yes</v>
      </c>
      <c r="DB12" t="str">
        <f>IF(CS12&lt;CY12,"yes","no")</f>
        <v>yes</v>
      </c>
      <c r="DC12" t="str">
        <f>IF(CT12&lt;CZ12,"yes","no")</f>
        <v>yes</v>
      </c>
    </row>
    <row r="13" spans="1:107" x14ac:dyDescent="0.2">
      <c r="A13" s="2" t="b">
        <v>0</v>
      </c>
      <c r="B13" s="2" t="s">
        <v>79</v>
      </c>
      <c r="C13" s="2" t="s">
        <v>80</v>
      </c>
      <c r="D13" s="2" t="s">
        <v>1424</v>
      </c>
      <c r="E13" s="2" t="s">
        <v>1425</v>
      </c>
      <c r="F13" s="2">
        <v>2</v>
      </c>
      <c r="G13" s="2">
        <v>2</v>
      </c>
      <c r="H13" s="2">
        <v>57</v>
      </c>
      <c r="I13" s="2">
        <v>7.61</v>
      </c>
      <c r="J13" s="2" t="s">
        <v>1426</v>
      </c>
      <c r="K13" s="2" t="s">
        <v>319</v>
      </c>
      <c r="L13" s="2" t="s">
        <v>119</v>
      </c>
      <c r="M13" s="2" t="s">
        <v>1427</v>
      </c>
      <c r="N13" s="2" t="s">
        <v>1424</v>
      </c>
      <c r="O13" s="2">
        <v>2.7170000000000001</v>
      </c>
      <c r="P13" s="2">
        <v>1.2969999999999999</v>
      </c>
      <c r="Q13" s="2">
        <v>9.1579999999999995</v>
      </c>
      <c r="R13" s="2">
        <v>0.56599999999999995</v>
      </c>
      <c r="S13" s="2">
        <v>1.7949999999999999</v>
      </c>
      <c r="T13" s="2">
        <v>0.28499999999999998</v>
      </c>
      <c r="U13" s="2">
        <v>1.946</v>
      </c>
      <c r="V13" s="2">
        <v>0.52200000000000002</v>
      </c>
      <c r="W13" s="2">
        <v>2.0939999999999999</v>
      </c>
      <c r="X13" s="2">
        <v>13.797000000000001</v>
      </c>
      <c r="Y13" s="2">
        <v>19</v>
      </c>
      <c r="Z13" s="2">
        <v>25.7</v>
      </c>
      <c r="AA13" s="2">
        <v>43.9</v>
      </c>
      <c r="AB13" s="2">
        <v>25.9</v>
      </c>
      <c r="AC13" s="2">
        <v>385.5</v>
      </c>
      <c r="AD13" s="2">
        <v>161989.6171875</v>
      </c>
      <c r="AE13" s="2">
        <v>35902.46484375</v>
      </c>
      <c r="AF13" s="2">
        <v>71060.84375</v>
      </c>
      <c r="AG13" s="2">
        <v>245162.0703125</v>
      </c>
      <c r="AH13" s="2">
        <v>22472.841796875</v>
      </c>
      <c r="AI13" s="2" t="s">
        <v>83</v>
      </c>
      <c r="AJ13" s="2">
        <v>2001.41809082031</v>
      </c>
      <c r="AK13" s="2" t="s">
        <v>83</v>
      </c>
      <c r="AL13" s="2">
        <v>3852.5458984375</v>
      </c>
      <c r="AM13" s="2" t="s">
        <v>83</v>
      </c>
      <c r="AN13" s="2" t="s">
        <v>83</v>
      </c>
      <c r="AO13" s="2" t="s">
        <v>83</v>
      </c>
      <c r="AP13" s="2">
        <v>5020.78271484375</v>
      </c>
      <c r="AQ13" s="2">
        <v>4050.091796875</v>
      </c>
      <c r="AR13" s="2">
        <v>4813.58642578125</v>
      </c>
      <c r="AS13" s="2">
        <v>15233.51171875</v>
      </c>
      <c r="AT13" s="2">
        <v>21231.4609375</v>
      </c>
      <c r="AU13" s="2">
        <v>14960.8515625</v>
      </c>
      <c r="AV13" s="2">
        <v>18204.23828125</v>
      </c>
      <c r="AW13" s="2">
        <v>18784.326171875</v>
      </c>
      <c r="AX13" s="2">
        <v>83654.8046875</v>
      </c>
      <c r="AY13" s="2">
        <v>121876.076171875</v>
      </c>
      <c r="AZ13" s="2">
        <v>83580.8984375</v>
      </c>
      <c r="BA13" s="2">
        <v>82607.9765625</v>
      </c>
      <c r="BB13" s="2">
        <v>95773.705078125</v>
      </c>
      <c r="BC13" s="2" t="s">
        <v>79</v>
      </c>
      <c r="BD13" s="2" t="s">
        <v>91</v>
      </c>
      <c r="BE13" s="2" t="s">
        <v>79</v>
      </c>
      <c r="BF13" s="2" t="s">
        <v>79</v>
      </c>
      <c r="BG13" s="2" t="s">
        <v>91</v>
      </c>
      <c r="BH13" s="2" t="s">
        <v>98</v>
      </c>
      <c r="BI13" s="2" t="s">
        <v>91</v>
      </c>
      <c r="BJ13" s="2" t="s">
        <v>98</v>
      </c>
      <c r="BK13" s="2" t="s">
        <v>91</v>
      </c>
      <c r="BL13" s="2" t="s">
        <v>98</v>
      </c>
      <c r="BM13" s="2" t="s">
        <v>98</v>
      </c>
      <c r="BN13" s="2" t="s">
        <v>98</v>
      </c>
      <c r="BO13" s="2" t="s">
        <v>91</v>
      </c>
      <c r="BP13" s="2" t="s">
        <v>91</v>
      </c>
      <c r="BQ13" s="2" t="s">
        <v>91</v>
      </c>
      <c r="BR13" s="2" t="s">
        <v>91</v>
      </c>
      <c r="BS13" s="2" t="s">
        <v>91</v>
      </c>
      <c r="BT13" s="2" t="s">
        <v>91</v>
      </c>
      <c r="BU13" s="2" t="s">
        <v>91</v>
      </c>
      <c r="BV13" s="2" t="s">
        <v>91</v>
      </c>
      <c r="BW13" s="2" t="s">
        <v>91</v>
      </c>
      <c r="BX13" s="2" t="s">
        <v>91</v>
      </c>
      <c r="BY13" s="2" t="s">
        <v>91</v>
      </c>
      <c r="BZ13" s="2" t="s">
        <v>91</v>
      </c>
      <c r="CA13" s="2" t="s">
        <v>91</v>
      </c>
      <c r="CB13">
        <f>TTEST(AS13:AW13,AI13:AM13,2,2)</f>
        <v>7.5616719871848055E-4</v>
      </c>
      <c r="CC13">
        <f>TTEST(AD13:AH13,AI13:AM13,2,2)</f>
        <v>0.19931282668983874</v>
      </c>
      <c r="CD13">
        <f>TTEST(AN13:AR13,AI13:AM13,2,2)</f>
        <v>0.11974022139541407</v>
      </c>
      <c r="CE13">
        <f>TTEST(AX13:BB13,AI13:AM13,2,2)</f>
        <v>7.9806021318124117E-4</v>
      </c>
      <c r="CF13">
        <v>98</v>
      </c>
      <c r="CG13">
        <v>213</v>
      </c>
      <c r="CH13">
        <v>136</v>
      </c>
      <c r="CI13">
        <v>51</v>
      </c>
      <c r="CJ13">
        <f>0.05*CF13/464</f>
        <v>1.0560344827586207E-2</v>
      </c>
      <c r="CK13">
        <f>0.05*CG13/464</f>
        <v>2.2952586206896552E-2</v>
      </c>
      <c r="CL13">
        <f>0.05*CH13/464</f>
        <v>1.4655172413793105E-2</v>
      </c>
      <c r="CM13">
        <f>0.05*CI13/464</f>
        <v>5.4956896551724144E-3</v>
      </c>
      <c r="CN13" t="str">
        <f>IF(CB13&lt;CJ13,"yes","no")</f>
        <v>yes</v>
      </c>
      <c r="CO13" t="str">
        <f>IF(CC13&lt;CK13,"yes","no")</f>
        <v>no</v>
      </c>
      <c r="CP13" t="str">
        <f>IF(CD13&lt;CL13,"yes","no")</f>
        <v>no</v>
      </c>
      <c r="CQ13" t="str">
        <f>IF(CE13&lt;CM13,"yes","no")</f>
        <v>yes</v>
      </c>
      <c r="CR13">
        <f>TTEST(AS13:AW13,AD13:AH13,2,2)</f>
        <v>6.6449306680729625E-2</v>
      </c>
      <c r="CS13">
        <f>TTEST(AS13:AW13,AN13:AR13,2,2)</f>
        <v>1.6875014138368995E-4</v>
      </c>
      <c r="CT13">
        <f>TTEST(AS13:AW13,AX13:BB13,2,2)</f>
        <v>8.5490510651844218E-6</v>
      </c>
      <c r="CU13">
        <v>238</v>
      </c>
      <c r="CV13">
        <v>55</v>
      </c>
      <c r="CW13">
        <v>12</v>
      </c>
      <c r="CX13">
        <f t="shared" si="0"/>
        <v>2.564655172413793E-2</v>
      </c>
      <c r="CY13">
        <f t="shared" si="1"/>
        <v>5.9267241379310342E-3</v>
      </c>
      <c r="CZ13">
        <f t="shared" si="2"/>
        <v>1.2931034482758623E-3</v>
      </c>
      <c r="DA13" t="str">
        <f>IF(CR13&lt;CX13,"yes","no")</f>
        <v>no</v>
      </c>
      <c r="DB13" t="str">
        <f>IF(CS13&lt;CY13,"yes","no")</f>
        <v>yes</v>
      </c>
      <c r="DC13" t="str">
        <f>IF(CT13&lt;CZ13,"yes","no")</f>
        <v>yes</v>
      </c>
    </row>
    <row r="14" spans="1:107" x14ac:dyDescent="0.2">
      <c r="A14" s="2" t="b">
        <v>0</v>
      </c>
      <c r="B14" s="2" t="s">
        <v>79</v>
      </c>
      <c r="C14" s="2" t="s">
        <v>80</v>
      </c>
      <c r="D14" s="2" t="s">
        <v>1005</v>
      </c>
      <c r="E14" s="2" t="s">
        <v>1006</v>
      </c>
      <c r="F14" s="2">
        <v>2</v>
      </c>
      <c r="G14" s="2">
        <v>2</v>
      </c>
      <c r="H14" s="2">
        <v>11.3</v>
      </c>
      <c r="I14" s="2">
        <v>6.54</v>
      </c>
      <c r="J14" s="2" t="s">
        <v>254</v>
      </c>
      <c r="K14" s="2" t="s">
        <v>84</v>
      </c>
      <c r="L14" s="2" t="s">
        <v>119</v>
      </c>
      <c r="M14" s="2" t="s">
        <v>83</v>
      </c>
      <c r="N14" s="2" t="s">
        <v>83</v>
      </c>
      <c r="O14" s="2">
        <v>55.920999999999999</v>
      </c>
      <c r="P14" s="2">
        <v>2.1579999999999999</v>
      </c>
      <c r="Q14" s="2">
        <v>3.8740000000000001</v>
      </c>
      <c r="R14" s="2">
        <v>2.1999999999999999E-2</v>
      </c>
      <c r="S14" s="2">
        <v>1.163</v>
      </c>
      <c r="T14" s="2">
        <v>5.3999999999999999E-2</v>
      </c>
      <c r="U14" s="2">
        <v>7.3999999999999996E-2</v>
      </c>
      <c r="V14" s="2">
        <v>4.1000000000000002E-2</v>
      </c>
      <c r="W14" s="2">
        <v>6.7000000000000004E-2</v>
      </c>
      <c r="X14" s="2">
        <v>15.695</v>
      </c>
      <c r="Y14" s="2">
        <v>1.1000000000000001</v>
      </c>
      <c r="Z14" s="2">
        <v>43.5</v>
      </c>
      <c r="AA14" s="2">
        <v>61.7</v>
      </c>
      <c r="AB14" s="2">
        <v>17.3</v>
      </c>
      <c r="AC14" s="2">
        <v>376.4</v>
      </c>
      <c r="AD14" s="2">
        <v>624419.9375</v>
      </c>
      <c r="AE14" s="2">
        <v>341090.25</v>
      </c>
      <c r="AF14" s="2">
        <v>280085.65625</v>
      </c>
      <c r="AG14" s="2">
        <v>156488.21875</v>
      </c>
      <c r="AH14" s="2" t="s">
        <v>83</v>
      </c>
      <c r="AI14" s="2">
        <v>206866.515625</v>
      </c>
      <c r="AJ14" s="2">
        <v>285704.59375</v>
      </c>
      <c r="AK14" s="2">
        <v>231835.59375</v>
      </c>
      <c r="AL14" s="2">
        <v>4358996.5</v>
      </c>
      <c r="AM14" s="2">
        <v>312041.96875</v>
      </c>
      <c r="AN14" s="2">
        <v>311188.5</v>
      </c>
      <c r="AO14" s="2">
        <v>236821.796875</v>
      </c>
      <c r="AP14" s="2">
        <v>824936.25</v>
      </c>
      <c r="AQ14" s="2">
        <v>270599.75</v>
      </c>
      <c r="AR14" s="2">
        <v>486976.03125</v>
      </c>
      <c r="AS14" s="2">
        <v>596173.388671875</v>
      </c>
      <c r="AT14" s="2">
        <v>1156732.296875</v>
      </c>
      <c r="AU14" s="2">
        <v>2978823.375</v>
      </c>
      <c r="AV14" s="2">
        <v>739776.78125</v>
      </c>
      <c r="AW14" s="2">
        <v>863244.3125</v>
      </c>
      <c r="AX14" s="2">
        <v>6989280.0615234403</v>
      </c>
      <c r="AY14" s="2">
        <v>6621673.52734375</v>
      </c>
      <c r="AZ14" s="2">
        <v>6677868.1123046903</v>
      </c>
      <c r="BA14" s="2">
        <v>5662647.7568359403</v>
      </c>
      <c r="BB14" s="2">
        <v>5753335.859375</v>
      </c>
      <c r="BC14" s="2" t="s">
        <v>79</v>
      </c>
      <c r="BD14" s="2" t="s">
        <v>79</v>
      </c>
      <c r="BE14" s="2" t="s">
        <v>79</v>
      </c>
      <c r="BF14" s="2" t="s">
        <v>79</v>
      </c>
      <c r="BG14" s="2" t="s">
        <v>79</v>
      </c>
      <c r="BH14" s="2" t="s">
        <v>79</v>
      </c>
      <c r="BI14" s="2" t="s">
        <v>79</v>
      </c>
      <c r="BJ14" s="2" t="s">
        <v>79</v>
      </c>
      <c r="BK14" s="2" t="s">
        <v>79</v>
      </c>
      <c r="BL14" s="2" t="s">
        <v>79</v>
      </c>
      <c r="BM14" s="2" t="s">
        <v>79</v>
      </c>
      <c r="BN14" s="2" t="s">
        <v>79</v>
      </c>
      <c r="BO14" s="2" t="s">
        <v>79</v>
      </c>
      <c r="BP14" s="2" t="s">
        <v>79</v>
      </c>
      <c r="BQ14" s="2" t="s">
        <v>79</v>
      </c>
      <c r="BR14" s="2" t="s">
        <v>91</v>
      </c>
      <c r="BS14" s="2" t="s">
        <v>79</v>
      </c>
      <c r="BT14" s="2" t="s">
        <v>79</v>
      </c>
      <c r="BU14" s="2" t="s">
        <v>79</v>
      </c>
      <c r="BV14" s="2" t="s">
        <v>79</v>
      </c>
      <c r="BW14" s="2" t="s">
        <v>79</v>
      </c>
      <c r="BX14" s="2" t="s">
        <v>79</v>
      </c>
      <c r="BY14" s="2" t="s">
        <v>79</v>
      </c>
      <c r="BZ14" s="2" t="s">
        <v>91</v>
      </c>
      <c r="CA14" s="2" t="s">
        <v>79</v>
      </c>
      <c r="CB14">
        <f>TTEST(AS14:AW14,AI14:AM14,2,2)</f>
        <v>0.84491263292090857</v>
      </c>
      <c r="CC14">
        <f>TTEST(AD14:AH14,AI14:AM14,2,2)</f>
        <v>0.46094870408361088</v>
      </c>
      <c r="CD14">
        <f>TTEST(AN14:AR14,AI14:AM14,2,2)</f>
        <v>0.45272177162815164</v>
      </c>
      <c r="CE14">
        <f>TTEST(AX14:BB14,AI14:AM14,2,2)</f>
        <v>2.8885793241278278E-4</v>
      </c>
      <c r="CF14">
        <v>217</v>
      </c>
      <c r="CG14">
        <v>223</v>
      </c>
      <c r="CH14">
        <v>178</v>
      </c>
      <c r="CI14">
        <v>45</v>
      </c>
      <c r="CJ14">
        <f>0.05*CF14/464</f>
        <v>2.3383620689655174E-2</v>
      </c>
      <c r="CK14">
        <f>0.05*CG14/464</f>
        <v>2.4030172413793103E-2</v>
      </c>
      <c r="CL14">
        <f>0.05*CH14/464</f>
        <v>1.9181034482758621E-2</v>
      </c>
      <c r="CM14">
        <f>0.05*CI14/464</f>
        <v>4.8491379310344829E-3</v>
      </c>
      <c r="CN14" t="str">
        <f>IF(CB14&lt;CJ14,"yes","no")</f>
        <v>no</v>
      </c>
      <c r="CO14" t="str">
        <f>IF(CC14&lt;CK14,"yes","no")</f>
        <v>no</v>
      </c>
      <c r="CP14" t="str">
        <f>IF(CD14&lt;CL14,"yes","no")</f>
        <v>no</v>
      </c>
      <c r="CQ14" t="str">
        <f>IF(CE14&lt;CM14,"yes","no")</f>
        <v>yes</v>
      </c>
      <c r="CR14">
        <f>TTEST(AS14:AW14,AD14:AH14,2,2)</f>
        <v>0.11183919205252553</v>
      </c>
      <c r="CS14">
        <f>TTEST(AS14:AW14,AN14:AR14,2,2)</f>
        <v>9.9307993990690888E-2</v>
      </c>
      <c r="CT14">
        <f>TTEST(AS14:AW14,AX14:BB14,2,2)</f>
        <v>9.1352536213755251E-6</v>
      </c>
      <c r="CU14">
        <v>251</v>
      </c>
      <c r="CV14">
        <v>179</v>
      </c>
      <c r="CW14">
        <v>13</v>
      </c>
      <c r="CX14">
        <f t="shared" si="0"/>
        <v>2.704741379310345E-2</v>
      </c>
      <c r="CY14">
        <f t="shared" si="1"/>
        <v>1.928879310344828E-2</v>
      </c>
      <c r="CZ14">
        <f t="shared" si="2"/>
        <v>1.4008620689655172E-3</v>
      </c>
      <c r="DA14" t="str">
        <f>IF(CR14&lt;CX14,"yes","no")</f>
        <v>no</v>
      </c>
      <c r="DB14" t="str">
        <f>IF(CS14&lt;CY14,"yes","no")</f>
        <v>no</v>
      </c>
      <c r="DC14" t="str">
        <f>IF(CT14&lt;CZ14,"yes","no")</f>
        <v>yes</v>
      </c>
    </row>
    <row r="15" spans="1:107" x14ac:dyDescent="0.2">
      <c r="A15" s="2" t="b">
        <v>0</v>
      </c>
      <c r="B15" s="2" t="s">
        <v>79</v>
      </c>
      <c r="C15" s="2" t="s">
        <v>80</v>
      </c>
      <c r="D15" s="2" t="s">
        <v>1066</v>
      </c>
      <c r="E15" s="2" t="s">
        <v>1067</v>
      </c>
      <c r="F15" s="2">
        <v>2</v>
      </c>
      <c r="G15" s="2">
        <v>2</v>
      </c>
      <c r="H15" s="2">
        <v>26.4</v>
      </c>
      <c r="I15" s="2">
        <v>5.74</v>
      </c>
      <c r="J15" s="2" t="s">
        <v>1068</v>
      </c>
      <c r="K15" s="2" t="s">
        <v>1069</v>
      </c>
      <c r="L15" s="2" t="s">
        <v>96</v>
      </c>
      <c r="M15" s="2" t="s">
        <v>1070</v>
      </c>
      <c r="N15" s="2" t="s">
        <v>1071</v>
      </c>
      <c r="O15" s="2">
        <v>4.2</v>
      </c>
      <c r="P15" s="2">
        <v>3.1930000000000001</v>
      </c>
      <c r="Q15" s="2">
        <v>2.258</v>
      </c>
      <c r="R15" s="2">
        <v>0.26800000000000002</v>
      </c>
      <c r="S15" s="2">
        <v>1.135</v>
      </c>
      <c r="T15" s="2">
        <v>0.90600000000000003</v>
      </c>
      <c r="U15" s="2">
        <v>0.61699999999999999</v>
      </c>
      <c r="V15" s="2">
        <v>0.88400000000000001</v>
      </c>
      <c r="W15" s="2">
        <v>0.58399999999999996</v>
      </c>
      <c r="X15" s="2">
        <v>0.71499999999999997</v>
      </c>
      <c r="Y15" s="2">
        <v>42.2</v>
      </c>
      <c r="Z15" s="2">
        <v>110.9</v>
      </c>
      <c r="AA15" s="2">
        <v>111.7</v>
      </c>
      <c r="AB15" s="2">
        <v>132.80000000000001</v>
      </c>
      <c r="AC15" s="2">
        <v>102.5</v>
      </c>
      <c r="AD15" s="2">
        <v>782658.4375</v>
      </c>
      <c r="AE15" s="2">
        <v>637729.9375</v>
      </c>
      <c r="AF15" s="2">
        <v>550534.671875</v>
      </c>
      <c r="AG15" s="2">
        <v>924180.34375</v>
      </c>
      <c r="AH15" s="2">
        <v>451920.265625</v>
      </c>
      <c r="AI15" s="2">
        <v>39115.3125</v>
      </c>
      <c r="AJ15" s="2">
        <v>25110.072265625</v>
      </c>
      <c r="AK15" s="2">
        <v>45509.1083984375</v>
      </c>
      <c r="AL15" s="2">
        <v>34645.8125</v>
      </c>
      <c r="AM15" s="2">
        <v>30347.96484375</v>
      </c>
      <c r="AN15" s="2">
        <v>21188.416015625</v>
      </c>
      <c r="AO15" s="2">
        <v>48255.603515625</v>
      </c>
      <c r="AP15" s="2">
        <v>32172.96484375</v>
      </c>
      <c r="AQ15" s="2">
        <v>39529.89453125</v>
      </c>
      <c r="AR15" s="2">
        <v>89701.296875</v>
      </c>
      <c r="AS15" s="2">
        <v>334800.4609375</v>
      </c>
      <c r="AT15" s="2">
        <v>431204.0390625</v>
      </c>
      <c r="AU15" s="2">
        <v>288118.9921875</v>
      </c>
      <c r="AV15" s="2">
        <v>334498.75</v>
      </c>
      <c r="AW15" s="2">
        <v>296348.4296875</v>
      </c>
      <c r="AX15" s="2">
        <v>80692.74609375</v>
      </c>
      <c r="AY15" s="2">
        <v>94678.861328125</v>
      </c>
      <c r="AZ15" s="2">
        <v>98200.56640625</v>
      </c>
      <c r="BA15" s="2">
        <v>82593.171875</v>
      </c>
      <c r="BB15" s="2">
        <v>79488.947265625</v>
      </c>
      <c r="BC15" s="2" t="s">
        <v>79</v>
      </c>
      <c r="BD15" s="2" t="s">
        <v>91</v>
      </c>
      <c r="BE15" s="2" t="s">
        <v>91</v>
      </c>
      <c r="BF15" s="2" t="s">
        <v>79</v>
      </c>
      <c r="BG15" s="2" t="s">
        <v>79</v>
      </c>
      <c r="BH15" s="2" t="s">
        <v>91</v>
      </c>
      <c r="BI15" s="2" t="s">
        <v>91</v>
      </c>
      <c r="BJ15" s="2" t="s">
        <v>91</v>
      </c>
      <c r="BK15" s="2" t="s">
        <v>91</v>
      </c>
      <c r="BL15" s="2" t="s">
        <v>91</v>
      </c>
      <c r="BM15" s="2" t="s">
        <v>91</v>
      </c>
      <c r="BN15" s="2" t="s">
        <v>91</v>
      </c>
      <c r="BO15" s="2" t="s">
        <v>91</v>
      </c>
      <c r="BP15" s="2" t="s">
        <v>91</v>
      </c>
      <c r="BQ15" s="2" t="s">
        <v>91</v>
      </c>
      <c r="BR15" s="2" t="s">
        <v>79</v>
      </c>
      <c r="BS15" s="2" t="s">
        <v>79</v>
      </c>
      <c r="BT15" s="2" t="s">
        <v>79</v>
      </c>
      <c r="BU15" s="2" t="s">
        <v>79</v>
      </c>
      <c r="BV15" s="2" t="s">
        <v>79</v>
      </c>
      <c r="BW15" s="2" t="s">
        <v>91</v>
      </c>
      <c r="BX15" s="2" t="s">
        <v>79</v>
      </c>
      <c r="BY15" s="2" t="s">
        <v>79</v>
      </c>
      <c r="BZ15" s="2" t="s">
        <v>91</v>
      </c>
      <c r="CA15" s="2" t="s">
        <v>91</v>
      </c>
      <c r="CB15">
        <f>TTEST(AS15:AW15,AI15:AM15,2,2)</f>
        <v>2.4863561195184094E-6</v>
      </c>
      <c r="CC15">
        <f>TTEST(AD15:AH15,AI15:AM15,2,2)</f>
        <v>6.4729994017442884E-5</v>
      </c>
      <c r="CD15">
        <f>TTEST(AN15:AR15,AI15:AM15,2,2)</f>
        <v>0.38701019499707034</v>
      </c>
      <c r="CE15">
        <f>TTEST(AX15:BB15,AI15:AM15,2,2)</f>
        <v>8.6186423633804063E-6</v>
      </c>
      <c r="CF15">
        <v>14</v>
      </c>
      <c r="CG15">
        <v>106</v>
      </c>
      <c r="CH15">
        <v>169</v>
      </c>
      <c r="CI15">
        <v>27</v>
      </c>
      <c r="CJ15">
        <f>0.05*CF15/464</f>
        <v>1.5086206896551726E-3</v>
      </c>
      <c r="CK15">
        <f>0.05*CG15/464</f>
        <v>1.142241379310345E-2</v>
      </c>
      <c r="CL15">
        <f>0.05*CH15/464</f>
        <v>1.8211206896551726E-2</v>
      </c>
      <c r="CM15">
        <f>0.05*CI15/464</f>
        <v>2.9094827586206898E-3</v>
      </c>
      <c r="CN15" t="str">
        <f>IF(CB15&lt;CJ15,"yes","no")</f>
        <v>yes</v>
      </c>
      <c r="CO15" t="str">
        <f>IF(CC15&lt;CK15,"yes","no")</f>
        <v>yes</v>
      </c>
      <c r="CP15" t="str">
        <f>IF(CD15&lt;CL15,"yes","no")</f>
        <v>no</v>
      </c>
      <c r="CQ15" t="str">
        <f>IF(CE15&lt;CM15,"yes","no")</f>
        <v>yes</v>
      </c>
      <c r="CR15">
        <f>TTEST(AS15:AW15,AD15:AH15,2,2)</f>
        <v>5.2417222415035757E-3</v>
      </c>
      <c r="CS15">
        <f>TTEST(AS15:AW15,AN15:AR15,2,2)</f>
        <v>6.4068985603938198E-6</v>
      </c>
      <c r="CT15">
        <f>TTEST(AS15:AW15,AX15:BB15,2,2)</f>
        <v>1.0522022034078372E-5</v>
      </c>
      <c r="CU15">
        <v>188</v>
      </c>
      <c r="CV15">
        <v>7</v>
      </c>
      <c r="CW15">
        <v>14</v>
      </c>
      <c r="CX15">
        <f t="shared" si="0"/>
        <v>2.0258620689655175E-2</v>
      </c>
      <c r="CY15">
        <f t="shared" si="1"/>
        <v>7.543103448275863E-4</v>
      </c>
      <c r="CZ15">
        <f t="shared" si="2"/>
        <v>1.5086206896551726E-3</v>
      </c>
      <c r="DA15" t="str">
        <f>IF(CR15&lt;CX15,"yes","no")</f>
        <v>yes</v>
      </c>
      <c r="DB15" t="str">
        <f>IF(CS15&lt;CY15,"yes","no")</f>
        <v>yes</v>
      </c>
      <c r="DC15" t="str">
        <f>IF(CT15&lt;CZ15,"yes","no")</f>
        <v>yes</v>
      </c>
    </row>
    <row r="16" spans="1:107" x14ac:dyDescent="0.2">
      <c r="A16" s="2" t="b">
        <v>0</v>
      </c>
      <c r="B16" s="2" t="s">
        <v>79</v>
      </c>
      <c r="C16" s="2" t="s">
        <v>80</v>
      </c>
      <c r="D16" s="2" t="s">
        <v>523</v>
      </c>
      <c r="E16" s="2" t="s">
        <v>524</v>
      </c>
      <c r="F16" s="2">
        <v>5</v>
      </c>
      <c r="G16" s="2">
        <v>5</v>
      </c>
      <c r="H16" s="2">
        <v>17.8</v>
      </c>
      <c r="I16" s="2">
        <v>5.34</v>
      </c>
      <c r="J16" s="2" t="s">
        <v>168</v>
      </c>
      <c r="K16" s="2" t="s">
        <v>84</v>
      </c>
      <c r="L16" s="2" t="s">
        <v>357</v>
      </c>
      <c r="M16" s="2" t="s">
        <v>525</v>
      </c>
      <c r="N16" s="2" t="s">
        <v>523</v>
      </c>
      <c r="O16" s="2">
        <v>2.2360000000000002</v>
      </c>
      <c r="P16" s="2">
        <v>0.88700000000000001</v>
      </c>
      <c r="Q16" s="2">
        <v>0.44500000000000001</v>
      </c>
      <c r="R16" s="2">
        <v>1.0820000000000001</v>
      </c>
      <c r="S16" s="2">
        <v>3.2690000000000001</v>
      </c>
      <c r="T16" s="2">
        <v>0.376</v>
      </c>
      <c r="U16" s="2">
        <v>0.68100000000000005</v>
      </c>
      <c r="V16" s="2">
        <v>0.36799999999999999</v>
      </c>
      <c r="W16" s="2">
        <v>0.188</v>
      </c>
      <c r="X16" s="2">
        <v>0.51500000000000001</v>
      </c>
      <c r="Y16" s="2">
        <v>79.2</v>
      </c>
      <c r="Z16" s="2">
        <v>70.900000000000006</v>
      </c>
      <c r="AA16" s="2">
        <v>252.5</v>
      </c>
      <c r="AB16" s="2">
        <v>67</v>
      </c>
      <c r="AC16" s="2">
        <v>30.4</v>
      </c>
      <c r="AD16" s="2">
        <v>20887709.15625</v>
      </c>
      <c r="AE16" s="2">
        <v>16783363.578125</v>
      </c>
      <c r="AF16" s="2">
        <v>15828819.109375</v>
      </c>
      <c r="AG16" s="2">
        <v>15593996.96875</v>
      </c>
      <c r="AH16" s="2">
        <v>16558060.296875</v>
      </c>
      <c r="AI16" s="2">
        <v>355342.4375</v>
      </c>
      <c r="AJ16" s="2">
        <v>342254.0625</v>
      </c>
      <c r="AK16" s="2">
        <v>349931.44140625</v>
      </c>
      <c r="AL16" s="2">
        <v>437585.734375</v>
      </c>
      <c r="AM16" s="2">
        <v>337434.63916015602</v>
      </c>
      <c r="AN16" s="2">
        <v>1006480.9697265601</v>
      </c>
      <c r="AO16" s="2">
        <v>646645.72509765602</v>
      </c>
      <c r="AP16" s="2">
        <v>1392903.7578125</v>
      </c>
      <c r="AQ16" s="2">
        <v>1118639.1533203099</v>
      </c>
      <c r="AR16" s="2">
        <v>1477690.4316406299</v>
      </c>
      <c r="AS16" s="2">
        <v>2150559.26171875</v>
      </c>
      <c r="AT16" s="2">
        <v>3268574.08203125</v>
      </c>
      <c r="AU16" s="2">
        <v>2050007.9003906299</v>
      </c>
      <c r="AV16" s="2">
        <v>2394764.0488281301</v>
      </c>
      <c r="AW16" s="2">
        <v>2609589.44921875</v>
      </c>
      <c r="AX16" s="2">
        <v>444502.5625</v>
      </c>
      <c r="AY16" s="2">
        <v>280384.28125</v>
      </c>
      <c r="AZ16" s="2">
        <v>454379</v>
      </c>
      <c r="BA16" s="2">
        <v>347763.375</v>
      </c>
      <c r="BB16" s="2">
        <v>213001</v>
      </c>
      <c r="BC16" s="2" t="s">
        <v>79</v>
      </c>
      <c r="BD16" s="2" t="s">
        <v>79</v>
      </c>
      <c r="BE16" s="2" t="s">
        <v>79</v>
      </c>
      <c r="BF16" s="2" t="s">
        <v>79</v>
      </c>
      <c r="BG16" s="2" t="s">
        <v>79</v>
      </c>
      <c r="BH16" s="2" t="s">
        <v>79</v>
      </c>
      <c r="BI16" s="2" t="s">
        <v>79</v>
      </c>
      <c r="BJ16" s="2" t="s">
        <v>79</v>
      </c>
      <c r="BK16" s="2" t="s">
        <v>79</v>
      </c>
      <c r="BL16" s="2" t="s">
        <v>79</v>
      </c>
      <c r="BM16" s="2" t="s">
        <v>79</v>
      </c>
      <c r="BN16" s="2" t="s">
        <v>79</v>
      </c>
      <c r="BO16" s="2" t="s">
        <v>79</v>
      </c>
      <c r="BP16" s="2" t="s">
        <v>79</v>
      </c>
      <c r="BQ16" s="2" t="s">
        <v>79</v>
      </c>
      <c r="BR16" s="2" t="s">
        <v>79</v>
      </c>
      <c r="BS16" s="2" t="s">
        <v>79</v>
      </c>
      <c r="BT16" s="2" t="s">
        <v>79</v>
      </c>
      <c r="BU16" s="2" t="s">
        <v>79</v>
      </c>
      <c r="BV16" s="2" t="s">
        <v>79</v>
      </c>
      <c r="BW16" s="2" t="s">
        <v>79</v>
      </c>
      <c r="BX16" s="2" t="s">
        <v>79</v>
      </c>
      <c r="BY16" s="2" t="s">
        <v>79</v>
      </c>
      <c r="BZ16" s="2" t="s">
        <v>79</v>
      </c>
      <c r="CA16" s="2" t="s">
        <v>79</v>
      </c>
      <c r="CB16">
        <f>TTEST(AS16:AW16,AI16:AM16,2,2)</f>
        <v>9.8740892571580804E-6</v>
      </c>
      <c r="CC16">
        <f>TTEST(AD16:AH16,AI16:AM16,2,2)</f>
        <v>1.228395050383877E-7</v>
      </c>
      <c r="CD16">
        <f>TTEST(AN16:AR16,AI16:AM16,2,2)</f>
        <v>9.1103132073541205E-4</v>
      </c>
      <c r="CE16">
        <f>TTEST(AX16:BB16,AI16:AM16,2,2)</f>
        <v>0.75051859576706104</v>
      </c>
      <c r="CF16">
        <v>25</v>
      </c>
      <c r="CG16">
        <v>22</v>
      </c>
      <c r="CH16">
        <v>74</v>
      </c>
      <c r="CI16">
        <v>182</v>
      </c>
      <c r="CJ16">
        <f>0.05*CF16/464</f>
        <v>2.6939655172413795E-3</v>
      </c>
      <c r="CK16">
        <f>0.05*CG16/464</f>
        <v>2.3706896551724142E-3</v>
      </c>
      <c r="CL16">
        <f>0.05*CH16/464</f>
        <v>7.9741379310344831E-3</v>
      </c>
      <c r="CM16">
        <f>0.05*CI16/464</f>
        <v>1.9612068965517239E-2</v>
      </c>
      <c r="CN16" t="str">
        <f>IF(CB16&lt;CJ16,"yes","no")</f>
        <v>yes</v>
      </c>
      <c r="CO16" t="str">
        <f>IF(CC16&lt;CK16,"yes","no")</f>
        <v>yes</v>
      </c>
      <c r="CP16" t="str">
        <f>IF(CD16&lt;CL16,"yes","no")</f>
        <v>yes</v>
      </c>
      <c r="CQ16" t="str">
        <f>IF(CE16&lt;CM16,"yes","no")</f>
        <v>no</v>
      </c>
      <c r="CR16">
        <f>TTEST(AS16:AW16,AD16:AH16,2,2)</f>
        <v>4.2757660565659833E-7</v>
      </c>
      <c r="CS16">
        <f>TTEST(AS16:AW16,AN16:AR16,2,2)</f>
        <v>8.1610304234952763E-4</v>
      </c>
      <c r="CT16">
        <f>TTEST(AS16:AW16,AX16:BB16,2,2)</f>
        <v>1.0736858307737685E-5</v>
      </c>
      <c r="CU16">
        <v>35</v>
      </c>
      <c r="CV16">
        <v>88</v>
      </c>
      <c r="CW16">
        <v>15</v>
      </c>
      <c r="CX16">
        <f t="shared" si="0"/>
        <v>3.7715517241379312E-3</v>
      </c>
      <c r="CY16">
        <f t="shared" si="1"/>
        <v>9.4827586206896568E-3</v>
      </c>
      <c r="CZ16">
        <f t="shared" si="2"/>
        <v>1.6163793103448276E-3</v>
      </c>
      <c r="DA16" t="str">
        <f>IF(CR16&lt;CX16,"yes","no")</f>
        <v>yes</v>
      </c>
      <c r="DB16" t="str">
        <f>IF(CS16&lt;CY16,"yes","no")</f>
        <v>yes</v>
      </c>
      <c r="DC16" t="str">
        <f>IF(CT16&lt;CZ16,"yes","no")</f>
        <v>yes</v>
      </c>
    </row>
    <row r="17" spans="1:107" x14ac:dyDescent="0.2">
      <c r="A17" s="2" t="b">
        <v>0</v>
      </c>
      <c r="B17" s="2" t="s">
        <v>79</v>
      </c>
      <c r="C17" s="2" t="s">
        <v>80</v>
      </c>
      <c r="D17" s="2" t="s">
        <v>573</v>
      </c>
      <c r="E17" s="2" t="s">
        <v>574</v>
      </c>
      <c r="F17" s="2">
        <v>4</v>
      </c>
      <c r="G17" s="2">
        <v>4</v>
      </c>
      <c r="H17" s="2">
        <v>14.2</v>
      </c>
      <c r="I17" s="2">
        <v>8.91</v>
      </c>
      <c r="J17" s="2" t="s">
        <v>254</v>
      </c>
      <c r="K17" s="2" t="s">
        <v>319</v>
      </c>
      <c r="L17" s="2" t="s">
        <v>119</v>
      </c>
      <c r="M17" s="2" t="s">
        <v>575</v>
      </c>
      <c r="N17" s="2" t="s">
        <v>573</v>
      </c>
      <c r="O17" s="2">
        <v>2.5350000000000001</v>
      </c>
      <c r="P17" s="2">
        <v>0.54700000000000004</v>
      </c>
      <c r="Q17" s="2">
        <v>0.24399999999999999</v>
      </c>
      <c r="R17" s="2">
        <v>4.5209999999999999</v>
      </c>
      <c r="S17" s="2">
        <v>12.829000000000001</v>
      </c>
      <c r="T17" s="2">
        <v>2.8580000000000001</v>
      </c>
      <c r="U17" s="2">
        <v>1.0820000000000001</v>
      </c>
      <c r="V17" s="2">
        <v>0.24399999999999999</v>
      </c>
      <c r="W17" s="2">
        <v>8.7999999999999995E-2</v>
      </c>
      <c r="X17" s="2">
        <v>0.39300000000000002</v>
      </c>
      <c r="Y17" s="2">
        <v>114.8</v>
      </c>
      <c r="Z17" s="2">
        <v>15.6</v>
      </c>
      <c r="AA17" s="2">
        <v>275</v>
      </c>
      <c r="AB17" s="2">
        <v>77.3</v>
      </c>
      <c r="AC17" s="2">
        <v>17.399999999999999</v>
      </c>
      <c r="AD17" s="2">
        <v>5885165.375</v>
      </c>
      <c r="AE17" s="2">
        <v>4592781.1875</v>
      </c>
      <c r="AF17" s="2">
        <v>4361000.75</v>
      </c>
      <c r="AG17" s="2">
        <v>6319768.359375</v>
      </c>
      <c r="AH17" s="2">
        <v>5555713.05859375</v>
      </c>
      <c r="AI17" s="2">
        <v>20453.083984375</v>
      </c>
      <c r="AJ17" s="2">
        <v>7680.67578125</v>
      </c>
      <c r="AK17" s="2">
        <v>12428.1572265625</v>
      </c>
      <c r="AL17" s="2">
        <v>20787.900390625</v>
      </c>
      <c r="AM17" s="2">
        <v>9725.009765625</v>
      </c>
      <c r="AN17" s="2">
        <v>195543.12890625</v>
      </c>
      <c r="AO17" s="2">
        <v>290555.033203125</v>
      </c>
      <c r="AP17" s="2">
        <v>306383.82421875</v>
      </c>
      <c r="AQ17" s="2">
        <v>176306.609375</v>
      </c>
      <c r="AR17" s="2">
        <v>285029.68066406302</v>
      </c>
      <c r="AS17" s="2">
        <v>495256.390625</v>
      </c>
      <c r="AT17" s="2">
        <v>740976.78125</v>
      </c>
      <c r="AU17" s="2">
        <v>426081.0546875</v>
      </c>
      <c r="AV17" s="2">
        <v>502735.4453125</v>
      </c>
      <c r="AW17" s="2">
        <v>557714.35546875</v>
      </c>
      <c r="AX17" s="2">
        <v>39678.84765625</v>
      </c>
      <c r="AY17" s="2">
        <v>21798.630859375</v>
      </c>
      <c r="AZ17" s="2">
        <v>31757.228515625</v>
      </c>
      <c r="BA17" s="2">
        <v>44711.052734375</v>
      </c>
      <c r="BB17" s="2">
        <v>36882.50390625</v>
      </c>
      <c r="BC17" s="2" t="s">
        <v>79</v>
      </c>
      <c r="BD17" s="2" t="s">
        <v>79</v>
      </c>
      <c r="BE17" s="2" t="s">
        <v>79</v>
      </c>
      <c r="BF17" s="2" t="s">
        <v>79</v>
      </c>
      <c r="BG17" s="2" t="s">
        <v>79</v>
      </c>
      <c r="BH17" s="2" t="s">
        <v>91</v>
      </c>
      <c r="BI17" s="2" t="s">
        <v>91</v>
      </c>
      <c r="BJ17" s="2" t="s">
        <v>91</v>
      </c>
      <c r="BK17" s="2" t="s">
        <v>91</v>
      </c>
      <c r="BL17" s="2" t="s">
        <v>91</v>
      </c>
      <c r="BM17" s="2" t="s">
        <v>79</v>
      </c>
      <c r="BN17" s="2" t="s">
        <v>79</v>
      </c>
      <c r="BO17" s="2" t="s">
        <v>79</v>
      </c>
      <c r="BP17" s="2" t="s">
        <v>79</v>
      </c>
      <c r="BQ17" s="2" t="s">
        <v>79</v>
      </c>
      <c r="BR17" s="2" t="s">
        <v>79</v>
      </c>
      <c r="BS17" s="2" t="s">
        <v>79</v>
      </c>
      <c r="BT17" s="2" t="s">
        <v>79</v>
      </c>
      <c r="BU17" s="2" t="s">
        <v>79</v>
      </c>
      <c r="BV17" s="2" t="s">
        <v>79</v>
      </c>
      <c r="BW17" s="2" t="s">
        <v>91</v>
      </c>
      <c r="BX17" s="2" t="s">
        <v>91</v>
      </c>
      <c r="BY17" s="2" t="s">
        <v>79</v>
      </c>
      <c r="BZ17" s="2" t="s">
        <v>91</v>
      </c>
      <c r="CA17" s="2" t="s">
        <v>91</v>
      </c>
      <c r="CB17">
        <f>TTEST(AS17:AW17,AI17:AM17,2,2)</f>
        <v>8.9863875489736375E-6</v>
      </c>
      <c r="CC17">
        <f>TTEST(AD17:AH17,AI17:AM17,2,2)</f>
        <v>5.9231433355915539E-7</v>
      </c>
      <c r="CD17">
        <f>TTEST(AN17:AR17,AI17:AM17,2,2)</f>
        <v>2.2645461581910559E-5</v>
      </c>
      <c r="CE17">
        <f>TTEST(AX17:BB17,AI17:AM17,2,2)</f>
        <v>2.4074723245079881E-3</v>
      </c>
      <c r="CF17">
        <v>22</v>
      </c>
      <c r="CG17">
        <v>44</v>
      </c>
      <c r="CH17">
        <v>30</v>
      </c>
      <c r="CI17">
        <v>63</v>
      </c>
      <c r="CJ17">
        <f>0.05*CF17/464</f>
        <v>2.3706896551724142E-3</v>
      </c>
      <c r="CK17">
        <f>0.05*CG17/464</f>
        <v>4.7413793103448284E-3</v>
      </c>
      <c r="CL17">
        <f>0.05*CH17/464</f>
        <v>3.2327586206896551E-3</v>
      </c>
      <c r="CM17">
        <f>0.05*CI17/464</f>
        <v>6.7887931034482764E-3</v>
      </c>
      <c r="CN17" t="str">
        <f>IF(CB17&lt;CJ17,"yes","no")</f>
        <v>yes</v>
      </c>
      <c r="CO17" t="str">
        <f>IF(CC17&lt;CK17,"yes","no")</f>
        <v>yes</v>
      </c>
      <c r="CP17" t="str">
        <f>IF(CD17&lt;CL17,"yes","no")</f>
        <v>yes</v>
      </c>
      <c r="CQ17" t="str">
        <f>IF(CE17&lt;CM17,"yes","no")</f>
        <v>yes</v>
      </c>
      <c r="CR17">
        <f>TTEST(AS17:AW17,AD17:AH17,2,2)</f>
        <v>1.4324236562530211E-6</v>
      </c>
      <c r="CS17">
        <f>TTEST(AS17:AW17,AN17:AR17,2,2)</f>
        <v>1.1691247536061108E-3</v>
      </c>
      <c r="CT17">
        <f>TTEST(AS17:AW17,AX17:BB17,2,2)</f>
        <v>1.2215653293635556E-5</v>
      </c>
      <c r="CU17">
        <v>61</v>
      </c>
      <c r="CV17">
        <v>94</v>
      </c>
      <c r="CW17">
        <v>16</v>
      </c>
      <c r="CX17">
        <f t="shared" si="0"/>
        <v>6.5732758620689665E-3</v>
      </c>
      <c r="CY17">
        <f t="shared" si="1"/>
        <v>1.0129310344827587E-2</v>
      </c>
      <c r="CZ17">
        <f t="shared" si="2"/>
        <v>1.724137931034483E-3</v>
      </c>
      <c r="DA17" t="str">
        <f>IF(CR17&lt;CX17,"yes","no")</f>
        <v>yes</v>
      </c>
      <c r="DB17" t="str">
        <f>IF(CS17&lt;CY17,"yes","no")</f>
        <v>yes</v>
      </c>
      <c r="DC17" t="str">
        <f>IF(CT17&lt;CZ17,"yes","no")</f>
        <v>yes</v>
      </c>
    </row>
    <row r="18" spans="1:107" x14ac:dyDescent="0.2">
      <c r="A18" s="2" t="b">
        <v>0</v>
      </c>
      <c r="B18" s="2" t="s">
        <v>79</v>
      </c>
      <c r="C18" s="2" t="s">
        <v>80</v>
      </c>
      <c r="D18" s="2" t="s">
        <v>266</v>
      </c>
      <c r="E18" s="2" t="s">
        <v>267</v>
      </c>
      <c r="F18" s="2">
        <v>7</v>
      </c>
      <c r="G18" s="2">
        <v>4</v>
      </c>
      <c r="H18" s="2">
        <v>24.4</v>
      </c>
      <c r="I18" s="2">
        <v>5.63</v>
      </c>
      <c r="J18" s="2" t="s">
        <v>254</v>
      </c>
      <c r="K18" s="2" t="s">
        <v>84</v>
      </c>
      <c r="L18" s="2" t="s">
        <v>83</v>
      </c>
      <c r="M18" s="2" t="s">
        <v>268</v>
      </c>
      <c r="N18" s="2" t="s">
        <v>266</v>
      </c>
      <c r="O18" s="2">
        <v>5.1289999999999996</v>
      </c>
      <c r="P18" s="2">
        <v>0.94399999999999995</v>
      </c>
      <c r="Q18" s="2">
        <v>0.38100000000000001</v>
      </c>
      <c r="R18" s="2">
        <v>0.78300000000000003</v>
      </c>
      <c r="S18" s="2">
        <v>3.5289999999999999</v>
      </c>
      <c r="T18" s="2">
        <v>0.76400000000000001</v>
      </c>
      <c r="U18" s="2">
        <v>0.38800000000000001</v>
      </c>
      <c r="V18" s="2">
        <v>0.29399999999999998</v>
      </c>
      <c r="W18" s="2">
        <v>0.13100000000000001</v>
      </c>
      <c r="X18" s="2">
        <v>0.504</v>
      </c>
      <c r="Y18" s="2">
        <v>61</v>
      </c>
      <c r="Z18" s="2">
        <v>80.8</v>
      </c>
      <c r="AA18" s="2">
        <v>275</v>
      </c>
      <c r="AB18" s="2">
        <v>54.9</v>
      </c>
      <c r="AC18" s="2">
        <v>28.3</v>
      </c>
      <c r="AD18" s="2">
        <v>147602860.41015601</v>
      </c>
      <c r="AE18" s="2">
        <v>123197927.464844</v>
      </c>
      <c r="AF18" s="2">
        <v>114450639.378906</v>
      </c>
      <c r="AG18" s="2">
        <v>138740461.34375</v>
      </c>
      <c r="AH18" s="2">
        <v>140519121.88281301</v>
      </c>
      <c r="AI18" s="2">
        <v>3798088.6528320299</v>
      </c>
      <c r="AJ18" s="2">
        <v>2907065.3354492201</v>
      </c>
      <c r="AK18" s="2">
        <v>3208698.94384766</v>
      </c>
      <c r="AL18" s="2">
        <v>3517353.5947265602</v>
      </c>
      <c r="AM18" s="2">
        <v>3335596.73681641</v>
      </c>
      <c r="AN18" s="2">
        <v>9436603.1640625</v>
      </c>
      <c r="AO18" s="2">
        <v>10271888.998046899</v>
      </c>
      <c r="AP18" s="2">
        <v>13505854.755371099</v>
      </c>
      <c r="AQ18" s="2">
        <v>10878408.629882799</v>
      </c>
      <c r="AR18" s="2">
        <v>15190119.614746099</v>
      </c>
      <c r="AS18" s="2">
        <v>16522285.3037109</v>
      </c>
      <c r="AT18" s="2">
        <v>24170141.4375</v>
      </c>
      <c r="AU18" s="2">
        <v>16072869.7026367</v>
      </c>
      <c r="AV18" s="2">
        <v>16316913.154785199</v>
      </c>
      <c r="AW18" s="2">
        <v>21256183.559570301</v>
      </c>
      <c r="AX18" s="2">
        <v>2811640.3154296898</v>
      </c>
      <c r="AY18" s="2">
        <v>3353983.5629882799</v>
      </c>
      <c r="AZ18" s="2">
        <v>3658483.9169921898</v>
      </c>
      <c r="BA18" s="2">
        <v>3042660.828125</v>
      </c>
      <c r="BB18" s="2">
        <v>3364878.5078125</v>
      </c>
      <c r="BC18" s="2" t="s">
        <v>79</v>
      </c>
      <c r="BD18" s="2" t="s">
        <v>79</v>
      </c>
      <c r="BE18" s="2" t="s">
        <v>79</v>
      </c>
      <c r="BF18" s="2" t="s">
        <v>79</v>
      </c>
      <c r="BG18" s="2" t="s">
        <v>79</v>
      </c>
      <c r="BH18" s="2" t="s">
        <v>91</v>
      </c>
      <c r="BI18" s="2" t="s">
        <v>79</v>
      </c>
      <c r="BJ18" s="2" t="s">
        <v>79</v>
      </c>
      <c r="BK18" s="2" t="s">
        <v>79</v>
      </c>
      <c r="BL18" s="2" t="s">
        <v>79</v>
      </c>
      <c r="BM18" s="2" t="s">
        <v>79</v>
      </c>
      <c r="BN18" s="2" t="s">
        <v>79</v>
      </c>
      <c r="BO18" s="2" t="s">
        <v>79</v>
      </c>
      <c r="BP18" s="2" t="s">
        <v>79</v>
      </c>
      <c r="BQ18" s="2" t="s">
        <v>79</v>
      </c>
      <c r="BR18" s="2" t="s">
        <v>79</v>
      </c>
      <c r="BS18" s="2" t="s">
        <v>79</v>
      </c>
      <c r="BT18" s="2" t="s">
        <v>79</v>
      </c>
      <c r="BU18" s="2" t="s">
        <v>79</v>
      </c>
      <c r="BV18" s="2" t="s">
        <v>79</v>
      </c>
      <c r="BW18" s="2" t="s">
        <v>91</v>
      </c>
      <c r="BX18" s="2" t="s">
        <v>79</v>
      </c>
      <c r="BY18" s="2" t="s">
        <v>91</v>
      </c>
      <c r="BZ18" s="2" t="s">
        <v>91</v>
      </c>
      <c r="CA18" s="2" t="s">
        <v>91</v>
      </c>
      <c r="CB18">
        <f>TTEST(AS18:AW18,AI18:AM18,2,2)</f>
        <v>1.3087682582552518E-5</v>
      </c>
      <c r="CC18">
        <f>TTEST(AD18:AH18,AI18:AM18,2,2)</f>
        <v>2.5281611012391489E-8</v>
      </c>
      <c r="CD18">
        <f>TTEST(AN18:AR18,AI18:AM18,2,2)</f>
        <v>5.1069519674905473E-5</v>
      </c>
      <c r="CE18">
        <f>TTEST(AX18:BB18,AI18:AM18,2,2)</f>
        <v>0.62190258611303639</v>
      </c>
      <c r="CF18">
        <v>28</v>
      </c>
      <c r="CG18">
        <v>9</v>
      </c>
      <c r="CH18">
        <v>43</v>
      </c>
      <c r="CI18">
        <v>170</v>
      </c>
      <c r="CJ18">
        <f>0.05*CF18/464</f>
        <v>3.0172413793103452E-3</v>
      </c>
      <c r="CK18">
        <f>0.05*CG18/464</f>
        <v>9.6982758620689654E-4</v>
      </c>
      <c r="CL18">
        <f>0.05*CH18/464</f>
        <v>4.6336206896551721E-3</v>
      </c>
      <c r="CM18">
        <f>0.05*CI18/464</f>
        <v>1.8318965517241378E-2</v>
      </c>
      <c r="CN18" t="str">
        <f>IF(CB18&lt;CJ18,"yes","no")</f>
        <v>yes</v>
      </c>
      <c r="CO18" t="str">
        <f>IF(CC18&lt;CK18,"yes","no")</f>
        <v>yes</v>
      </c>
      <c r="CP18" t="str">
        <f>IF(CD18&lt;CL18,"yes","no")</f>
        <v>yes</v>
      </c>
      <c r="CQ18" t="str">
        <f>IF(CE18&lt;CM18,"yes","no")</f>
        <v>no</v>
      </c>
      <c r="CR18">
        <f>TTEST(AS18:AW18,AD18:AH18,2,2)</f>
        <v>9.029546827434372E-8</v>
      </c>
      <c r="CS18">
        <f>TTEST(AS18:AW18,AN18:AR18,2,2)</f>
        <v>7.2099949207951276E-3</v>
      </c>
      <c r="CT18">
        <f>TTEST(AS18:AW18,AX18:BB18,2,2)</f>
        <v>1.242139126244039E-5</v>
      </c>
      <c r="CU18">
        <v>14</v>
      </c>
      <c r="CV18">
        <v>125</v>
      </c>
      <c r="CW18">
        <v>17</v>
      </c>
      <c r="CX18">
        <f t="shared" si="0"/>
        <v>1.5086206896551726E-3</v>
      </c>
      <c r="CY18">
        <f t="shared" si="1"/>
        <v>1.3469827586206896E-2</v>
      </c>
      <c r="CZ18">
        <f t="shared" si="2"/>
        <v>1.8318965517241381E-3</v>
      </c>
      <c r="DA18" t="str">
        <f>IF(CR18&lt;CX18,"yes","no")</f>
        <v>yes</v>
      </c>
      <c r="DB18" t="str">
        <f>IF(CS18&lt;CY18,"yes","no")</f>
        <v>yes</v>
      </c>
      <c r="DC18" t="str">
        <f>IF(CT18&lt;CZ18,"yes","no")</f>
        <v>yes</v>
      </c>
    </row>
    <row r="19" spans="1:107" x14ac:dyDescent="0.2">
      <c r="A19" s="2" t="b">
        <v>0</v>
      </c>
      <c r="B19" s="2" t="s">
        <v>79</v>
      </c>
      <c r="C19" s="2" t="s">
        <v>80</v>
      </c>
      <c r="D19" s="2" t="s">
        <v>212</v>
      </c>
      <c r="E19" s="2" t="s">
        <v>213</v>
      </c>
      <c r="F19" s="2">
        <v>10</v>
      </c>
      <c r="G19" s="2">
        <v>4</v>
      </c>
      <c r="H19" s="2">
        <v>60.3</v>
      </c>
      <c r="I19" s="2">
        <v>7.83</v>
      </c>
      <c r="J19" s="2" t="s">
        <v>89</v>
      </c>
      <c r="K19" s="2" t="s">
        <v>83</v>
      </c>
      <c r="L19" s="2" t="s">
        <v>102</v>
      </c>
      <c r="M19" s="2" t="s">
        <v>83</v>
      </c>
      <c r="N19" s="2" t="s">
        <v>212</v>
      </c>
      <c r="O19" s="2">
        <v>13.605</v>
      </c>
      <c r="P19" s="2">
        <v>96.04</v>
      </c>
      <c r="Q19" s="2">
        <v>2.64</v>
      </c>
      <c r="R19" s="2">
        <v>2.996</v>
      </c>
      <c r="S19" s="2">
        <v>56.414000000000001</v>
      </c>
      <c r="T19" s="2">
        <v>100</v>
      </c>
      <c r="U19" s="2" t="s">
        <v>83</v>
      </c>
      <c r="V19" s="2">
        <v>7.1669999999999998</v>
      </c>
      <c r="W19" s="2">
        <v>0.23100000000000001</v>
      </c>
      <c r="X19" s="2">
        <v>2.5000000000000001E-2</v>
      </c>
      <c r="Y19" s="2">
        <v>4</v>
      </c>
      <c r="Z19" s="2">
        <v>0.6</v>
      </c>
      <c r="AA19" s="2">
        <v>64.099999999999994</v>
      </c>
      <c r="AB19" s="2">
        <v>427.6</v>
      </c>
      <c r="AC19" s="2">
        <v>3.7</v>
      </c>
      <c r="AD19" s="2">
        <v>1784927.65234375</v>
      </c>
      <c r="AE19" s="2">
        <v>1517701.421875</v>
      </c>
      <c r="AF19" s="2">
        <v>1338525.0703125</v>
      </c>
      <c r="AG19" s="2">
        <v>1756579.9921875</v>
      </c>
      <c r="AH19" s="2">
        <v>1420640.328125</v>
      </c>
      <c r="AI19" s="2">
        <v>5416.5412597656295</v>
      </c>
      <c r="AJ19" s="2">
        <v>4703.6201171875</v>
      </c>
      <c r="AK19" s="2">
        <v>4441.97509765625</v>
      </c>
      <c r="AL19" s="2">
        <v>6999.89208984375</v>
      </c>
      <c r="AM19" s="2" t="s">
        <v>83</v>
      </c>
      <c r="AN19" s="2">
        <v>413489.919921875</v>
      </c>
      <c r="AO19" s="2">
        <v>515756.60791015602</v>
      </c>
      <c r="AP19" s="2">
        <v>575543.51074218797</v>
      </c>
      <c r="AQ19" s="2">
        <v>524863.234375</v>
      </c>
      <c r="AR19" s="2">
        <v>625220.54785156297</v>
      </c>
      <c r="AS19" s="2">
        <v>20818448.091796901</v>
      </c>
      <c r="AT19" s="2">
        <v>35547933.8037109</v>
      </c>
      <c r="AU19" s="2">
        <v>20814174.0859375</v>
      </c>
      <c r="AV19" s="2">
        <v>23703507.162109401</v>
      </c>
      <c r="AW19" s="2">
        <v>28183348.5</v>
      </c>
      <c r="AX19" s="2">
        <v>65629.6328125</v>
      </c>
      <c r="AY19" s="2">
        <v>107180.37890625</v>
      </c>
      <c r="AZ19" s="2">
        <v>80780.640625</v>
      </c>
      <c r="BA19" s="2">
        <v>201976.984375</v>
      </c>
      <c r="BB19" s="2">
        <v>159096.6953125</v>
      </c>
      <c r="BC19" s="2" t="s">
        <v>79</v>
      </c>
      <c r="BD19" s="2" t="s">
        <v>79</v>
      </c>
      <c r="BE19" s="2" t="s">
        <v>79</v>
      </c>
      <c r="BF19" s="2" t="s">
        <v>79</v>
      </c>
      <c r="BG19" s="2" t="s">
        <v>79</v>
      </c>
      <c r="BH19" s="2" t="s">
        <v>98</v>
      </c>
      <c r="BI19" s="2" t="s">
        <v>98</v>
      </c>
      <c r="BJ19" s="2" t="s">
        <v>98</v>
      </c>
      <c r="BK19" s="2" t="s">
        <v>98</v>
      </c>
      <c r="BL19" s="2" t="s">
        <v>98</v>
      </c>
      <c r="BM19" s="2" t="s">
        <v>79</v>
      </c>
      <c r="BN19" s="2" t="s">
        <v>79</v>
      </c>
      <c r="BO19" s="2" t="s">
        <v>79</v>
      </c>
      <c r="BP19" s="2" t="s">
        <v>79</v>
      </c>
      <c r="BQ19" s="2" t="s">
        <v>79</v>
      </c>
      <c r="BR19" s="2" t="s">
        <v>79</v>
      </c>
      <c r="BS19" s="2" t="s">
        <v>79</v>
      </c>
      <c r="BT19" s="2" t="s">
        <v>79</v>
      </c>
      <c r="BU19" s="2" t="s">
        <v>79</v>
      </c>
      <c r="BV19" s="2" t="s">
        <v>79</v>
      </c>
      <c r="BW19" s="2" t="s">
        <v>91</v>
      </c>
      <c r="BX19" s="2" t="s">
        <v>79</v>
      </c>
      <c r="BY19" s="2" t="s">
        <v>91</v>
      </c>
      <c r="BZ19" s="2" t="s">
        <v>79</v>
      </c>
      <c r="CA19" s="2" t="s">
        <v>79</v>
      </c>
      <c r="CB19">
        <f>TTEST(AS19:AW19,AI19:AM19,2,2)</f>
        <v>7.8938732553926735E-5</v>
      </c>
      <c r="CC19">
        <f>TTEST(AD19:AH19,AI19:AM19,2,2)</f>
        <v>1.1784961465933487E-6</v>
      </c>
      <c r="CD19">
        <f>TTEST(AN19:AR19,AI19:AM19,2,2)</f>
        <v>3.4772529513082546E-6</v>
      </c>
      <c r="CE19">
        <f>TTEST(AX19:BB19,AI19:AM19,2,2)</f>
        <v>4.6501037930354421E-3</v>
      </c>
      <c r="CF19">
        <v>60</v>
      </c>
      <c r="CG19">
        <v>55</v>
      </c>
      <c r="CH19">
        <v>14</v>
      </c>
      <c r="CI19">
        <v>74</v>
      </c>
      <c r="CJ19">
        <f>0.05*CF19/464</f>
        <v>6.4655172413793103E-3</v>
      </c>
      <c r="CK19">
        <f>0.05*CG19/464</f>
        <v>5.9267241379310342E-3</v>
      </c>
      <c r="CL19">
        <f>0.05*CH19/464</f>
        <v>1.5086206896551726E-3</v>
      </c>
      <c r="CM19">
        <f>0.05*CI19/464</f>
        <v>7.9741379310344831E-3</v>
      </c>
      <c r="CN19" t="str">
        <f>IF(CB19&lt;CJ19,"yes","no")</f>
        <v>yes</v>
      </c>
      <c r="CO19" t="str">
        <f>IF(CC19&lt;CK19,"yes","no")</f>
        <v>yes</v>
      </c>
      <c r="CP19" t="str">
        <f>IF(CD19&lt;CL19,"yes","no")</f>
        <v>yes</v>
      </c>
      <c r="CQ19" t="str">
        <f>IF(CE19&lt;CM19,"yes","no")</f>
        <v>yes</v>
      </c>
      <c r="CR19">
        <f>TTEST(AS19:AW19,AD19:AH19,2,2)</f>
        <v>2.3507131778865774E-5</v>
      </c>
      <c r="CS19">
        <f>TTEST(AS19:AW19,AN19:AR19,2,2)</f>
        <v>1.7254797253705576E-5</v>
      </c>
      <c r="CT19">
        <f>TTEST(AS19:AW19,AX19:BB19,2,2)</f>
        <v>1.5329318167677245E-5</v>
      </c>
      <c r="CU19">
        <v>105</v>
      </c>
      <c r="CV19">
        <v>18</v>
      </c>
      <c r="CW19">
        <v>18</v>
      </c>
      <c r="CX19">
        <f t="shared" si="0"/>
        <v>1.1314655172413793E-2</v>
      </c>
      <c r="CY19">
        <f t="shared" si="1"/>
        <v>1.9396551724137931E-3</v>
      </c>
      <c r="CZ19">
        <f t="shared" si="2"/>
        <v>1.9396551724137931E-3</v>
      </c>
      <c r="DA19" t="str">
        <f>IF(CR19&lt;CX19,"yes","no")</f>
        <v>yes</v>
      </c>
      <c r="DB19" t="str">
        <f>IF(CS19&lt;CY19,"yes","no")</f>
        <v>yes</v>
      </c>
      <c r="DC19" t="str">
        <f>IF(CT19&lt;CZ19,"yes","no")</f>
        <v>yes</v>
      </c>
    </row>
    <row r="20" spans="1:107" x14ac:dyDescent="0.2">
      <c r="A20" s="2" t="b">
        <v>0</v>
      </c>
      <c r="B20" s="2" t="s">
        <v>79</v>
      </c>
      <c r="C20" s="2" t="s">
        <v>80</v>
      </c>
      <c r="D20" s="2" t="s">
        <v>236</v>
      </c>
      <c r="E20" s="2" t="s">
        <v>237</v>
      </c>
      <c r="F20" s="2">
        <v>9</v>
      </c>
      <c r="G20" s="2">
        <v>9</v>
      </c>
      <c r="H20" s="2">
        <v>54.7</v>
      </c>
      <c r="I20" s="2">
        <v>6.05</v>
      </c>
      <c r="J20" s="2" t="s">
        <v>238</v>
      </c>
      <c r="K20" s="2" t="s">
        <v>239</v>
      </c>
      <c r="L20" s="2" t="s">
        <v>218</v>
      </c>
      <c r="M20" s="2" t="s">
        <v>83</v>
      </c>
      <c r="N20" s="2" t="s">
        <v>240</v>
      </c>
      <c r="O20" s="2">
        <v>2.5999999999999999E-2</v>
      </c>
      <c r="P20" s="2">
        <v>0.01</v>
      </c>
      <c r="Q20" s="2">
        <v>3.6999999999999998E-2</v>
      </c>
      <c r="R20" s="2">
        <v>100</v>
      </c>
      <c r="S20" s="2">
        <v>100</v>
      </c>
      <c r="T20" s="2">
        <v>100</v>
      </c>
      <c r="U20" s="2">
        <v>100</v>
      </c>
      <c r="V20" s="2">
        <v>0.13700000000000001</v>
      </c>
      <c r="W20" s="2">
        <v>1.2</v>
      </c>
      <c r="X20" s="2">
        <v>3.2080000000000002</v>
      </c>
      <c r="Y20" s="2">
        <v>475.9</v>
      </c>
      <c r="Z20" s="2" t="s">
        <v>83</v>
      </c>
      <c r="AA20" s="2">
        <v>7.7</v>
      </c>
      <c r="AB20" s="2">
        <v>2.1</v>
      </c>
      <c r="AC20" s="2">
        <v>14.2</v>
      </c>
      <c r="AD20" s="2">
        <v>115981875.949219</v>
      </c>
      <c r="AE20" s="2">
        <v>97497940.996093795</v>
      </c>
      <c r="AF20" s="2">
        <v>98814313.316406295</v>
      </c>
      <c r="AG20" s="2">
        <v>116157338.128906</v>
      </c>
      <c r="AH20" s="2">
        <v>118618630.109375</v>
      </c>
      <c r="AI20" s="2" t="s">
        <v>83</v>
      </c>
      <c r="AJ20" s="2" t="s">
        <v>83</v>
      </c>
      <c r="AK20" s="2" t="s">
        <v>83</v>
      </c>
      <c r="AL20" s="2" t="s">
        <v>83</v>
      </c>
      <c r="AM20" s="2" t="s">
        <v>83</v>
      </c>
      <c r="AN20" s="2">
        <v>81490.427978515596</v>
      </c>
      <c r="AO20" s="2">
        <v>42895.606933593801</v>
      </c>
      <c r="AP20" s="2">
        <v>40678.64453125</v>
      </c>
      <c r="AQ20" s="2">
        <v>32973.645263671897</v>
      </c>
      <c r="AR20" s="2">
        <v>43804.98828125</v>
      </c>
      <c r="AS20" s="2">
        <v>65719.567626953096</v>
      </c>
      <c r="AT20" s="2">
        <v>82958.568359375</v>
      </c>
      <c r="AU20" s="2">
        <v>68318.187988281294</v>
      </c>
      <c r="AV20" s="2">
        <v>84095.752441406294</v>
      </c>
      <c r="AW20" s="2">
        <v>30489.2841796875</v>
      </c>
      <c r="AX20" s="2">
        <v>162590.34912109401</v>
      </c>
      <c r="AY20" s="2">
        <v>153221.1796875</v>
      </c>
      <c r="AZ20" s="2">
        <v>166892.17919921901</v>
      </c>
      <c r="BA20" s="2">
        <v>168466.173828125</v>
      </c>
      <c r="BB20" s="2">
        <v>150781.87573242199</v>
      </c>
      <c r="BC20" s="2" t="s">
        <v>79</v>
      </c>
      <c r="BD20" s="2" t="s">
        <v>79</v>
      </c>
      <c r="BE20" s="2" t="s">
        <v>79</v>
      </c>
      <c r="BF20" s="2" t="s">
        <v>79</v>
      </c>
      <c r="BG20" s="2" t="s">
        <v>79</v>
      </c>
      <c r="BH20" s="2" t="s">
        <v>91</v>
      </c>
      <c r="BI20" s="2" t="s">
        <v>98</v>
      </c>
      <c r="BJ20" s="2" t="s">
        <v>98</v>
      </c>
      <c r="BK20" s="2" t="s">
        <v>98</v>
      </c>
      <c r="BL20" s="2" t="s">
        <v>98</v>
      </c>
      <c r="BM20" s="2" t="s">
        <v>79</v>
      </c>
      <c r="BN20" s="2" t="s">
        <v>79</v>
      </c>
      <c r="BO20" s="2" t="s">
        <v>79</v>
      </c>
      <c r="BP20" s="2" t="s">
        <v>79</v>
      </c>
      <c r="BQ20" s="2" t="s">
        <v>79</v>
      </c>
      <c r="BR20" s="2" t="s">
        <v>91</v>
      </c>
      <c r="BS20" s="2" t="s">
        <v>91</v>
      </c>
      <c r="BT20" s="2" t="s">
        <v>91</v>
      </c>
      <c r="BU20" s="2" t="s">
        <v>91</v>
      </c>
      <c r="BV20" s="2" t="s">
        <v>91</v>
      </c>
      <c r="BW20" s="2" t="s">
        <v>79</v>
      </c>
      <c r="BX20" s="2" t="s">
        <v>79</v>
      </c>
      <c r="BY20" s="2" t="s">
        <v>79</v>
      </c>
      <c r="BZ20" s="2" t="s">
        <v>79</v>
      </c>
      <c r="CA20" s="2" t="s">
        <v>91</v>
      </c>
      <c r="CB20" t="e">
        <f>TTEST(AS20:AW20,AI20:AM20,2,2)</f>
        <v>#DIV/0!</v>
      </c>
      <c r="CC20" t="e">
        <f>TTEST(AD20:AH20,AI20:AM20,2,2)</f>
        <v>#DIV/0!</v>
      </c>
      <c r="CD20" t="e">
        <f>TTEST(AN20:AR20,AI20:AM20,2,2)</f>
        <v>#DIV/0!</v>
      </c>
      <c r="CE20" t="e">
        <f>TTEST(AX20:BB20,AI20:AM20,2,2)</f>
        <v>#DIV/0!</v>
      </c>
      <c r="CF20">
        <v>230</v>
      </c>
      <c r="CG20">
        <v>244</v>
      </c>
      <c r="CH20">
        <v>248</v>
      </c>
      <c r="CI20">
        <v>265</v>
      </c>
      <c r="CJ20">
        <f>0.05*CF20/464</f>
        <v>2.4784482758620691E-2</v>
      </c>
      <c r="CK20">
        <f>0.05*CG20/464</f>
        <v>2.6293103448275866E-2</v>
      </c>
      <c r="CL20">
        <f>0.05*CH20/464</f>
        <v>2.6724137931034484E-2</v>
      </c>
      <c r="CM20">
        <f>0.05*CI20/464</f>
        <v>2.8556034482758622E-2</v>
      </c>
      <c r="CN20" t="e">
        <f>IF(CB20&lt;CJ20,"yes","no")</f>
        <v>#DIV/0!</v>
      </c>
      <c r="CO20" t="e">
        <f>IF(CC20&lt;CK20,"yes","no")</f>
        <v>#DIV/0!</v>
      </c>
      <c r="CP20" t="e">
        <f>IF(CD20&lt;CL20,"yes","no")</f>
        <v>#DIV/0!</v>
      </c>
      <c r="CQ20" t="e">
        <f>IF(CE20&lt;CM20,"yes","no")</f>
        <v>#DIV/0!</v>
      </c>
      <c r="CR20">
        <f>TTEST(AS20:AW20,AD20:AH20,2,2)</f>
        <v>1.0886630102101268E-8</v>
      </c>
      <c r="CS20">
        <f>TTEST(AS20:AW20,AN20:AR20,2,2)</f>
        <v>0.20141091414165926</v>
      </c>
      <c r="CT20">
        <f>TTEST(AS20:AW20,AX20:BB20,2,2)</f>
        <v>1.7074036240912025E-5</v>
      </c>
      <c r="CU20">
        <v>4</v>
      </c>
      <c r="CV20">
        <v>199</v>
      </c>
      <c r="CW20">
        <v>19</v>
      </c>
      <c r="CX20">
        <f t="shared" si="0"/>
        <v>4.3103448275862074E-4</v>
      </c>
      <c r="CY20">
        <f t="shared" si="1"/>
        <v>2.1443965517241381E-2</v>
      </c>
      <c r="CZ20">
        <f t="shared" si="2"/>
        <v>2.0474137931034485E-3</v>
      </c>
      <c r="DA20" t="str">
        <f>IF(CR20&lt;CX20,"yes","no")</f>
        <v>yes</v>
      </c>
      <c r="DB20" t="str">
        <f>IF(CS20&lt;CY20,"yes","no")</f>
        <v>no</v>
      </c>
      <c r="DC20" t="str">
        <f>IF(CT20&lt;CZ20,"yes","no")</f>
        <v>yes</v>
      </c>
    </row>
    <row r="21" spans="1:107" x14ac:dyDescent="0.2">
      <c r="A21" s="2" t="b">
        <v>0</v>
      </c>
      <c r="B21" s="2" t="s">
        <v>79</v>
      </c>
      <c r="C21" s="2" t="s">
        <v>80</v>
      </c>
      <c r="D21" s="2" t="s">
        <v>721</v>
      </c>
      <c r="E21" s="2" t="s">
        <v>722</v>
      </c>
      <c r="F21" s="2">
        <v>3</v>
      </c>
      <c r="G21" s="2">
        <v>1</v>
      </c>
      <c r="H21" s="2">
        <v>11.6</v>
      </c>
      <c r="I21" s="2">
        <v>7.97</v>
      </c>
      <c r="J21" s="2" t="s">
        <v>83</v>
      </c>
      <c r="K21" s="2" t="s">
        <v>83</v>
      </c>
      <c r="L21" s="2" t="s">
        <v>83</v>
      </c>
      <c r="M21" s="2" t="s">
        <v>83</v>
      </c>
      <c r="N21" s="2" t="s">
        <v>721</v>
      </c>
      <c r="O21" s="2">
        <v>5.2770000000000001</v>
      </c>
      <c r="P21" s="2">
        <v>1.0109999999999999</v>
      </c>
      <c r="Q21" s="2">
        <v>0.88300000000000001</v>
      </c>
      <c r="R21" s="2">
        <v>0.45</v>
      </c>
      <c r="S21" s="2">
        <v>1.851</v>
      </c>
      <c r="T21" s="2">
        <v>0.56000000000000005</v>
      </c>
      <c r="U21" s="2">
        <v>0.55200000000000005</v>
      </c>
      <c r="V21" s="2">
        <v>0.24199999999999999</v>
      </c>
      <c r="W21" s="2">
        <v>0.29099999999999998</v>
      </c>
      <c r="X21" s="2">
        <v>0.89800000000000002</v>
      </c>
      <c r="Y21" s="2">
        <v>61.9</v>
      </c>
      <c r="Z21" s="2">
        <v>113.2</v>
      </c>
      <c r="AA21" s="2">
        <v>203.3</v>
      </c>
      <c r="AB21" s="2">
        <v>64.900000000000006</v>
      </c>
      <c r="AC21" s="2">
        <v>56.7</v>
      </c>
      <c r="AD21" s="2">
        <v>5635663.0488281297</v>
      </c>
      <c r="AE21" s="2">
        <v>4211613.2753906297</v>
      </c>
      <c r="AF21" s="2">
        <v>3739601.98828125</v>
      </c>
      <c r="AG21" s="2">
        <v>4023651.7734375</v>
      </c>
      <c r="AH21" s="2">
        <v>3884431.171875</v>
      </c>
      <c r="AI21" s="2">
        <v>211906.51269531299</v>
      </c>
      <c r="AJ21" s="2">
        <v>97816.9609375</v>
      </c>
      <c r="AK21" s="2">
        <v>176481.240234375</v>
      </c>
      <c r="AL21" s="2">
        <v>181419.55859375</v>
      </c>
      <c r="AM21" s="2">
        <v>130602.283203125</v>
      </c>
      <c r="AN21" s="2">
        <v>214017.48046875</v>
      </c>
      <c r="AO21" s="2">
        <v>270194.189453125</v>
      </c>
      <c r="AP21" s="2">
        <v>305089.03369140602</v>
      </c>
      <c r="AQ21" s="2">
        <v>308921.8203125</v>
      </c>
      <c r="AR21" s="2">
        <v>590722.072265625</v>
      </c>
      <c r="AS21" s="2">
        <v>637700.453125</v>
      </c>
      <c r="AT21" s="2">
        <v>852457.64453125</v>
      </c>
      <c r="AU21" s="2">
        <v>605115.828125</v>
      </c>
      <c r="AV21" s="2">
        <v>576754.087890625</v>
      </c>
      <c r="AW21" s="2">
        <v>777387.1328125</v>
      </c>
      <c r="AX21" s="2">
        <v>212443.203125</v>
      </c>
      <c r="AY21" s="2">
        <v>166553.109375</v>
      </c>
      <c r="AZ21" s="2">
        <v>215089.01953125</v>
      </c>
      <c r="BA21" s="2">
        <v>214393.31640625</v>
      </c>
      <c r="BB21" s="2">
        <v>186953.53515625</v>
      </c>
      <c r="BC21" s="2" t="s">
        <v>79</v>
      </c>
      <c r="BD21" s="2" t="s">
        <v>79</v>
      </c>
      <c r="BE21" s="2" t="s">
        <v>79</v>
      </c>
      <c r="BF21" s="2" t="s">
        <v>79</v>
      </c>
      <c r="BG21" s="2" t="s">
        <v>79</v>
      </c>
      <c r="BH21" s="2" t="s">
        <v>79</v>
      </c>
      <c r="BI21" s="2" t="s">
        <v>91</v>
      </c>
      <c r="BJ21" s="2" t="s">
        <v>91</v>
      </c>
      <c r="BK21" s="2" t="s">
        <v>91</v>
      </c>
      <c r="BL21" s="2" t="s">
        <v>91</v>
      </c>
      <c r="BM21" s="2" t="s">
        <v>91</v>
      </c>
      <c r="BN21" s="2" t="s">
        <v>79</v>
      </c>
      <c r="BO21" s="2" t="s">
        <v>79</v>
      </c>
      <c r="BP21" s="2" t="s">
        <v>79</v>
      </c>
      <c r="BQ21" s="2" t="s">
        <v>79</v>
      </c>
      <c r="BR21" s="2" t="s">
        <v>91</v>
      </c>
      <c r="BS21" s="2" t="s">
        <v>91</v>
      </c>
      <c r="BT21" s="2" t="s">
        <v>79</v>
      </c>
      <c r="BU21" s="2" t="s">
        <v>91</v>
      </c>
      <c r="BV21" s="2" t="s">
        <v>79</v>
      </c>
      <c r="BW21" s="2" t="s">
        <v>91</v>
      </c>
      <c r="BX21" s="2" t="s">
        <v>98</v>
      </c>
      <c r="BY21" s="2" t="s">
        <v>91</v>
      </c>
      <c r="BZ21" s="2" t="s">
        <v>91</v>
      </c>
      <c r="CA21" s="2" t="s">
        <v>91</v>
      </c>
      <c r="CB21">
        <f>TTEST(AS21:AW21,AI21:AM21,2,2)</f>
        <v>1.4499215148534731E-5</v>
      </c>
      <c r="CC21">
        <f>TTEST(AD21:AH21,AI21:AM21,2,2)</f>
        <v>2.0871642652032675E-6</v>
      </c>
      <c r="CD21">
        <f>TTEST(AN21:AR21,AI21:AM21,2,2)</f>
        <v>3.1638406853471107E-2</v>
      </c>
      <c r="CE21">
        <f>TTEST(AX21:BB21,AI21:AM21,2,2)</f>
        <v>0.11622198718254362</v>
      </c>
      <c r="CF21">
        <v>30</v>
      </c>
      <c r="CG21">
        <v>64</v>
      </c>
      <c r="CH21">
        <v>114</v>
      </c>
      <c r="CI21">
        <v>123</v>
      </c>
      <c r="CJ21">
        <f>0.05*CF21/464</f>
        <v>3.2327586206896551E-3</v>
      </c>
      <c r="CK21">
        <f>0.05*CG21/464</f>
        <v>6.8965517241379318E-3</v>
      </c>
      <c r="CL21">
        <f>0.05*CH21/464</f>
        <v>1.228448275862069E-2</v>
      </c>
      <c r="CM21">
        <f>0.05*CI21/464</f>
        <v>1.3254310344827587E-2</v>
      </c>
      <c r="CN21" t="str">
        <f>IF(CB21&lt;CJ21,"yes","no")</f>
        <v>yes</v>
      </c>
      <c r="CO21" t="str">
        <f>IF(CC21&lt;CK21,"yes","no")</f>
        <v>yes</v>
      </c>
      <c r="CP21" t="str">
        <f>IF(CD21&lt;CL21,"yes","no")</f>
        <v>no</v>
      </c>
      <c r="CQ21" t="str">
        <f>IF(CE21&lt;CM21,"yes","no")</f>
        <v>no</v>
      </c>
      <c r="CR21">
        <f>TTEST(AS21:AW21,AD21:AH21,2,2)</f>
        <v>6.3595621569762034E-6</v>
      </c>
      <c r="CS21">
        <f>TTEST(AS21:AW21,AN21:AR21,2,2)</f>
        <v>3.1205246254146324E-3</v>
      </c>
      <c r="CT21">
        <f>TTEST(AS21:AW21,AX21:BB21,2,2)</f>
        <v>1.762163825336678E-5</v>
      </c>
      <c r="CU21">
        <v>86</v>
      </c>
      <c r="CV21">
        <v>112</v>
      </c>
      <c r="CW21">
        <v>20</v>
      </c>
      <c r="CX21">
        <f t="shared" si="0"/>
        <v>9.2672413793103443E-3</v>
      </c>
      <c r="CY21">
        <f t="shared" si="1"/>
        <v>1.2068965517241381E-2</v>
      </c>
      <c r="CZ21">
        <f t="shared" si="2"/>
        <v>2.1551724137931034E-3</v>
      </c>
      <c r="DA21" t="str">
        <f>IF(CR21&lt;CX21,"yes","no")</f>
        <v>yes</v>
      </c>
      <c r="DB21" t="str">
        <f>IF(CS21&lt;CY21,"yes","no")</f>
        <v>yes</v>
      </c>
      <c r="DC21" t="str">
        <f>IF(CT21&lt;CZ21,"yes","no")</f>
        <v>yes</v>
      </c>
    </row>
    <row r="22" spans="1:107" x14ac:dyDescent="0.2">
      <c r="A22" s="2" t="b">
        <v>0</v>
      </c>
      <c r="B22" s="2" t="s">
        <v>79</v>
      </c>
      <c r="C22" s="2" t="s">
        <v>80</v>
      </c>
      <c r="D22" s="2" t="s">
        <v>204</v>
      </c>
      <c r="E22" s="2" t="s">
        <v>205</v>
      </c>
      <c r="F22" s="2">
        <v>25</v>
      </c>
      <c r="G22" s="2">
        <v>25</v>
      </c>
      <c r="H22" s="2">
        <v>129.69999999999999</v>
      </c>
      <c r="I22" s="2">
        <v>4.96</v>
      </c>
      <c r="J22" s="2" t="s">
        <v>206</v>
      </c>
      <c r="K22" s="2" t="s">
        <v>207</v>
      </c>
      <c r="L22" s="2" t="s">
        <v>96</v>
      </c>
      <c r="M22" s="2" t="s">
        <v>208</v>
      </c>
      <c r="N22" s="2" t="s">
        <v>204</v>
      </c>
      <c r="O22" s="2">
        <v>7.2619999999999996</v>
      </c>
      <c r="P22" s="2">
        <v>0.53900000000000003</v>
      </c>
      <c r="Q22" s="2">
        <v>3.2</v>
      </c>
      <c r="R22" s="2">
        <v>1.367</v>
      </c>
      <c r="S22" s="2">
        <v>10.013999999999999</v>
      </c>
      <c r="T22" s="2">
        <v>0.71299999999999997</v>
      </c>
      <c r="U22" s="2">
        <v>4.08</v>
      </c>
      <c r="V22" s="2">
        <v>8.5000000000000006E-2</v>
      </c>
      <c r="W22" s="2">
        <v>0.49399999999999999</v>
      </c>
      <c r="X22" s="2">
        <v>6.5650000000000004</v>
      </c>
      <c r="Y22" s="2">
        <v>27</v>
      </c>
      <c r="Z22" s="2">
        <v>14</v>
      </c>
      <c r="AA22" s="2">
        <v>245.6</v>
      </c>
      <c r="AB22" s="2">
        <v>12.8</v>
      </c>
      <c r="AC22" s="2">
        <v>200.6</v>
      </c>
      <c r="AD22" s="2">
        <v>9896383.5214843806</v>
      </c>
      <c r="AE22" s="2">
        <v>8607470.5302734394</v>
      </c>
      <c r="AF22" s="2">
        <v>7909209.5859375</v>
      </c>
      <c r="AG22" s="2">
        <v>6876534.73828125</v>
      </c>
      <c r="AH22" s="2">
        <v>6134692.50390625</v>
      </c>
      <c r="AI22" s="2">
        <v>198915.43457031299</v>
      </c>
      <c r="AJ22" s="2">
        <v>94567.331542968794</v>
      </c>
      <c r="AK22" s="2">
        <v>94606.590087890596</v>
      </c>
      <c r="AL22" s="2">
        <v>110765.49902343799</v>
      </c>
      <c r="AM22" s="2">
        <v>50091.227050781301</v>
      </c>
      <c r="AN22" s="2">
        <v>1302656.3691406299</v>
      </c>
      <c r="AO22" s="2">
        <v>1238083.43896484</v>
      </c>
      <c r="AP22" s="2">
        <v>1695602.56787109</v>
      </c>
      <c r="AQ22" s="2">
        <v>1610649.8271484401</v>
      </c>
      <c r="AR22" s="2">
        <v>1997093.8208007801</v>
      </c>
      <c r="AS22" s="2">
        <v>554336.86621093797</v>
      </c>
      <c r="AT22" s="2">
        <v>1102871.0979003899</v>
      </c>
      <c r="AU22" s="2">
        <v>678519.98413085903</v>
      </c>
      <c r="AV22" s="2">
        <v>568898.76660156297</v>
      </c>
      <c r="AW22" s="2">
        <v>661942.38183593797</v>
      </c>
      <c r="AX22" s="2">
        <v>3308972.5244140602</v>
      </c>
      <c r="AY22" s="2">
        <v>3419222.359375</v>
      </c>
      <c r="AZ22" s="2">
        <v>4670114.0087890597</v>
      </c>
      <c r="BA22" s="2">
        <v>3190431.54931641</v>
      </c>
      <c r="BB22" s="2">
        <v>3026376.4501953102</v>
      </c>
      <c r="BC22" s="2" t="s">
        <v>79</v>
      </c>
      <c r="BD22" s="2" t="s">
        <v>79</v>
      </c>
      <c r="BE22" s="2" t="s">
        <v>79</v>
      </c>
      <c r="BF22" s="2" t="s">
        <v>79</v>
      </c>
      <c r="BG22" s="2" t="s">
        <v>79</v>
      </c>
      <c r="BH22" s="2" t="s">
        <v>79</v>
      </c>
      <c r="BI22" s="2" t="s">
        <v>91</v>
      </c>
      <c r="BJ22" s="2" t="s">
        <v>91</v>
      </c>
      <c r="BK22" s="2" t="s">
        <v>79</v>
      </c>
      <c r="BL22" s="2" t="s">
        <v>79</v>
      </c>
      <c r="BM22" s="2" t="s">
        <v>79</v>
      </c>
      <c r="BN22" s="2" t="s">
        <v>79</v>
      </c>
      <c r="BO22" s="2" t="s">
        <v>79</v>
      </c>
      <c r="BP22" s="2" t="s">
        <v>79</v>
      </c>
      <c r="BQ22" s="2" t="s">
        <v>79</v>
      </c>
      <c r="BR22" s="2" t="s">
        <v>79</v>
      </c>
      <c r="BS22" s="2" t="s">
        <v>79</v>
      </c>
      <c r="BT22" s="2" t="s">
        <v>79</v>
      </c>
      <c r="BU22" s="2" t="s">
        <v>79</v>
      </c>
      <c r="BV22" s="2" t="s">
        <v>79</v>
      </c>
      <c r="BW22" s="2" t="s">
        <v>79</v>
      </c>
      <c r="BX22" s="2" t="s">
        <v>79</v>
      </c>
      <c r="BY22" s="2" t="s">
        <v>79</v>
      </c>
      <c r="BZ22" s="2" t="s">
        <v>79</v>
      </c>
      <c r="CA22" s="2" t="s">
        <v>79</v>
      </c>
      <c r="CB22">
        <f>TTEST(AS22:AW22,AI22:AM22,2,2)</f>
        <v>3.87791525192823E-4</v>
      </c>
      <c r="CC22">
        <f>TTEST(AD22:AH22,AI22:AM22,2,2)</f>
        <v>2.4128139889455792E-6</v>
      </c>
      <c r="CD22">
        <f>TTEST(AN22:AR22,AI22:AM22,2,2)</f>
        <v>6.3173442004243363E-6</v>
      </c>
      <c r="CE22">
        <f>TTEST(AX22:BB22,AI22:AM22,2,2)</f>
        <v>2.8364175118593418E-6</v>
      </c>
      <c r="CF22">
        <v>87</v>
      </c>
      <c r="CG22">
        <v>67</v>
      </c>
      <c r="CH22">
        <v>18</v>
      </c>
      <c r="CI22">
        <v>22</v>
      </c>
      <c r="CJ22">
        <f>0.05*CF22/464</f>
        <v>9.3750000000000014E-3</v>
      </c>
      <c r="CK22">
        <f>0.05*CG22/464</f>
        <v>7.2198275862068971E-3</v>
      </c>
      <c r="CL22">
        <f>0.05*CH22/464</f>
        <v>1.9396551724137931E-3</v>
      </c>
      <c r="CM22">
        <f>0.05*CI22/464</f>
        <v>2.3706896551724142E-3</v>
      </c>
      <c r="CN22" t="str">
        <f>IF(CB22&lt;CJ22,"yes","no")</f>
        <v>yes</v>
      </c>
      <c r="CO22" t="str">
        <f>IF(CC22&lt;CK22,"yes","no")</f>
        <v>yes</v>
      </c>
      <c r="CP22" t="str">
        <f>IF(CD22&lt;CL22,"yes","no")</f>
        <v>yes</v>
      </c>
      <c r="CQ22" t="str">
        <f>IF(CE22&lt;CM22,"yes","no")</f>
        <v>yes</v>
      </c>
      <c r="CR22">
        <f>TTEST(AS22:AW22,AD22:AH22,2,2)</f>
        <v>4.8298933498961444E-6</v>
      </c>
      <c r="CS22">
        <f>TTEST(AS22:AW22,AN22:AR22,2,2)</f>
        <v>1.0399404468246192E-3</v>
      </c>
      <c r="CT22">
        <f>TTEST(AS22:AW22,AX22:BB22,2,2)</f>
        <v>1.7915372091359538E-5</v>
      </c>
      <c r="CU22">
        <v>81</v>
      </c>
      <c r="CV22">
        <v>93</v>
      </c>
      <c r="CW22">
        <v>21</v>
      </c>
      <c r="CX22">
        <f t="shared" si="0"/>
        <v>8.7284482758620691E-3</v>
      </c>
      <c r="CY22">
        <f t="shared" si="1"/>
        <v>1.0021551724137932E-2</v>
      </c>
      <c r="CZ22">
        <f t="shared" si="2"/>
        <v>2.2629310344827588E-3</v>
      </c>
      <c r="DA22" t="str">
        <f>IF(CR22&lt;CX22,"yes","no")</f>
        <v>yes</v>
      </c>
      <c r="DB22" t="str">
        <f>IF(CS22&lt;CY22,"yes","no")</f>
        <v>yes</v>
      </c>
      <c r="DC22" t="str">
        <f>IF(CT22&lt;CZ22,"yes","no")</f>
        <v>yes</v>
      </c>
    </row>
    <row r="23" spans="1:107" x14ac:dyDescent="0.2">
      <c r="A23" s="2" t="b">
        <v>0</v>
      </c>
      <c r="B23" s="2" t="s">
        <v>79</v>
      </c>
      <c r="C23" s="2" t="s">
        <v>80</v>
      </c>
      <c r="D23" s="2" t="s">
        <v>533</v>
      </c>
      <c r="E23" s="2" t="s">
        <v>534</v>
      </c>
      <c r="F23" s="2">
        <v>3</v>
      </c>
      <c r="G23" s="2">
        <v>3</v>
      </c>
      <c r="H23" s="2">
        <v>26.6</v>
      </c>
      <c r="I23" s="2">
        <v>8.82</v>
      </c>
      <c r="J23" s="2" t="s">
        <v>228</v>
      </c>
      <c r="K23" s="2" t="s">
        <v>95</v>
      </c>
      <c r="L23" s="2" t="s">
        <v>119</v>
      </c>
      <c r="M23" s="2" t="s">
        <v>535</v>
      </c>
      <c r="N23" s="2" t="s">
        <v>536</v>
      </c>
      <c r="O23" s="2">
        <v>19.257999999999999</v>
      </c>
      <c r="P23" s="2">
        <v>1.395</v>
      </c>
      <c r="Q23" s="2">
        <v>0.47599999999999998</v>
      </c>
      <c r="R23" s="2">
        <v>1.129</v>
      </c>
      <c r="S23" s="2">
        <v>22.221</v>
      </c>
      <c r="T23" s="2">
        <v>1.774</v>
      </c>
      <c r="U23" s="2">
        <v>0.49399999999999999</v>
      </c>
      <c r="V23" s="2">
        <v>8.7999999999999995E-2</v>
      </c>
      <c r="W23" s="2">
        <v>2.3E-2</v>
      </c>
      <c r="X23" s="2">
        <v>0.27600000000000002</v>
      </c>
      <c r="Y23" s="2">
        <v>25.9</v>
      </c>
      <c r="Z23" s="2">
        <v>18.600000000000001</v>
      </c>
      <c r="AA23" s="2">
        <v>414.9</v>
      </c>
      <c r="AB23" s="2">
        <v>33.799999999999997</v>
      </c>
      <c r="AC23" s="2">
        <v>6.9</v>
      </c>
      <c r="AD23" s="2">
        <v>7656381.5268554697</v>
      </c>
      <c r="AE23" s="2">
        <v>6512876.40478516</v>
      </c>
      <c r="AF23" s="2">
        <v>6095538.9375</v>
      </c>
      <c r="AG23" s="2">
        <v>6319858.0371093797</v>
      </c>
      <c r="AH23" s="2">
        <v>6122136.1337890597</v>
      </c>
      <c r="AI23" s="2">
        <v>104530.22363281299</v>
      </c>
      <c r="AJ23" s="2">
        <v>115836.71484375</v>
      </c>
      <c r="AK23" s="2">
        <v>94427.380859375</v>
      </c>
      <c r="AL23" s="2">
        <v>64020.586425781301</v>
      </c>
      <c r="AM23" s="2">
        <v>79146.026123046904</v>
      </c>
      <c r="AN23" s="2">
        <v>1648239.0903320301</v>
      </c>
      <c r="AO23" s="2">
        <v>1789365.7949218799</v>
      </c>
      <c r="AP23" s="2">
        <v>2538975.72265625</v>
      </c>
      <c r="AQ23" s="2">
        <v>2245060.09521484</v>
      </c>
      <c r="AR23" s="2">
        <v>2724744.0595703102</v>
      </c>
      <c r="AS23" s="2">
        <v>1243551.8583984401</v>
      </c>
      <c r="AT23" s="2">
        <v>1825063.44921875</v>
      </c>
      <c r="AU23" s="2">
        <v>1100958.2373046901</v>
      </c>
      <c r="AV23" s="2">
        <v>1260587.6215820301</v>
      </c>
      <c r="AW23" s="2">
        <v>1794654.6347656299</v>
      </c>
      <c r="AX23" s="2">
        <v>57906.271484375</v>
      </c>
      <c r="AY23" s="2">
        <v>91257.583984375</v>
      </c>
      <c r="AZ23" s="2">
        <v>101397.666015625</v>
      </c>
      <c r="BA23" s="2">
        <v>99917.857421875</v>
      </c>
      <c r="BB23" s="2">
        <v>87951.568359375</v>
      </c>
      <c r="BC23" s="2" t="s">
        <v>79</v>
      </c>
      <c r="BD23" s="2" t="s">
        <v>79</v>
      </c>
      <c r="BE23" s="2" t="s">
        <v>79</v>
      </c>
      <c r="BF23" s="2" t="s">
        <v>79</v>
      </c>
      <c r="BG23" s="2" t="s">
        <v>79</v>
      </c>
      <c r="BH23" s="2" t="s">
        <v>79</v>
      </c>
      <c r="BI23" s="2" t="s">
        <v>79</v>
      </c>
      <c r="BJ23" s="2" t="s">
        <v>79</v>
      </c>
      <c r="BK23" s="2" t="s">
        <v>79</v>
      </c>
      <c r="BL23" s="2" t="s">
        <v>79</v>
      </c>
      <c r="BM23" s="2" t="s">
        <v>79</v>
      </c>
      <c r="BN23" s="2" t="s">
        <v>79</v>
      </c>
      <c r="BO23" s="2" t="s">
        <v>79</v>
      </c>
      <c r="BP23" s="2" t="s">
        <v>79</v>
      </c>
      <c r="BQ23" s="2" t="s">
        <v>79</v>
      </c>
      <c r="BR23" s="2" t="s">
        <v>79</v>
      </c>
      <c r="BS23" s="2" t="s">
        <v>79</v>
      </c>
      <c r="BT23" s="2" t="s">
        <v>79</v>
      </c>
      <c r="BU23" s="2" t="s">
        <v>79</v>
      </c>
      <c r="BV23" s="2" t="s">
        <v>79</v>
      </c>
      <c r="BW23" s="2" t="s">
        <v>79</v>
      </c>
      <c r="BX23" s="2" t="s">
        <v>79</v>
      </c>
      <c r="BY23" s="2" t="s">
        <v>79</v>
      </c>
      <c r="BZ23" s="2" t="s">
        <v>79</v>
      </c>
      <c r="CA23" s="2" t="s">
        <v>79</v>
      </c>
      <c r="CB23">
        <f>TTEST(AS23:AW23,AI23:AM23,2,2)</f>
        <v>1.9936204402463417E-5</v>
      </c>
      <c r="CC23">
        <f>TTEST(AD23:AH23,AI23:AM23,2,2)</f>
        <v>1.7140211768117976E-8</v>
      </c>
      <c r="CD23">
        <f>TTEST(AN23:AR23,AI23:AM23,2,2)</f>
        <v>8.0084891682915582E-6</v>
      </c>
      <c r="CE23">
        <f>TTEST(AX23:BB23,AI23:AM23,2,2)</f>
        <v>0.7546071876321423</v>
      </c>
      <c r="CF23">
        <v>36</v>
      </c>
      <c r="CG23">
        <v>7</v>
      </c>
      <c r="CH23">
        <v>21</v>
      </c>
      <c r="CI23">
        <v>185</v>
      </c>
      <c r="CJ23">
        <f>0.05*CF23/464</f>
        <v>3.8793103448275862E-3</v>
      </c>
      <c r="CK23">
        <f>0.05*CG23/464</f>
        <v>7.543103448275863E-4</v>
      </c>
      <c r="CL23">
        <f>0.05*CH23/464</f>
        <v>2.2629310344827588E-3</v>
      </c>
      <c r="CM23">
        <f>0.05*CI23/464</f>
        <v>1.9935344827586209E-2</v>
      </c>
      <c r="CN23" t="str">
        <f>IF(CB23&lt;CJ23,"yes","no")</f>
        <v>yes</v>
      </c>
      <c r="CO23" t="str">
        <f>IF(CC23&lt;CK23,"yes","no")</f>
        <v>yes</v>
      </c>
      <c r="CP23" t="str">
        <f>IF(CD23&lt;CL23,"yes","no")</f>
        <v>yes</v>
      </c>
      <c r="CQ23" t="str">
        <f>IF(CE23&lt;CM23,"yes","no")</f>
        <v>no</v>
      </c>
      <c r="CR23">
        <f>TTEST(AS23:AW23,AD23:AH23,2,2)</f>
        <v>2.8048208295679938E-7</v>
      </c>
      <c r="CS23">
        <f>TTEST(AS23:AW23,AN23:AR23,2,2)</f>
        <v>2.0125542671705798E-2</v>
      </c>
      <c r="CT23">
        <f>TTEST(AS23:AW23,AX23:BB23,2,2)</f>
        <v>1.9450388420398837E-5</v>
      </c>
      <c r="CU23">
        <v>25</v>
      </c>
      <c r="CV23">
        <v>150</v>
      </c>
      <c r="CW23">
        <v>22</v>
      </c>
      <c r="CX23">
        <f t="shared" si="0"/>
        <v>2.6939655172413795E-3</v>
      </c>
      <c r="CY23">
        <f t="shared" si="1"/>
        <v>1.6163793103448277E-2</v>
      </c>
      <c r="CZ23">
        <f t="shared" si="2"/>
        <v>2.3706896551724142E-3</v>
      </c>
      <c r="DA23" t="str">
        <f>IF(CR23&lt;CX23,"yes","no")</f>
        <v>yes</v>
      </c>
      <c r="DB23" t="str">
        <f>IF(CS23&lt;CY23,"yes","no")</f>
        <v>no</v>
      </c>
      <c r="DC23" t="str">
        <f>IF(CT23&lt;CZ23,"yes","no")</f>
        <v>yes</v>
      </c>
    </row>
    <row r="24" spans="1:107" x14ac:dyDescent="0.2">
      <c r="A24" s="2" t="b">
        <v>0</v>
      </c>
      <c r="B24" s="2" t="s">
        <v>79</v>
      </c>
      <c r="C24" s="2" t="s">
        <v>80</v>
      </c>
      <c r="D24" s="2" t="s">
        <v>87</v>
      </c>
      <c r="E24" s="2" t="s">
        <v>88</v>
      </c>
      <c r="F24" s="2">
        <v>64</v>
      </c>
      <c r="G24" s="2">
        <v>6</v>
      </c>
      <c r="H24" s="2">
        <v>186.2</v>
      </c>
      <c r="I24" s="2">
        <v>6.47</v>
      </c>
      <c r="J24" s="2" t="s">
        <v>89</v>
      </c>
      <c r="K24" s="2" t="s">
        <v>84</v>
      </c>
      <c r="L24" s="2" t="s">
        <v>85</v>
      </c>
      <c r="M24" s="2" t="s">
        <v>83</v>
      </c>
      <c r="N24" s="2" t="s">
        <v>90</v>
      </c>
      <c r="O24" s="2">
        <v>1.26</v>
      </c>
      <c r="P24" s="2">
        <v>0.14000000000000001</v>
      </c>
      <c r="Q24" s="2">
        <v>0.188</v>
      </c>
      <c r="R24" s="2">
        <v>13.994999999999999</v>
      </c>
      <c r="S24" s="2">
        <v>19.259</v>
      </c>
      <c r="T24" s="2">
        <v>2.1760000000000002</v>
      </c>
      <c r="U24" s="2">
        <v>3.371</v>
      </c>
      <c r="V24" s="2">
        <v>0.11799999999999999</v>
      </c>
      <c r="W24" s="2">
        <v>0.182</v>
      </c>
      <c r="X24" s="2">
        <v>1.3580000000000001</v>
      </c>
      <c r="Y24" s="2">
        <v>180.8</v>
      </c>
      <c r="Z24" s="2">
        <v>40.700000000000003</v>
      </c>
      <c r="AA24" s="2">
        <v>204.7</v>
      </c>
      <c r="AB24" s="2">
        <v>37.1</v>
      </c>
      <c r="AC24" s="2">
        <v>36.700000000000003</v>
      </c>
      <c r="AD24" s="2">
        <v>676316588.67285204</v>
      </c>
      <c r="AE24" s="2">
        <v>580095531.43164098</v>
      </c>
      <c r="AF24" s="2">
        <v>562211615.96679699</v>
      </c>
      <c r="AG24" s="2">
        <v>501363754.18457001</v>
      </c>
      <c r="AH24" s="2">
        <v>508182902.52929699</v>
      </c>
      <c r="AI24" s="2">
        <v>2894996.1596679701</v>
      </c>
      <c r="AJ24" s="2">
        <v>2265281.8129882799</v>
      </c>
      <c r="AK24" s="2">
        <v>2478332.3408203102</v>
      </c>
      <c r="AL24" s="2">
        <v>3147572.5830078102</v>
      </c>
      <c r="AM24" s="2">
        <v>2342482.6606445299</v>
      </c>
      <c r="AN24" s="2">
        <v>11196468.9057617</v>
      </c>
      <c r="AO24" s="2">
        <v>11552116.604003901</v>
      </c>
      <c r="AP24" s="2">
        <v>13761731.4296875</v>
      </c>
      <c r="AQ24" s="2">
        <v>11852144.6333008</v>
      </c>
      <c r="AR24" s="2">
        <v>16995316.877197299</v>
      </c>
      <c r="AS24" s="2">
        <v>17363515.1171875</v>
      </c>
      <c r="AT24" s="2">
        <v>24505033.9450684</v>
      </c>
      <c r="AU24" s="2">
        <v>18168468.446777299</v>
      </c>
      <c r="AV24" s="2">
        <v>17474074.345947299</v>
      </c>
      <c r="AW24" s="2">
        <v>17733720.126220699</v>
      </c>
      <c r="AX24" s="2">
        <v>5826328.60400391</v>
      </c>
      <c r="AY24" s="2">
        <v>6785329.91943359</v>
      </c>
      <c r="AZ24" s="2">
        <v>7689128.51953125</v>
      </c>
      <c r="BA24" s="2">
        <v>6795037.6425781297</v>
      </c>
      <c r="BB24" s="2">
        <v>5157215.3823242197</v>
      </c>
      <c r="BC24" s="2" t="s">
        <v>79</v>
      </c>
      <c r="BD24" s="2" t="s">
        <v>79</v>
      </c>
      <c r="BE24" s="2" t="s">
        <v>79</v>
      </c>
      <c r="BF24" s="2" t="s">
        <v>79</v>
      </c>
      <c r="BG24" s="2" t="s">
        <v>79</v>
      </c>
      <c r="BH24" s="2" t="s">
        <v>91</v>
      </c>
      <c r="BI24" s="2" t="s">
        <v>91</v>
      </c>
      <c r="BJ24" s="2" t="s">
        <v>91</v>
      </c>
      <c r="BK24" s="2" t="s">
        <v>91</v>
      </c>
      <c r="BL24" s="2" t="s">
        <v>91</v>
      </c>
      <c r="BM24" s="2" t="s">
        <v>79</v>
      </c>
      <c r="BN24" s="2" t="s">
        <v>79</v>
      </c>
      <c r="BO24" s="2" t="s">
        <v>79</v>
      </c>
      <c r="BP24" s="2" t="s">
        <v>79</v>
      </c>
      <c r="BQ24" s="2" t="s">
        <v>79</v>
      </c>
      <c r="BR24" s="2" t="s">
        <v>79</v>
      </c>
      <c r="BS24" s="2" t="s">
        <v>79</v>
      </c>
      <c r="BT24" s="2" t="s">
        <v>79</v>
      </c>
      <c r="BU24" s="2" t="s">
        <v>79</v>
      </c>
      <c r="BV24" s="2" t="s">
        <v>79</v>
      </c>
      <c r="BW24" s="2" t="s">
        <v>79</v>
      </c>
      <c r="BX24" s="2" t="s">
        <v>79</v>
      </c>
      <c r="BY24" s="2" t="s">
        <v>79</v>
      </c>
      <c r="BZ24" s="2" t="s">
        <v>79</v>
      </c>
      <c r="CA24" s="2" t="s">
        <v>79</v>
      </c>
      <c r="CB24">
        <f>TTEST(AS24:AW24,AI24:AM24,2,2)</f>
        <v>2.3028110117949447E-6</v>
      </c>
      <c r="CC24">
        <f>TTEST(AD24:AH24,AI24:AM24,2,2)</f>
        <v>9.9516023395368265E-8</v>
      </c>
      <c r="CD24">
        <f>TTEST(AN24:AR24,AI24:AM24,2,2)</f>
        <v>1.1649774359041315E-5</v>
      </c>
      <c r="CE24">
        <f>TTEST(AX24:BB24,AI24:AM24,2,2)</f>
        <v>3.8157529155218999E-5</v>
      </c>
      <c r="CF24">
        <v>11</v>
      </c>
      <c r="CG24">
        <v>20</v>
      </c>
      <c r="CH24">
        <v>23</v>
      </c>
      <c r="CI24">
        <v>34</v>
      </c>
      <c r="CJ24">
        <f>0.05*CF24/464</f>
        <v>1.1853448275862071E-3</v>
      </c>
      <c r="CK24">
        <f>0.05*CG24/464</f>
        <v>2.1551724137931034E-3</v>
      </c>
      <c r="CL24">
        <f>0.05*CH24/464</f>
        <v>2.4784482758620691E-3</v>
      </c>
      <c r="CM24">
        <f>0.05*CI24/464</f>
        <v>3.6637931034482762E-3</v>
      </c>
      <c r="CN24" t="str">
        <f>IF(CB24&lt;CJ24,"yes","no")</f>
        <v>yes</v>
      </c>
      <c r="CO24" t="str">
        <f>IF(CC24&lt;CK24,"yes","no")</f>
        <v>yes</v>
      </c>
      <c r="CP24" t="str">
        <f>IF(CD24&lt;CL24,"yes","no")</f>
        <v>yes</v>
      </c>
      <c r="CQ24" t="str">
        <f>IF(CE24&lt;CM24,"yes","no")</f>
        <v>yes</v>
      </c>
      <c r="CR24">
        <f>TTEST(AS24:AW24,AD24:AH24,2,2)</f>
        <v>1.2634728211175856E-7</v>
      </c>
      <c r="CS24">
        <f>TTEST(AS24:AW24,AN24:AR24,2,2)</f>
        <v>8.9696705863382634E-3</v>
      </c>
      <c r="CT24">
        <f>TTEST(AS24:AW24,AX24:BB24,2,2)</f>
        <v>2.2706029400408522E-5</v>
      </c>
      <c r="CU24">
        <v>16</v>
      </c>
      <c r="CV24">
        <v>129</v>
      </c>
      <c r="CW24">
        <v>23</v>
      </c>
      <c r="CX24">
        <f t="shared" si="0"/>
        <v>1.724137931034483E-3</v>
      </c>
      <c r="CY24">
        <f t="shared" si="1"/>
        <v>1.3900862068965517E-2</v>
      </c>
      <c r="CZ24">
        <f t="shared" si="2"/>
        <v>2.4784482758620691E-3</v>
      </c>
      <c r="DA24" t="str">
        <f>IF(CR24&lt;CX24,"yes","no")</f>
        <v>yes</v>
      </c>
      <c r="DB24" t="str">
        <f>IF(CS24&lt;CY24,"yes","no")</f>
        <v>yes</v>
      </c>
      <c r="DC24" t="str">
        <f>IF(CT24&lt;CZ24,"yes","no")</f>
        <v>yes</v>
      </c>
    </row>
    <row r="25" spans="1:107" x14ac:dyDescent="0.2">
      <c r="A25" s="2" t="b">
        <v>0</v>
      </c>
      <c r="B25" s="2" t="s">
        <v>79</v>
      </c>
      <c r="C25" s="2" t="s">
        <v>80</v>
      </c>
      <c r="D25" s="2" t="s">
        <v>193</v>
      </c>
      <c r="E25" s="2" t="s">
        <v>194</v>
      </c>
      <c r="F25" s="2">
        <v>23</v>
      </c>
      <c r="G25" s="2">
        <v>22</v>
      </c>
      <c r="H25" s="2">
        <v>163.69999999999999</v>
      </c>
      <c r="I25" s="2">
        <v>6.29</v>
      </c>
      <c r="J25" s="2" t="s">
        <v>195</v>
      </c>
      <c r="K25" s="2" t="s">
        <v>84</v>
      </c>
      <c r="L25" s="2" t="s">
        <v>96</v>
      </c>
      <c r="M25" s="2" t="s">
        <v>196</v>
      </c>
      <c r="N25" s="2" t="s">
        <v>197</v>
      </c>
      <c r="O25" s="2">
        <v>1.5069999999999999</v>
      </c>
      <c r="P25" s="2">
        <v>0.77300000000000002</v>
      </c>
      <c r="Q25" s="2">
        <v>0.41799999999999998</v>
      </c>
      <c r="R25" s="2">
        <v>1.026</v>
      </c>
      <c r="S25" s="2">
        <v>1.2410000000000001</v>
      </c>
      <c r="T25" s="2">
        <v>0.78500000000000003</v>
      </c>
      <c r="U25" s="2">
        <v>0.499</v>
      </c>
      <c r="V25" s="2">
        <v>0.623</v>
      </c>
      <c r="W25" s="2">
        <v>0.315</v>
      </c>
      <c r="X25" s="2">
        <v>0.50600000000000001</v>
      </c>
      <c r="Y25" s="2">
        <v>183.2</v>
      </c>
      <c r="Z25" s="2">
        <v>57.8</v>
      </c>
      <c r="AA25" s="2">
        <v>92.5</v>
      </c>
      <c r="AB25" s="2">
        <v>143.6</v>
      </c>
      <c r="AC25" s="2">
        <v>22.9</v>
      </c>
      <c r="AD25" s="2">
        <v>11678300.390625</v>
      </c>
      <c r="AE25" s="2">
        <v>9807079.31640625</v>
      </c>
      <c r="AF25" s="2">
        <v>8596574.17578125</v>
      </c>
      <c r="AG25" s="2">
        <v>10658845.0585938</v>
      </c>
      <c r="AH25" s="2">
        <v>9300809.3828125</v>
      </c>
      <c r="AI25" s="2">
        <v>51028.491455078103</v>
      </c>
      <c r="AJ25" s="2">
        <v>149923.24951171901</v>
      </c>
      <c r="AK25" s="2">
        <v>19493.3024902344</v>
      </c>
      <c r="AL25" s="2">
        <v>161777.970703125</v>
      </c>
      <c r="AM25" s="2">
        <v>51825.777832031301</v>
      </c>
      <c r="AN25" s="2">
        <v>79380.759277343794</v>
      </c>
      <c r="AO25" s="2">
        <v>117653.492431641</v>
      </c>
      <c r="AP25" s="2">
        <v>57628.166015625</v>
      </c>
      <c r="AQ25" s="2">
        <v>101138.93359375</v>
      </c>
      <c r="AR25" s="2">
        <v>165692.2421875</v>
      </c>
      <c r="AS25" s="2">
        <v>1081376.0390625</v>
      </c>
      <c r="AT25" s="2">
        <v>1701250.8154296901</v>
      </c>
      <c r="AU25" s="2">
        <v>947921.23828125</v>
      </c>
      <c r="AV25" s="2">
        <v>1098350.9824218799</v>
      </c>
      <c r="AW25" s="2">
        <v>1281890.9003906299</v>
      </c>
      <c r="AX25" s="2">
        <v>52234.459472656301</v>
      </c>
      <c r="AY25" s="2">
        <v>114434.34863281299</v>
      </c>
      <c r="AZ25" s="2">
        <v>70803.326904296904</v>
      </c>
      <c r="BA25" s="2">
        <v>102266.072265625</v>
      </c>
      <c r="BB25" s="2">
        <v>13964.2177734375</v>
      </c>
      <c r="BC25" s="2" t="s">
        <v>79</v>
      </c>
      <c r="BD25" s="2" t="s">
        <v>79</v>
      </c>
      <c r="BE25" s="2" t="s">
        <v>79</v>
      </c>
      <c r="BF25" s="2" t="s">
        <v>79</v>
      </c>
      <c r="BG25" s="2" t="s">
        <v>79</v>
      </c>
      <c r="BH25" s="2" t="s">
        <v>91</v>
      </c>
      <c r="BI25" s="2" t="s">
        <v>91</v>
      </c>
      <c r="BJ25" s="2" t="s">
        <v>91</v>
      </c>
      <c r="BK25" s="2" t="s">
        <v>79</v>
      </c>
      <c r="BL25" s="2" t="s">
        <v>91</v>
      </c>
      <c r="BM25" s="2" t="s">
        <v>79</v>
      </c>
      <c r="BN25" s="2" t="s">
        <v>91</v>
      </c>
      <c r="BO25" s="2" t="s">
        <v>79</v>
      </c>
      <c r="BP25" s="2" t="s">
        <v>91</v>
      </c>
      <c r="BQ25" s="2" t="s">
        <v>79</v>
      </c>
      <c r="BR25" s="2" t="s">
        <v>79</v>
      </c>
      <c r="BS25" s="2" t="s">
        <v>79</v>
      </c>
      <c r="BT25" s="2" t="s">
        <v>79</v>
      </c>
      <c r="BU25" s="2" t="s">
        <v>79</v>
      </c>
      <c r="BV25" s="2" t="s">
        <v>79</v>
      </c>
      <c r="BW25" s="2" t="s">
        <v>91</v>
      </c>
      <c r="BX25" s="2" t="s">
        <v>91</v>
      </c>
      <c r="BY25" s="2" t="s">
        <v>91</v>
      </c>
      <c r="BZ25" s="2" t="s">
        <v>91</v>
      </c>
      <c r="CA25" s="2" t="s">
        <v>91</v>
      </c>
      <c r="CB25">
        <f>TTEST(AS25:AW25,AI25:AM25,2,2)</f>
        <v>2.9103927149461072E-5</v>
      </c>
      <c r="CC25">
        <f>TTEST(AD25:AH25,AI25:AM25,2,2)</f>
        <v>7.5648127460454178E-8</v>
      </c>
      <c r="CD25">
        <f>TTEST(AN25:AR25,AI25:AM25,2,2)</f>
        <v>0.62292318022628601</v>
      </c>
      <c r="CE25">
        <f>TTEST(AX25:BB25,AI25:AM25,2,2)</f>
        <v>0.64902354844398058</v>
      </c>
      <c r="CF25">
        <v>42</v>
      </c>
      <c r="CG25">
        <v>16</v>
      </c>
      <c r="CH25">
        <v>200</v>
      </c>
      <c r="CI25">
        <v>175</v>
      </c>
      <c r="CJ25">
        <f>0.05*CF25/464</f>
        <v>4.5258620689655176E-3</v>
      </c>
      <c r="CK25">
        <f>0.05*CG25/464</f>
        <v>1.724137931034483E-3</v>
      </c>
      <c r="CL25">
        <f>0.05*CH25/464</f>
        <v>2.1551724137931036E-2</v>
      </c>
      <c r="CM25">
        <f>0.05*CI25/464</f>
        <v>1.8857758620689655E-2</v>
      </c>
      <c r="CN25" t="str">
        <f>IF(CB25&lt;CJ25,"yes","no")</f>
        <v>yes</v>
      </c>
      <c r="CO25" t="str">
        <f>IF(CC25&lt;CK25,"yes","no")</f>
        <v>yes</v>
      </c>
      <c r="CP25" t="str">
        <f>IF(CD25&lt;CL25,"yes","no")</f>
        <v>no</v>
      </c>
      <c r="CQ25" t="str">
        <f>IF(CE25&lt;CM25,"yes","no")</f>
        <v>no</v>
      </c>
      <c r="CR25">
        <f>TTEST(AS25:AW25,AD25:AH25,2,2)</f>
        <v>2.4236261398430539E-7</v>
      </c>
      <c r="CS25">
        <f>TTEST(AS25:AW25,AN25:AR25,2,2)</f>
        <v>2.9446685422207858E-5</v>
      </c>
      <c r="CT25">
        <f>TTEST(AS25:AW25,AX25:BB25,2,2)</f>
        <v>2.3662566939112045E-5</v>
      </c>
      <c r="CU25">
        <v>24</v>
      </c>
      <c r="CV25">
        <v>23</v>
      </c>
      <c r="CW25">
        <v>24</v>
      </c>
      <c r="CX25">
        <f t="shared" si="0"/>
        <v>2.5862068965517245E-3</v>
      </c>
      <c r="CY25">
        <f t="shared" si="1"/>
        <v>2.4784482758620691E-3</v>
      </c>
      <c r="CZ25">
        <f t="shared" si="2"/>
        <v>2.5862068965517245E-3</v>
      </c>
      <c r="DA25" t="str">
        <f>IF(CR25&lt;CX25,"yes","no")</f>
        <v>yes</v>
      </c>
      <c r="DB25" t="str">
        <f>IF(CS25&lt;CY25,"yes","no")</f>
        <v>yes</v>
      </c>
      <c r="DC25" t="str">
        <f>IF(CT25&lt;CZ25,"yes","no")</f>
        <v>yes</v>
      </c>
    </row>
    <row r="26" spans="1:107" x14ac:dyDescent="0.2">
      <c r="A26" s="2" t="b">
        <v>0</v>
      </c>
      <c r="B26" s="2" t="s">
        <v>79</v>
      </c>
      <c r="C26" s="2" t="s">
        <v>80</v>
      </c>
      <c r="D26" s="2" t="s">
        <v>786</v>
      </c>
      <c r="E26" s="2" t="s">
        <v>787</v>
      </c>
      <c r="F26" s="2">
        <v>4</v>
      </c>
      <c r="G26" s="2">
        <v>4</v>
      </c>
      <c r="H26" s="2">
        <v>86.7</v>
      </c>
      <c r="I26" s="2">
        <v>6.39</v>
      </c>
      <c r="J26" s="2" t="s">
        <v>788</v>
      </c>
      <c r="K26" s="2" t="s">
        <v>179</v>
      </c>
      <c r="L26" s="2" t="s">
        <v>119</v>
      </c>
      <c r="M26" s="2" t="s">
        <v>789</v>
      </c>
      <c r="N26" s="2" t="s">
        <v>786</v>
      </c>
      <c r="O26" s="2">
        <v>1.8460000000000001</v>
      </c>
      <c r="P26" s="2">
        <v>0.85199999999999998</v>
      </c>
      <c r="Q26" s="2">
        <v>16.181000000000001</v>
      </c>
      <c r="R26" s="2">
        <v>1.609</v>
      </c>
      <c r="S26" s="2">
        <v>2.274</v>
      </c>
      <c r="T26" s="2">
        <v>1.3140000000000001</v>
      </c>
      <c r="U26" s="2">
        <v>1.458</v>
      </c>
      <c r="V26" s="2">
        <v>0.45500000000000002</v>
      </c>
      <c r="W26" s="2">
        <v>2.7559999999999998</v>
      </c>
      <c r="X26" s="2">
        <v>3.3279999999999998</v>
      </c>
      <c r="Y26" s="2">
        <v>84</v>
      </c>
      <c r="Z26" s="2">
        <v>21.1</v>
      </c>
      <c r="AA26" s="2">
        <v>69.3</v>
      </c>
      <c r="AB26" s="2">
        <v>26.7</v>
      </c>
      <c r="AC26" s="2">
        <v>298.8</v>
      </c>
      <c r="AD26" s="2">
        <v>481895.0859375</v>
      </c>
      <c r="AE26" s="2">
        <v>449492.4375</v>
      </c>
      <c r="AF26" s="2">
        <v>404649.4140625</v>
      </c>
      <c r="AG26" s="2">
        <v>200558.140625</v>
      </c>
      <c r="AH26" s="2">
        <v>179400.4921875</v>
      </c>
      <c r="AI26" s="2">
        <v>1726.85083007813</v>
      </c>
      <c r="AJ26" s="2">
        <v>1756.11669921875</v>
      </c>
      <c r="AK26" s="2">
        <v>1824.34008789063</v>
      </c>
      <c r="AL26" s="2">
        <v>3594.61938476563</v>
      </c>
      <c r="AM26" s="2">
        <v>10495.7186279297</v>
      </c>
      <c r="AN26" s="2">
        <v>8863.8811035156305</v>
      </c>
      <c r="AO26" s="2">
        <v>4157.01123046875</v>
      </c>
      <c r="AP26" s="2">
        <v>10391.390625</v>
      </c>
      <c r="AQ26" s="2">
        <v>3898.85961914063</v>
      </c>
      <c r="AR26" s="2" t="s">
        <v>83</v>
      </c>
      <c r="AS26" s="2">
        <v>27016.5478515625</v>
      </c>
      <c r="AT26" s="2">
        <v>23173.572265625</v>
      </c>
      <c r="AU26" s="2">
        <v>27284.87890625</v>
      </c>
      <c r="AV26" s="2">
        <v>17456.89453125</v>
      </c>
      <c r="AW26" s="2">
        <v>21552.642578125</v>
      </c>
      <c r="AX26" s="2">
        <v>58024.03125</v>
      </c>
      <c r="AY26" s="2">
        <v>85518.234375</v>
      </c>
      <c r="AZ26" s="2">
        <v>94214.380859375</v>
      </c>
      <c r="BA26" s="2">
        <v>74393.975097656294</v>
      </c>
      <c r="BB26" s="2">
        <v>78347.21875</v>
      </c>
      <c r="BC26" s="2" t="s">
        <v>79</v>
      </c>
      <c r="BD26" s="2" t="s">
        <v>79</v>
      </c>
      <c r="BE26" s="2" t="s">
        <v>79</v>
      </c>
      <c r="BF26" s="2" t="s">
        <v>79</v>
      </c>
      <c r="BG26" s="2" t="s">
        <v>79</v>
      </c>
      <c r="BH26" s="2" t="s">
        <v>91</v>
      </c>
      <c r="BI26" s="2" t="s">
        <v>91</v>
      </c>
      <c r="BJ26" s="2" t="s">
        <v>91</v>
      </c>
      <c r="BK26" s="2" t="s">
        <v>91</v>
      </c>
      <c r="BL26" s="2" t="s">
        <v>91</v>
      </c>
      <c r="BM26" s="2" t="s">
        <v>91</v>
      </c>
      <c r="BN26" s="2" t="s">
        <v>91</v>
      </c>
      <c r="BO26" s="2" t="s">
        <v>91</v>
      </c>
      <c r="BP26" s="2" t="s">
        <v>91</v>
      </c>
      <c r="BQ26" s="2" t="s">
        <v>98</v>
      </c>
      <c r="BR26" s="2" t="s">
        <v>91</v>
      </c>
      <c r="BS26" s="2" t="s">
        <v>91</v>
      </c>
      <c r="BT26" s="2" t="s">
        <v>91</v>
      </c>
      <c r="BU26" s="2" t="s">
        <v>91</v>
      </c>
      <c r="BV26" s="2" t="s">
        <v>91</v>
      </c>
      <c r="BW26" s="2" t="s">
        <v>91</v>
      </c>
      <c r="BX26" s="2" t="s">
        <v>91</v>
      </c>
      <c r="BY26" s="2" t="s">
        <v>91</v>
      </c>
      <c r="BZ26" s="2" t="s">
        <v>91</v>
      </c>
      <c r="CA26" s="2" t="s">
        <v>91</v>
      </c>
      <c r="CB26">
        <f>TTEST(AS26:AW26,AI26:AM26,2,2)</f>
        <v>5.2649503976728714E-5</v>
      </c>
      <c r="CC26">
        <f>TTEST(AD26:AH26,AI26:AM26,2,2)</f>
        <v>7.1614470990177413E-4</v>
      </c>
      <c r="CD26">
        <f>TTEST(AN26:AR26,AI26:AM26,2,2)</f>
        <v>0.25940782365119824</v>
      </c>
      <c r="CE26">
        <f>TTEST(AX26:BB26,AI26:AM26,2,2)</f>
        <v>2.4077033226170671E-6</v>
      </c>
      <c r="CF26">
        <v>53</v>
      </c>
      <c r="CG26">
        <v>130</v>
      </c>
      <c r="CH26">
        <v>149</v>
      </c>
      <c r="CI26">
        <v>20</v>
      </c>
      <c r="CJ26">
        <f>0.05*CF26/464</f>
        <v>5.7112068965517251E-3</v>
      </c>
      <c r="CK26">
        <f>0.05*CG26/464</f>
        <v>1.4008620689655173E-2</v>
      </c>
      <c r="CL26">
        <f>0.05*CH26/464</f>
        <v>1.6056034482758622E-2</v>
      </c>
      <c r="CM26">
        <f>0.05*CI26/464</f>
        <v>2.1551724137931034E-3</v>
      </c>
      <c r="CN26" t="str">
        <f>IF(CB26&lt;CJ26,"yes","no")</f>
        <v>yes</v>
      </c>
      <c r="CO26" t="str">
        <f>IF(CC26&lt;CK26,"yes","no")</f>
        <v>yes</v>
      </c>
      <c r="CP26" t="str">
        <f>IF(CD26&lt;CL26,"yes","no")</f>
        <v>no</v>
      </c>
      <c r="CQ26" t="str">
        <f>IF(CE26&lt;CM26,"yes","no")</f>
        <v>yes</v>
      </c>
      <c r="CR26">
        <f>TTEST(AS26:AW26,AD26:AH26,2,2)</f>
        <v>1.0401967683489827E-3</v>
      </c>
      <c r="CS26">
        <f>TTEST(AS26:AW26,AN26:AR26,2,2)</f>
        <v>3.3003624728446127E-4</v>
      </c>
      <c r="CT26">
        <f>TTEST(AS26:AW26,AX26:BB26,2,2)</f>
        <v>2.4295907093786847E-5</v>
      </c>
      <c r="CU26">
        <v>161</v>
      </c>
      <c r="CV26">
        <v>77</v>
      </c>
      <c r="CW26">
        <v>25</v>
      </c>
      <c r="CX26">
        <f t="shared" si="0"/>
        <v>1.7349137931034483E-2</v>
      </c>
      <c r="CY26">
        <f t="shared" si="1"/>
        <v>8.2974137931034492E-3</v>
      </c>
      <c r="CZ26">
        <f t="shared" si="2"/>
        <v>2.6939655172413795E-3</v>
      </c>
      <c r="DA26" t="str">
        <f>IF(CR26&lt;CX26,"yes","no")</f>
        <v>yes</v>
      </c>
      <c r="DB26" t="str">
        <f>IF(CS26&lt;CY26,"yes","no")</f>
        <v>yes</v>
      </c>
      <c r="DC26" t="str">
        <f>IF(CT26&lt;CZ26,"yes","no")</f>
        <v>yes</v>
      </c>
    </row>
    <row r="27" spans="1:107" x14ac:dyDescent="0.2">
      <c r="A27" s="2" t="b">
        <v>0</v>
      </c>
      <c r="B27" s="2" t="s">
        <v>79</v>
      </c>
      <c r="C27" s="2" t="s">
        <v>80</v>
      </c>
      <c r="D27" s="2" t="s">
        <v>378</v>
      </c>
      <c r="E27" s="2" t="s">
        <v>379</v>
      </c>
      <c r="F27" s="2">
        <v>11</v>
      </c>
      <c r="G27" s="2">
        <v>11</v>
      </c>
      <c r="H27" s="2">
        <v>90.5</v>
      </c>
      <c r="I27" s="2">
        <v>6.2</v>
      </c>
      <c r="J27" s="2" t="s">
        <v>380</v>
      </c>
      <c r="K27" s="2" t="s">
        <v>381</v>
      </c>
      <c r="L27" s="2" t="s">
        <v>119</v>
      </c>
      <c r="M27" s="2" t="s">
        <v>382</v>
      </c>
      <c r="N27" s="2" t="s">
        <v>378</v>
      </c>
      <c r="O27" s="2">
        <v>1.22</v>
      </c>
      <c r="P27" s="2">
        <v>0.85299999999999998</v>
      </c>
      <c r="Q27" s="2">
        <v>4.9379999999999997</v>
      </c>
      <c r="R27" s="2">
        <v>1.972</v>
      </c>
      <c r="S27" s="2">
        <v>2.4060000000000001</v>
      </c>
      <c r="T27" s="2">
        <v>1.629</v>
      </c>
      <c r="U27" s="2">
        <v>2.6869999999999998</v>
      </c>
      <c r="V27" s="2">
        <v>0.72</v>
      </c>
      <c r="W27" s="2">
        <v>0.185</v>
      </c>
      <c r="X27" s="2">
        <v>3.734</v>
      </c>
      <c r="Y27" s="2">
        <v>188.3</v>
      </c>
      <c r="Z27" s="2">
        <v>48</v>
      </c>
      <c r="AA27" s="2">
        <v>86</v>
      </c>
      <c r="AB27" s="2">
        <v>131.6</v>
      </c>
      <c r="AC27" s="2">
        <v>46.1</v>
      </c>
      <c r="AD27" s="2">
        <v>6123732.1875</v>
      </c>
      <c r="AE27" s="2">
        <v>5109891.734375</v>
      </c>
      <c r="AF27" s="2">
        <v>5243363.3984375</v>
      </c>
      <c r="AG27" s="2">
        <v>5048162.3125</v>
      </c>
      <c r="AH27" s="2">
        <v>4278931.78515625</v>
      </c>
      <c r="AI27" s="2">
        <v>33210.720703125</v>
      </c>
      <c r="AJ27" s="2">
        <v>23390.333984375</v>
      </c>
      <c r="AK27" s="2">
        <v>25942.31640625</v>
      </c>
      <c r="AL27" s="2">
        <v>40705.033691406301</v>
      </c>
      <c r="AM27" s="2">
        <v>13618.942871093799</v>
      </c>
      <c r="AN27" s="2">
        <v>38797.4375</v>
      </c>
      <c r="AO27" s="2">
        <v>58366.998046875</v>
      </c>
      <c r="AP27" s="2">
        <v>68268.734375</v>
      </c>
      <c r="AQ27" s="2">
        <v>47570.644042968801</v>
      </c>
      <c r="AR27" s="2">
        <v>61410.259277343801</v>
      </c>
      <c r="AS27" s="2">
        <v>533703.79980468797</v>
      </c>
      <c r="AT27" s="2">
        <v>803157.88671875</v>
      </c>
      <c r="AU27" s="2">
        <v>489140.05761718802</v>
      </c>
      <c r="AV27" s="2">
        <v>481421.33203125</v>
      </c>
      <c r="AW27" s="2">
        <v>652271.30078125</v>
      </c>
      <c r="AX27" s="2">
        <v>75437.037109375</v>
      </c>
      <c r="AY27" s="2">
        <v>37412.78125</v>
      </c>
      <c r="AZ27" s="2">
        <v>75491.8720703125</v>
      </c>
      <c r="BA27" s="2">
        <v>65112.54296875</v>
      </c>
      <c r="BB27" s="2">
        <v>46334.58203125</v>
      </c>
      <c r="BC27" s="2" t="s">
        <v>79</v>
      </c>
      <c r="BD27" s="2" t="s">
        <v>79</v>
      </c>
      <c r="BE27" s="2" t="s">
        <v>79</v>
      </c>
      <c r="BF27" s="2" t="s">
        <v>79</v>
      </c>
      <c r="BG27" s="2" t="s">
        <v>79</v>
      </c>
      <c r="BH27" s="2" t="s">
        <v>91</v>
      </c>
      <c r="BI27" s="2" t="s">
        <v>91</v>
      </c>
      <c r="BJ27" s="2" t="s">
        <v>91</v>
      </c>
      <c r="BK27" s="2" t="s">
        <v>91</v>
      </c>
      <c r="BL27" s="2" t="s">
        <v>91</v>
      </c>
      <c r="BM27" s="2" t="s">
        <v>91</v>
      </c>
      <c r="BN27" s="2" t="s">
        <v>91</v>
      </c>
      <c r="BO27" s="2" t="s">
        <v>79</v>
      </c>
      <c r="BP27" s="2" t="s">
        <v>91</v>
      </c>
      <c r="BQ27" s="2" t="s">
        <v>91</v>
      </c>
      <c r="BR27" s="2" t="s">
        <v>79</v>
      </c>
      <c r="BS27" s="2" t="s">
        <v>79</v>
      </c>
      <c r="BT27" s="2" t="s">
        <v>79</v>
      </c>
      <c r="BU27" s="2" t="s">
        <v>79</v>
      </c>
      <c r="BV27" s="2" t="s">
        <v>79</v>
      </c>
      <c r="BW27" s="2" t="s">
        <v>91</v>
      </c>
      <c r="BX27" s="2" t="s">
        <v>91</v>
      </c>
      <c r="BY27" s="2" t="s">
        <v>91</v>
      </c>
      <c r="BZ27" s="2" t="s">
        <v>91</v>
      </c>
      <c r="CA27" s="2" t="s">
        <v>91</v>
      </c>
      <c r="CB27">
        <f>TTEST(AS27:AW27,AI27:AM27,2,2)</f>
        <v>1.5402064364468256E-5</v>
      </c>
      <c r="CC27">
        <f>TTEST(AD27:AH27,AI27:AM27,2,2)</f>
        <v>1.1775214989506928E-7</v>
      </c>
      <c r="CD27">
        <f>TTEST(AN27:AR27,AI27:AM27,2,2)</f>
        <v>4.1755931623023079E-3</v>
      </c>
      <c r="CE27">
        <f>TTEST(AX27:BB27,AI27:AM27,2,2)</f>
        <v>6.7807632757602735E-3</v>
      </c>
      <c r="CF27">
        <v>32</v>
      </c>
      <c r="CG27">
        <v>21</v>
      </c>
      <c r="CH27">
        <v>87</v>
      </c>
      <c r="CI27">
        <v>78</v>
      </c>
      <c r="CJ27">
        <f>0.05*CF27/464</f>
        <v>3.4482758620689659E-3</v>
      </c>
      <c r="CK27">
        <f>0.05*CG27/464</f>
        <v>2.2629310344827588E-3</v>
      </c>
      <c r="CL27">
        <f>0.05*CH27/464</f>
        <v>9.3750000000000014E-3</v>
      </c>
      <c r="CM27">
        <f>0.05*CI27/464</f>
        <v>8.4051724137931046E-3</v>
      </c>
      <c r="CN27" t="str">
        <f>IF(CB27&lt;CJ27,"yes","no")</f>
        <v>yes</v>
      </c>
      <c r="CO27" t="str">
        <f>IF(CC27&lt;CK27,"yes","no")</f>
        <v>yes</v>
      </c>
      <c r="CP27" t="str">
        <f>IF(CD27&lt;CL27,"yes","no")</f>
        <v>yes</v>
      </c>
      <c r="CQ27" t="str">
        <f>IF(CE27&lt;CM27,"yes","no")</f>
        <v>yes</v>
      </c>
      <c r="CR27">
        <f>TTEST(AS27:AW27,AD27:AH27,2,2)</f>
        <v>3.4358851207117647E-7</v>
      </c>
      <c r="CS27">
        <f>TTEST(AS27:AW27,AN27:AR27,2,2)</f>
        <v>2.2375477483920965E-5</v>
      </c>
      <c r="CT27">
        <f>TTEST(AS27:AW27,AX27:BB27,2,2)</f>
        <v>2.4759373436025482E-5</v>
      </c>
      <c r="CU27">
        <v>29</v>
      </c>
      <c r="CV27">
        <v>20</v>
      </c>
      <c r="CW27">
        <v>26</v>
      </c>
      <c r="CX27">
        <f t="shared" si="0"/>
        <v>3.1250000000000002E-3</v>
      </c>
      <c r="CY27">
        <f t="shared" si="1"/>
        <v>2.1551724137931034E-3</v>
      </c>
      <c r="CZ27">
        <f t="shared" si="2"/>
        <v>2.8017241379310344E-3</v>
      </c>
      <c r="DA27" t="str">
        <f>IF(CR27&lt;CX27,"yes","no")</f>
        <v>yes</v>
      </c>
      <c r="DB27" t="str">
        <f>IF(CS27&lt;CY27,"yes","no")</f>
        <v>yes</v>
      </c>
      <c r="DC27" t="str">
        <f>IF(CT27&lt;CZ27,"yes","no")</f>
        <v>yes</v>
      </c>
    </row>
    <row r="28" spans="1:107" x14ac:dyDescent="0.2">
      <c r="A28" s="2" t="b">
        <v>0</v>
      </c>
      <c r="B28" s="2" t="s">
        <v>79</v>
      </c>
      <c r="C28" s="2" t="s">
        <v>80</v>
      </c>
      <c r="D28" s="2" t="s">
        <v>256</v>
      </c>
      <c r="E28" s="2" t="s">
        <v>257</v>
      </c>
      <c r="F28" s="2">
        <v>12</v>
      </c>
      <c r="G28" s="2">
        <v>12</v>
      </c>
      <c r="H28" s="2">
        <v>44.4</v>
      </c>
      <c r="I28" s="2">
        <v>5.22</v>
      </c>
      <c r="J28" s="2" t="s">
        <v>258</v>
      </c>
      <c r="K28" s="2" t="s">
        <v>95</v>
      </c>
      <c r="L28" s="2" t="s">
        <v>259</v>
      </c>
      <c r="M28" s="2" t="s">
        <v>260</v>
      </c>
      <c r="N28" s="2" t="s">
        <v>261</v>
      </c>
      <c r="O28" s="2">
        <v>1.075</v>
      </c>
      <c r="P28" s="2">
        <v>0.45900000000000002</v>
      </c>
      <c r="Q28" s="2">
        <v>0.32300000000000001</v>
      </c>
      <c r="R28" s="2">
        <v>2.1070000000000002</v>
      </c>
      <c r="S28" s="2">
        <v>2.6309999999999998</v>
      </c>
      <c r="T28" s="2">
        <v>1.1539999999999999</v>
      </c>
      <c r="U28" s="2">
        <v>0.92200000000000004</v>
      </c>
      <c r="V28" s="2">
        <v>0.48199999999999998</v>
      </c>
      <c r="W28" s="2">
        <v>0.34799999999999998</v>
      </c>
      <c r="X28" s="2">
        <v>0.755</v>
      </c>
      <c r="Y28" s="2">
        <v>190.2</v>
      </c>
      <c r="Z28" s="2">
        <v>29.6</v>
      </c>
      <c r="AA28" s="2">
        <v>168.6</v>
      </c>
      <c r="AB28" s="2">
        <v>86.3</v>
      </c>
      <c r="AC28" s="2">
        <v>25.3</v>
      </c>
      <c r="AD28" s="2">
        <v>11099347.1953125</v>
      </c>
      <c r="AE28" s="2">
        <v>9380175.42578125</v>
      </c>
      <c r="AF28" s="2">
        <v>7764824.5556640597</v>
      </c>
      <c r="AG28" s="2">
        <v>8996950.21875</v>
      </c>
      <c r="AH28" s="2">
        <v>8397415.171875</v>
      </c>
      <c r="AI28" s="2">
        <v>30244.981933593801</v>
      </c>
      <c r="AJ28" s="2">
        <v>27700.8916015625</v>
      </c>
      <c r="AK28" s="2">
        <v>36526.1533203125</v>
      </c>
      <c r="AL28" s="2">
        <v>3515.44482421875</v>
      </c>
      <c r="AM28" s="2">
        <v>25851.88671875</v>
      </c>
      <c r="AN28" s="2">
        <v>125862.821777344</v>
      </c>
      <c r="AO28" s="2">
        <v>148992.96484375</v>
      </c>
      <c r="AP28" s="2">
        <v>140836.87890625</v>
      </c>
      <c r="AQ28" s="2">
        <v>169403.17285156299</v>
      </c>
      <c r="AR28" s="2">
        <v>344611.72558593802</v>
      </c>
      <c r="AS28" s="2">
        <v>499610.44140625</v>
      </c>
      <c r="AT28" s="2">
        <v>871982.34765625</v>
      </c>
      <c r="AU28" s="2">
        <v>559410.986328125</v>
      </c>
      <c r="AV28" s="2">
        <v>567025.869140625</v>
      </c>
      <c r="AW28" s="2">
        <v>706445.908203125</v>
      </c>
      <c r="AX28" s="2">
        <v>68198.586425781294</v>
      </c>
      <c r="AY28" s="2">
        <v>69964.84765625</v>
      </c>
      <c r="AZ28" s="2">
        <v>64309.001953125</v>
      </c>
      <c r="BA28" s="2">
        <v>59217.2490234375</v>
      </c>
      <c r="BB28" s="2">
        <v>67593.78125</v>
      </c>
      <c r="BC28" s="2" t="s">
        <v>79</v>
      </c>
      <c r="BD28" s="2" t="s">
        <v>79</v>
      </c>
      <c r="BE28" s="2" t="s">
        <v>79</v>
      </c>
      <c r="BF28" s="2" t="s">
        <v>79</v>
      </c>
      <c r="BG28" s="2" t="s">
        <v>79</v>
      </c>
      <c r="BH28" s="2" t="s">
        <v>91</v>
      </c>
      <c r="BI28" s="2" t="s">
        <v>91</v>
      </c>
      <c r="BJ28" s="2" t="s">
        <v>91</v>
      </c>
      <c r="BK28" s="2" t="s">
        <v>91</v>
      </c>
      <c r="BL28" s="2" t="s">
        <v>91</v>
      </c>
      <c r="BM28" s="2" t="s">
        <v>91</v>
      </c>
      <c r="BN28" s="2" t="s">
        <v>79</v>
      </c>
      <c r="BO28" s="2" t="s">
        <v>79</v>
      </c>
      <c r="BP28" s="2" t="s">
        <v>79</v>
      </c>
      <c r="BQ28" s="2" t="s">
        <v>79</v>
      </c>
      <c r="BR28" s="2" t="s">
        <v>79</v>
      </c>
      <c r="BS28" s="2" t="s">
        <v>79</v>
      </c>
      <c r="BT28" s="2" t="s">
        <v>79</v>
      </c>
      <c r="BU28" s="2" t="s">
        <v>79</v>
      </c>
      <c r="BV28" s="2" t="s">
        <v>79</v>
      </c>
      <c r="BW28" s="2" t="s">
        <v>91</v>
      </c>
      <c r="BX28" s="2" t="s">
        <v>91</v>
      </c>
      <c r="BY28" s="2" t="s">
        <v>91</v>
      </c>
      <c r="BZ28" s="2" t="s">
        <v>91</v>
      </c>
      <c r="CA28" s="2" t="s">
        <v>91</v>
      </c>
      <c r="CB28">
        <f>TTEST(AS28:AW28,AI28:AM28,2,2)</f>
        <v>1.6210249031039102E-5</v>
      </c>
      <c r="CC28">
        <f>TTEST(AD28:AH28,AI28:AM28,2,2)</f>
        <v>2.1780405276519536E-7</v>
      </c>
      <c r="CD28">
        <f>TTEST(AN28:AR28,AI28:AM28,2,2)</f>
        <v>4.1623714637849035E-3</v>
      </c>
      <c r="CE28">
        <f>TTEST(AX28:BB28,AI28:AM28,2,2)</f>
        <v>1.199053103534008E-4</v>
      </c>
      <c r="CF28">
        <v>33</v>
      </c>
      <c r="CG28">
        <v>30</v>
      </c>
      <c r="CH28">
        <v>86</v>
      </c>
      <c r="CI28">
        <v>38</v>
      </c>
      <c r="CJ28">
        <f>0.05*CF28/464</f>
        <v>3.5560344827586209E-3</v>
      </c>
      <c r="CK28">
        <f>0.05*CG28/464</f>
        <v>3.2327586206896551E-3</v>
      </c>
      <c r="CL28">
        <f>0.05*CH28/464</f>
        <v>9.2672413793103443E-3</v>
      </c>
      <c r="CM28">
        <f>0.05*CI28/464</f>
        <v>4.0948275862068969E-3</v>
      </c>
      <c r="CN28" t="str">
        <f>IF(CB28&lt;CJ28,"yes","no")</f>
        <v>yes</v>
      </c>
      <c r="CO28" t="str">
        <f>IF(CC28&lt;CK28,"yes","no")</f>
        <v>yes</v>
      </c>
      <c r="CP28" t="str">
        <f>IF(CD28&lt;CL28,"yes","no")</f>
        <v>yes</v>
      </c>
      <c r="CQ28" t="str">
        <f>IF(CE28&lt;CM28,"yes","no")</f>
        <v>yes</v>
      </c>
      <c r="CR28">
        <f>TTEST(AS28:AW28,AD28:AH28,2,2)</f>
        <v>3.9627380357722269E-7</v>
      </c>
      <c r="CS28">
        <f>TTEST(AS28:AW28,AN28:AR28,2,2)</f>
        <v>3.9605664898265222E-4</v>
      </c>
      <c r="CT28">
        <f>TTEST(AS28:AW28,AX28:BB28,2,2)</f>
        <v>2.6287452210653869E-5</v>
      </c>
      <c r="CU28">
        <v>33</v>
      </c>
      <c r="CV28">
        <v>80</v>
      </c>
      <c r="CW28">
        <v>27</v>
      </c>
      <c r="CX28">
        <f t="shared" si="0"/>
        <v>3.5560344827586209E-3</v>
      </c>
      <c r="CY28">
        <f t="shared" si="1"/>
        <v>8.6206896551724137E-3</v>
      </c>
      <c r="CZ28">
        <f t="shared" si="2"/>
        <v>2.9094827586206898E-3</v>
      </c>
      <c r="DA28" t="str">
        <f>IF(CR28&lt;CX28,"yes","no")</f>
        <v>yes</v>
      </c>
      <c r="DB28" t="str">
        <f>IF(CS28&lt;CY28,"yes","no")</f>
        <v>yes</v>
      </c>
      <c r="DC28" t="str">
        <f>IF(CT28&lt;CZ28,"yes","no")</f>
        <v>yes</v>
      </c>
    </row>
    <row r="29" spans="1:107" x14ac:dyDescent="0.2">
      <c r="A29" s="2" t="b">
        <v>0</v>
      </c>
      <c r="B29" s="2" t="s">
        <v>79</v>
      </c>
      <c r="C29" s="2" t="s">
        <v>80</v>
      </c>
      <c r="D29" s="2" t="s">
        <v>696</v>
      </c>
      <c r="E29" s="2" t="s">
        <v>697</v>
      </c>
      <c r="F29" s="2">
        <v>4</v>
      </c>
      <c r="G29" s="2">
        <v>4</v>
      </c>
      <c r="H29" s="2">
        <v>11.3</v>
      </c>
      <c r="I29" s="2">
        <v>9.5</v>
      </c>
      <c r="J29" s="2" t="s">
        <v>698</v>
      </c>
      <c r="K29" s="2" t="s">
        <v>95</v>
      </c>
      <c r="L29" s="2" t="s">
        <v>218</v>
      </c>
      <c r="M29" s="2" t="s">
        <v>699</v>
      </c>
      <c r="N29" s="2" t="s">
        <v>700</v>
      </c>
      <c r="O29" s="2">
        <v>24.443000000000001</v>
      </c>
      <c r="P29" s="2">
        <v>6.3179999999999996</v>
      </c>
      <c r="Q29" s="2">
        <v>63.512999999999998</v>
      </c>
      <c r="R29" s="2">
        <v>0.315</v>
      </c>
      <c r="S29" s="2">
        <v>7.0549999999999997</v>
      </c>
      <c r="T29" s="2">
        <v>2.1480000000000001</v>
      </c>
      <c r="U29" s="2">
        <v>21.463999999999999</v>
      </c>
      <c r="V29" s="2">
        <v>0.28799999999999998</v>
      </c>
      <c r="W29" s="2">
        <v>2.8780000000000001</v>
      </c>
      <c r="X29" s="2">
        <v>12.779</v>
      </c>
      <c r="Y29" s="2">
        <v>4.2</v>
      </c>
      <c r="Z29" s="2">
        <v>11.5</v>
      </c>
      <c r="AA29" s="2">
        <v>91.7</v>
      </c>
      <c r="AB29" s="2">
        <v>31.2</v>
      </c>
      <c r="AC29" s="2">
        <v>361.5</v>
      </c>
      <c r="AD29" s="2">
        <v>636505.328125</v>
      </c>
      <c r="AE29" s="2">
        <v>569820.6875</v>
      </c>
      <c r="AF29" s="2">
        <v>482292.525390625</v>
      </c>
      <c r="AG29" s="2">
        <v>389096.21875</v>
      </c>
      <c r="AH29" s="2">
        <v>435046.322265625</v>
      </c>
      <c r="AI29" s="2">
        <v>30766.7734375</v>
      </c>
      <c r="AJ29" s="2">
        <v>34436.7265625</v>
      </c>
      <c r="AK29" s="2" t="s">
        <v>83</v>
      </c>
      <c r="AL29" s="2">
        <v>37207.7421875</v>
      </c>
      <c r="AM29" s="2">
        <v>28171.462890625</v>
      </c>
      <c r="AN29" s="2">
        <v>207852.74316406299</v>
      </c>
      <c r="AO29" s="2">
        <v>194595.234375</v>
      </c>
      <c r="AP29" s="2">
        <v>253044.78808593799</v>
      </c>
      <c r="AQ29" s="2">
        <v>225506.31640625</v>
      </c>
      <c r="AR29" s="2">
        <v>308491.54296875</v>
      </c>
      <c r="AS29" s="2">
        <v>607638.916015625</v>
      </c>
      <c r="AT29" s="2">
        <v>927804.6640625</v>
      </c>
      <c r="AU29" s="2">
        <v>552503.451171875</v>
      </c>
      <c r="AV29" s="2">
        <v>534807.76171875</v>
      </c>
      <c r="AW29" s="2">
        <v>649712.98144531297</v>
      </c>
      <c r="AX29" s="2">
        <v>2457907.671875</v>
      </c>
      <c r="AY29" s="2">
        <v>3196472.734375</v>
      </c>
      <c r="AZ29" s="2">
        <v>3351743.1171875</v>
      </c>
      <c r="BA29" s="2">
        <v>2267817.125</v>
      </c>
      <c r="BB29" s="2">
        <v>2267943.28515625</v>
      </c>
      <c r="BC29" s="2" t="s">
        <v>79</v>
      </c>
      <c r="BD29" s="2" t="s">
        <v>79</v>
      </c>
      <c r="BE29" s="2" t="s">
        <v>79</v>
      </c>
      <c r="BF29" s="2" t="s">
        <v>79</v>
      </c>
      <c r="BG29" s="2" t="s">
        <v>79</v>
      </c>
      <c r="BH29" s="2" t="s">
        <v>91</v>
      </c>
      <c r="BI29" s="2" t="s">
        <v>91</v>
      </c>
      <c r="BJ29" s="2" t="s">
        <v>98</v>
      </c>
      <c r="BK29" s="2" t="s">
        <v>91</v>
      </c>
      <c r="BL29" s="2" t="s">
        <v>91</v>
      </c>
      <c r="BM29" s="2" t="s">
        <v>79</v>
      </c>
      <c r="BN29" s="2" t="s">
        <v>79</v>
      </c>
      <c r="BO29" s="2" t="s">
        <v>79</v>
      </c>
      <c r="BP29" s="2" t="s">
        <v>79</v>
      </c>
      <c r="BQ29" s="2" t="s">
        <v>79</v>
      </c>
      <c r="BR29" s="2" t="s">
        <v>79</v>
      </c>
      <c r="BS29" s="2" t="s">
        <v>79</v>
      </c>
      <c r="BT29" s="2" t="s">
        <v>79</v>
      </c>
      <c r="BU29" s="2" t="s">
        <v>79</v>
      </c>
      <c r="BV29" s="2" t="s">
        <v>79</v>
      </c>
      <c r="BW29" s="2" t="s">
        <v>79</v>
      </c>
      <c r="BX29" s="2" t="s">
        <v>79</v>
      </c>
      <c r="BY29" s="2" t="s">
        <v>79</v>
      </c>
      <c r="BZ29" s="2" t="s">
        <v>79</v>
      </c>
      <c r="CA29" s="2" t="s">
        <v>79</v>
      </c>
      <c r="CB29">
        <f>TTEST(AS29:AW29,AI29:AM29,2,2)</f>
        <v>1.171093271181621E-4</v>
      </c>
      <c r="CC29">
        <f>TTEST(AD29:AH29,AI29:AM29,2,2)</f>
        <v>3.6298907982734847E-5</v>
      </c>
      <c r="CD29">
        <f>TTEST(AN29:AR29,AI29:AM29,2,2)</f>
        <v>4.4417949849293991E-5</v>
      </c>
      <c r="CE29">
        <f>TTEST(AX29:BB29,AI29:AM29,2,2)</f>
        <v>2.0724498306934215E-5</v>
      </c>
      <c r="CF29">
        <v>67</v>
      </c>
      <c r="CG29">
        <v>96</v>
      </c>
      <c r="CH29">
        <v>40</v>
      </c>
      <c r="CI29">
        <v>31</v>
      </c>
      <c r="CJ29">
        <f>0.05*CF29/464</f>
        <v>7.2198275862068971E-3</v>
      </c>
      <c r="CK29">
        <f>0.05*CG29/464</f>
        <v>1.0344827586206898E-2</v>
      </c>
      <c r="CL29">
        <f>0.05*CH29/464</f>
        <v>4.3103448275862068E-3</v>
      </c>
      <c r="CM29">
        <f>0.05*CI29/464</f>
        <v>3.3405172413793105E-3</v>
      </c>
      <c r="CN29" t="str">
        <f>IF(CB29&lt;CJ29,"yes","no")</f>
        <v>yes</v>
      </c>
      <c r="CO29" t="str">
        <f>IF(CC29&lt;CK29,"yes","no")</f>
        <v>yes</v>
      </c>
      <c r="CP29" t="str">
        <f>IF(CD29&lt;CL29,"yes","no")</f>
        <v>yes</v>
      </c>
      <c r="CQ29" t="str">
        <f>IF(CE29&lt;CM29,"yes","no")</f>
        <v>yes</v>
      </c>
      <c r="CR29">
        <f>TTEST(AS29:AW29,AD29:AH29,2,2)</f>
        <v>0.10896574511322017</v>
      </c>
      <c r="CS29">
        <f>TTEST(AS29:AW29,AN29:AR29,2,2)</f>
        <v>4.9688056760639136E-4</v>
      </c>
      <c r="CT29">
        <f>TTEST(AS29:AW29,AX29:BB29,2,2)</f>
        <v>3.1522799760521237E-5</v>
      </c>
      <c r="CU29">
        <v>249</v>
      </c>
      <c r="CV29">
        <v>81</v>
      </c>
      <c r="CW29">
        <v>28</v>
      </c>
      <c r="CX29">
        <f t="shared" si="0"/>
        <v>2.683189655172414E-2</v>
      </c>
      <c r="CY29">
        <f t="shared" si="1"/>
        <v>8.7284482758620691E-3</v>
      </c>
      <c r="CZ29">
        <f t="shared" si="2"/>
        <v>3.0172413793103452E-3</v>
      </c>
      <c r="DA29" t="str">
        <f>IF(CR29&lt;CX29,"yes","no")</f>
        <v>no</v>
      </c>
      <c r="DB29" t="str">
        <f>IF(CS29&lt;CY29,"yes","no")</f>
        <v>yes</v>
      </c>
      <c r="DC29" t="str">
        <f>IF(CT29&lt;CZ29,"yes","no")</f>
        <v>yes</v>
      </c>
    </row>
    <row r="30" spans="1:107" x14ac:dyDescent="0.2">
      <c r="A30" s="2" t="b">
        <v>0</v>
      </c>
      <c r="B30" s="2" t="s">
        <v>79</v>
      </c>
      <c r="C30" s="2" t="s">
        <v>80</v>
      </c>
      <c r="D30" s="2" t="s">
        <v>368</v>
      </c>
      <c r="E30" s="2" t="s">
        <v>369</v>
      </c>
      <c r="F30" s="2">
        <v>10</v>
      </c>
      <c r="G30" s="2">
        <v>10</v>
      </c>
      <c r="H30" s="2">
        <v>90.9</v>
      </c>
      <c r="I30" s="2">
        <v>6.83</v>
      </c>
      <c r="J30" s="2" t="s">
        <v>370</v>
      </c>
      <c r="K30" s="2" t="s">
        <v>95</v>
      </c>
      <c r="L30" s="2" t="s">
        <v>119</v>
      </c>
      <c r="M30" s="2" t="s">
        <v>371</v>
      </c>
      <c r="N30" s="2" t="s">
        <v>368</v>
      </c>
      <c r="O30" s="2">
        <v>2.9870000000000001</v>
      </c>
      <c r="P30" s="2">
        <v>0.91500000000000004</v>
      </c>
      <c r="Q30" s="2">
        <v>0.48199999999999998</v>
      </c>
      <c r="R30" s="2">
        <v>0.90200000000000002</v>
      </c>
      <c r="S30" s="2">
        <v>3.7669999999999999</v>
      </c>
      <c r="T30" s="2">
        <v>1.236</v>
      </c>
      <c r="U30" s="2">
        <v>1.123</v>
      </c>
      <c r="V30" s="2">
        <v>0.316</v>
      </c>
      <c r="W30" s="2">
        <v>0.23100000000000001</v>
      </c>
      <c r="X30" s="2">
        <v>0.53100000000000003</v>
      </c>
      <c r="Y30" s="2">
        <v>106.3</v>
      </c>
      <c r="Z30" s="2">
        <v>12.3</v>
      </c>
      <c r="AA30" s="2">
        <v>250.2</v>
      </c>
      <c r="AB30" s="2">
        <v>86.8</v>
      </c>
      <c r="AC30" s="2">
        <v>44.3</v>
      </c>
      <c r="AD30" s="2">
        <v>9140974.3046875</v>
      </c>
      <c r="AE30" s="2">
        <v>7419922.28125</v>
      </c>
      <c r="AF30" s="2">
        <v>6888146.2109375</v>
      </c>
      <c r="AG30" s="2">
        <v>6770500.8359375</v>
      </c>
      <c r="AH30" s="2">
        <v>6061260.90625</v>
      </c>
      <c r="AI30" s="2">
        <v>17372.419921875</v>
      </c>
      <c r="AJ30" s="2">
        <v>11366.1572265625</v>
      </c>
      <c r="AK30" s="2">
        <v>15883.005859375</v>
      </c>
      <c r="AL30" s="2">
        <v>33465.3046875</v>
      </c>
      <c r="AM30" s="2">
        <v>15450.2529296875</v>
      </c>
      <c r="AN30" s="2">
        <v>322066.62988281302</v>
      </c>
      <c r="AO30" s="2">
        <v>335268.046875</v>
      </c>
      <c r="AP30" s="2">
        <v>422171.666015625</v>
      </c>
      <c r="AQ30" s="2">
        <v>339691.07080078102</v>
      </c>
      <c r="AR30" s="2">
        <v>474586.01953125</v>
      </c>
      <c r="AS30" s="2">
        <v>887422.5234375</v>
      </c>
      <c r="AT30" s="2">
        <v>1391845.8046875</v>
      </c>
      <c r="AU30" s="2">
        <v>872555.931640625</v>
      </c>
      <c r="AV30" s="2">
        <v>851508.984375</v>
      </c>
      <c r="AW30" s="2">
        <v>1059111.0175781299</v>
      </c>
      <c r="AX30" s="2">
        <v>160742.3671875</v>
      </c>
      <c r="AY30" s="2">
        <v>172548.95703125</v>
      </c>
      <c r="AZ30" s="2">
        <v>188021.33691406299</v>
      </c>
      <c r="BA30" s="2">
        <v>172713.0546875</v>
      </c>
      <c r="BB30" s="2">
        <v>164195.66113281299</v>
      </c>
      <c r="BC30" s="2" t="s">
        <v>79</v>
      </c>
      <c r="BD30" s="2" t="s">
        <v>79</v>
      </c>
      <c r="BE30" s="2" t="s">
        <v>79</v>
      </c>
      <c r="BF30" s="2" t="s">
        <v>79</v>
      </c>
      <c r="BG30" s="2" t="s">
        <v>79</v>
      </c>
      <c r="BH30" s="2" t="s">
        <v>91</v>
      </c>
      <c r="BI30" s="2" t="s">
        <v>91</v>
      </c>
      <c r="BJ30" s="2" t="s">
        <v>91</v>
      </c>
      <c r="BK30" s="2" t="s">
        <v>91</v>
      </c>
      <c r="BL30" s="2" t="s">
        <v>91</v>
      </c>
      <c r="BM30" s="2" t="s">
        <v>79</v>
      </c>
      <c r="BN30" s="2" t="s">
        <v>79</v>
      </c>
      <c r="BO30" s="2" t="s">
        <v>79</v>
      </c>
      <c r="BP30" s="2" t="s">
        <v>79</v>
      </c>
      <c r="BQ30" s="2" t="s">
        <v>79</v>
      </c>
      <c r="BR30" s="2" t="s">
        <v>79</v>
      </c>
      <c r="BS30" s="2" t="s">
        <v>79</v>
      </c>
      <c r="BT30" s="2" t="s">
        <v>79</v>
      </c>
      <c r="BU30" s="2" t="s">
        <v>79</v>
      </c>
      <c r="BV30" s="2" t="s">
        <v>79</v>
      </c>
      <c r="BW30" s="2" t="s">
        <v>79</v>
      </c>
      <c r="BX30" s="2" t="s">
        <v>79</v>
      </c>
      <c r="BY30" s="2" t="s">
        <v>79</v>
      </c>
      <c r="BZ30" s="2" t="s">
        <v>79</v>
      </c>
      <c r="CA30" s="2" t="s">
        <v>91</v>
      </c>
      <c r="CB30">
        <f>TTEST(AS30:AW30,AI30:AM30,2,2)</f>
        <v>1.0202494634927637E-5</v>
      </c>
      <c r="CC30">
        <f>TTEST(AD30:AH30,AI30:AM30,2,2)</f>
        <v>6.7324298739079077E-7</v>
      </c>
      <c r="CD30">
        <f>TTEST(AN30:AR30,AI30:AM30,2,2)</f>
        <v>2.1377027908941183E-6</v>
      </c>
      <c r="CE30">
        <f>TTEST(AX30:BB30,AI30:AM30,2,2)</f>
        <v>6.5805370740146587E-9</v>
      </c>
      <c r="CF30">
        <v>26</v>
      </c>
      <c r="CG30">
        <v>48</v>
      </c>
      <c r="CH30">
        <v>12</v>
      </c>
      <c r="CI30">
        <v>2</v>
      </c>
      <c r="CJ30">
        <f>0.05*CF30/464</f>
        <v>2.8017241379310344E-3</v>
      </c>
      <c r="CK30">
        <f>0.05*CG30/464</f>
        <v>5.1724137931034491E-3</v>
      </c>
      <c r="CL30">
        <f>0.05*CH30/464</f>
        <v>1.2931034482758623E-3</v>
      </c>
      <c r="CM30">
        <f>0.05*CI30/464</f>
        <v>2.1551724137931037E-4</v>
      </c>
      <c r="CN30" t="str">
        <f>IF(CB30&lt;CJ30,"yes","no")</f>
        <v>yes</v>
      </c>
      <c r="CO30" t="str">
        <f>IF(CC30&lt;CK30,"yes","no")</f>
        <v>yes</v>
      </c>
      <c r="CP30" t="str">
        <f>IF(CD30&lt;CL30,"yes","no")</f>
        <v>yes</v>
      </c>
      <c r="CQ30" t="str">
        <f>IF(CE30&lt;CM30,"yes","no")</f>
        <v>yes</v>
      </c>
      <c r="CR30">
        <f>TTEST(AS30:AW30,AD30:AH30,2,2)</f>
        <v>2.4137825575543803E-6</v>
      </c>
      <c r="CS30">
        <f>TTEST(AS30:AW30,AN30:AR30,2,2)</f>
        <v>3.3220056455080785E-4</v>
      </c>
      <c r="CT30">
        <f>TTEST(AS30:AW30,AX30:BB30,2,2)</f>
        <v>3.4914454615502651E-5</v>
      </c>
      <c r="CU30">
        <v>67</v>
      </c>
      <c r="CV30">
        <v>78</v>
      </c>
      <c r="CW30">
        <v>29</v>
      </c>
      <c r="CX30">
        <f t="shared" si="0"/>
        <v>7.2198275862068971E-3</v>
      </c>
      <c r="CY30">
        <f t="shared" si="1"/>
        <v>8.4051724137931046E-3</v>
      </c>
      <c r="CZ30">
        <f t="shared" si="2"/>
        <v>3.1250000000000002E-3</v>
      </c>
      <c r="DA30" t="str">
        <f>IF(CR30&lt;CX30,"yes","no")</f>
        <v>yes</v>
      </c>
      <c r="DB30" t="str">
        <f>IF(CS30&lt;CY30,"yes","no")</f>
        <v>yes</v>
      </c>
      <c r="DC30" t="str">
        <f>IF(CT30&lt;CZ30,"yes","no")</f>
        <v>yes</v>
      </c>
    </row>
    <row r="31" spans="1:107" x14ac:dyDescent="0.2">
      <c r="A31" s="2" t="b">
        <v>0</v>
      </c>
      <c r="B31" s="2" t="s">
        <v>79</v>
      </c>
      <c r="C31" s="2" t="s">
        <v>80</v>
      </c>
      <c r="D31" s="2" t="s">
        <v>718</v>
      </c>
      <c r="E31" s="2" t="s">
        <v>719</v>
      </c>
      <c r="F31" s="2">
        <v>4</v>
      </c>
      <c r="G31" s="2">
        <v>4</v>
      </c>
      <c r="H31" s="2">
        <v>12.2</v>
      </c>
      <c r="I31" s="2">
        <v>8.4600000000000009</v>
      </c>
      <c r="J31" s="2" t="s">
        <v>254</v>
      </c>
      <c r="K31" s="2" t="s">
        <v>319</v>
      </c>
      <c r="L31" s="2" t="s">
        <v>119</v>
      </c>
      <c r="M31" s="2" t="s">
        <v>720</v>
      </c>
      <c r="N31" s="2" t="s">
        <v>718</v>
      </c>
      <c r="O31" s="2">
        <v>1.6220000000000001</v>
      </c>
      <c r="P31" s="2">
        <v>0.91</v>
      </c>
      <c r="Q31" s="2">
        <v>0.34300000000000003</v>
      </c>
      <c r="R31" s="2">
        <v>0.437</v>
      </c>
      <c r="S31" s="2">
        <v>4.6269999999999998</v>
      </c>
      <c r="T31" s="2">
        <v>2.738</v>
      </c>
      <c r="U31" s="2">
        <v>0.96399999999999997</v>
      </c>
      <c r="V31" s="2">
        <v>0.65800000000000003</v>
      </c>
      <c r="W31" s="2">
        <v>0.21099999999999999</v>
      </c>
      <c r="X31" s="2">
        <v>0.33100000000000002</v>
      </c>
      <c r="Y31" s="2">
        <v>136.9</v>
      </c>
      <c r="Z31" s="2">
        <v>10.9</v>
      </c>
      <c r="AA31" s="2">
        <v>195.3</v>
      </c>
      <c r="AB31" s="2">
        <v>133.5</v>
      </c>
      <c r="AC31" s="2">
        <v>23.4</v>
      </c>
      <c r="AD31" s="2">
        <v>2266185.7890625</v>
      </c>
      <c r="AE31" s="2">
        <v>1823891.0097656299</v>
      </c>
      <c r="AF31" s="2">
        <v>1507462.8935546901</v>
      </c>
      <c r="AG31" s="2">
        <v>1688767.75</v>
      </c>
      <c r="AH31" s="2">
        <v>1661766.30859375</v>
      </c>
      <c r="AI31" s="2" t="s">
        <v>83</v>
      </c>
      <c r="AJ31" s="2" t="s">
        <v>83</v>
      </c>
      <c r="AK31" s="2">
        <v>2219.05639648438</v>
      </c>
      <c r="AL31" s="2">
        <v>9208.328125</v>
      </c>
      <c r="AM31" s="2">
        <v>2289.9140625</v>
      </c>
      <c r="AN31" s="2">
        <v>39367.8720703125</v>
      </c>
      <c r="AO31" s="2">
        <v>59336.404785156301</v>
      </c>
      <c r="AP31" s="2">
        <v>46302.021484375</v>
      </c>
      <c r="AQ31" s="2">
        <v>30554.369140625</v>
      </c>
      <c r="AR31" s="2">
        <v>66839.1025390625</v>
      </c>
      <c r="AS31" s="2">
        <v>352159.421875</v>
      </c>
      <c r="AT31" s="2">
        <v>364305.515625</v>
      </c>
      <c r="AU31" s="2">
        <v>200713.75</v>
      </c>
      <c r="AV31" s="2">
        <v>260654.950927734</v>
      </c>
      <c r="AW31" s="2">
        <v>247824.915405273</v>
      </c>
      <c r="AX31" s="2">
        <v>13139.689453125</v>
      </c>
      <c r="AY31" s="2">
        <v>25860.25390625</v>
      </c>
      <c r="AZ31" s="2">
        <v>46012.314453125</v>
      </c>
      <c r="BA31" s="2">
        <v>14800.3134765625</v>
      </c>
      <c r="BB31" s="2">
        <v>15219.6494140625</v>
      </c>
      <c r="BC31" s="2" t="s">
        <v>79</v>
      </c>
      <c r="BD31" s="2" t="s">
        <v>79</v>
      </c>
      <c r="BE31" s="2" t="s">
        <v>79</v>
      </c>
      <c r="BF31" s="2" t="s">
        <v>79</v>
      </c>
      <c r="BG31" s="2" t="s">
        <v>79</v>
      </c>
      <c r="BH31" s="2" t="s">
        <v>98</v>
      </c>
      <c r="BI31" s="2" t="s">
        <v>98</v>
      </c>
      <c r="BJ31" s="2" t="s">
        <v>91</v>
      </c>
      <c r="BK31" s="2" t="s">
        <v>91</v>
      </c>
      <c r="BL31" s="2" t="s">
        <v>91</v>
      </c>
      <c r="BM31" s="2" t="s">
        <v>79</v>
      </c>
      <c r="BN31" s="2" t="s">
        <v>79</v>
      </c>
      <c r="BO31" s="2" t="s">
        <v>79</v>
      </c>
      <c r="BP31" s="2" t="s">
        <v>79</v>
      </c>
      <c r="BQ31" s="2" t="s">
        <v>79</v>
      </c>
      <c r="BR31" s="2" t="s">
        <v>79</v>
      </c>
      <c r="BS31" s="2" t="s">
        <v>79</v>
      </c>
      <c r="BT31" s="2" t="s">
        <v>79</v>
      </c>
      <c r="BU31" s="2" t="s">
        <v>79</v>
      </c>
      <c r="BV31" s="2" t="s">
        <v>79</v>
      </c>
      <c r="BW31" s="2" t="s">
        <v>91</v>
      </c>
      <c r="BX31" s="2" t="s">
        <v>91</v>
      </c>
      <c r="BY31" s="2" t="s">
        <v>91</v>
      </c>
      <c r="BZ31" s="2" t="s">
        <v>91</v>
      </c>
      <c r="CA31" s="2" t="s">
        <v>91</v>
      </c>
      <c r="CB31">
        <f>TTEST(AS31:AW31,AI31:AM31,2,2)</f>
        <v>5.5012187039089151E-4</v>
      </c>
      <c r="CC31">
        <f>TTEST(AD31:AH31,AI31:AM31,2,2)</f>
        <v>4.7513577264492308E-5</v>
      </c>
      <c r="CD31">
        <f>TTEST(AN31:AR31,AI31:AM31,2,2)</f>
        <v>2.6588334568816165E-3</v>
      </c>
      <c r="CE31">
        <f>TTEST(AX31:BB31,AI31:AM31,2,2)</f>
        <v>7.0791950642178622E-2</v>
      </c>
      <c r="CF31">
        <v>93</v>
      </c>
      <c r="CG31">
        <v>101</v>
      </c>
      <c r="CH31">
        <v>83</v>
      </c>
      <c r="CI31">
        <v>113</v>
      </c>
      <c r="CJ31">
        <f>0.05*CF31/464</f>
        <v>1.0021551724137932E-2</v>
      </c>
      <c r="CK31">
        <f>0.05*CG31/464</f>
        <v>1.0883620689655173E-2</v>
      </c>
      <c r="CL31">
        <f>0.05*CH31/464</f>
        <v>8.9439655172413798E-3</v>
      </c>
      <c r="CM31">
        <f>0.05*CI31/464</f>
        <v>1.2176724137931035E-2</v>
      </c>
      <c r="CN31" t="str">
        <f>IF(CB31&lt;CJ31,"yes","no")</f>
        <v>yes</v>
      </c>
      <c r="CO31" t="str">
        <f>IF(CC31&lt;CK31,"yes","no")</f>
        <v>yes</v>
      </c>
      <c r="CP31" t="str">
        <f>IF(CD31&lt;CL31,"yes","no")</f>
        <v>yes</v>
      </c>
      <c r="CQ31" t="str">
        <f>IF(CE31&lt;CM31,"yes","no")</f>
        <v>no</v>
      </c>
      <c r="CR31">
        <f>TTEST(AS31:AW31,AD31:AH31,2,2)</f>
        <v>3.3765983650036265E-6</v>
      </c>
      <c r="CS31">
        <f>TTEST(AS31:AW31,AN31:AR31,2,2)</f>
        <v>8.0060626075128754E-5</v>
      </c>
      <c r="CT31">
        <f>TTEST(AS31:AW31,AX31:BB31,2,2)</f>
        <v>3.7877873474709876E-5</v>
      </c>
      <c r="CU31">
        <v>72</v>
      </c>
      <c r="CV31">
        <v>38</v>
      </c>
      <c r="CW31">
        <v>30</v>
      </c>
      <c r="CX31">
        <f t="shared" si="0"/>
        <v>7.7586206896551723E-3</v>
      </c>
      <c r="CY31">
        <f t="shared" si="1"/>
        <v>4.0948275862068969E-3</v>
      </c>
      <c r="CZ31">
        <f t="shared" si="2"/>
        <v>3.2327586206896551E-3</v>
      </c>
      <c r="DA31" t="str">
        <f>IF(CR31&lt;CX31,"yes","no")</f>
        <v>yes</v>
      </c>
      <c r="DB31" t="str">
        <f>IF(CS31&lt;CY31,"yes","no")</f>
        <v>yes</v>
      </c>
      <c r="DC31" t="str">
        <f>IF(CT31&lt;CZ31,"yes","no")</f>
        <v>yes</v>
      </c>
    </row>
    <row r="32" spans="1:107" x14ac:dyDescent="0.2">
      <c r="A32" s="2" t="b">
        <v>0</v>
      </c>
      <c r="B32" s="2" t="s">
        <v>79</v>
      </c>
      <c r="C32" s="2" t="s">
        <v>80</v>
      </c>
      <c r="D32" s="2" t="s">
        <v>605</v>
      </c>
      <c r="E32" s="2" t="s">
        <v>606</v>
      </c>
      <c r="F32" s="2">
        <v>5</v>
      </c>
      <c r="G32" s="2">
        <v>5</v>
      </c>
      <c r="H32" s="2">
        <v>23.2</v>
      </c>
      <c r="I32" s="2">
        <v>6.55</v>
      </c>
      <c r="J32" s="2" t="s">
        <v>380</v>
      </c>
      <c r="K32" s="2" t="s">
        <v>607</v>
      </c>
      <c r="L32" s="2" t="s">
        <v>83</v>
      </c>
      <c r="M32" s="2" t="s">
        <v>608</v>
      </c>
      <c r="N32" s="2" t="s">
        <v>605</v>
      </c>
      <c r="O32" s="2">
        <v>2.1019999999999999</v>
      </c>
      <c r="P32" s="2">
        <v>1.3009999999999999</v>
      </c>
      <c r="Q32" s="2">
        <v>4.2750000000000004</v>
      </c>
      <c r="R32" s="2">
        <v>0.60599999999999998</v>
      </c>
      <c r="S32" s="2">
        <v>1.071</v>
      </c>
      <c r="T32" s="2">
        <v>0.96799999999999997</v>
      </c>
      <c r="U32" s="2">
        <v>2.0150000000000001</v>
      </c>
      <c r="V32" s="2">
        <v>0.76100000000000001</v>
      </c>
      <c r="W32" s="2">
        <v>1.3420000000000001</v>
      </c>
      <c r="X32" s="2">
        <v>2.899</v>
      </c>
      <c r="Y32" s="2">
        <v>107</v>
      </c>
      <c r="Z32" s="2">
        <v>67.3</v>
      </c>
      <c r="AA32" s="2">
        <v>106.6</v>
      </c>
      <c r="AB32" s="2">
        <v>135.19999999999999</v>
      </c>
      <c r="AC32" s="2">
        <v>83.9</v>
      </c>
      <c r="AD32" s="2">
        <v>1421135.84375</v>
      </c>
      <c r="AE32" s="2">
        <v>1033450.0703125</v>
      </c>
      <c r="AF32" s="2">
        <v>1133112.5703125</v>
      </c>
      <c r="AG32" s="2">
        <v>1263349.28125</v>
      </c>
      <c r="AH32" s="2">
        <v>1094726.4296875</v>
      </c>
      <c r="AI32" s="2">
        <v>15679.884765625</v>
      </c>
      <c r="AJ32" s="2">
        <v>19254.0947265625</v>
      </c>
      <c r="AK32" s="2">
        <v>8464.75390625</v>
      </c>
      <c r="AL32" s="2">
        <v>28630.6103515625</v>
      </c>
      <c r="AM32" s="2">
        <v>9255.822265625</v>
      </c>
      <c r="AN32" s="2">
        <v>7001.35498046875</v>
      </c>
      <c r="AO32" s="2">
        <v>18908.0461425781</v>
      </c>
      <c r="AP32" s="2">
        <v>26959.39453125</v>
      </c>
      <c r="AQ32" s="2">
        <v>13680.775390625</v>
      </c>
      <c r="AR32" s="2">
        <v>30760.5478515625</v>
      </c>
      <c r="AS32" s="2">
        <v>220100.078125</v>
      </c>
      <c r="AT32" s="2">
        <v>311044.873046875</v>
      </c>
      <c r="AU32" s="2">
        <v>245063.05175781299</v>
      </c>
      <c r="AV32" s="2">
        <v>203104.49707031299</v>
      </c>
      <c r="AW32" s="2">
        <v>208043.896484375</v>
      </c>
      <c r="AX32" s="2">
        <v>58137.869140625</v>
      </c>
      <c r="AY32" s="2">
        <v>68779.91015625</v>
      </c>
      <c r="AZ32" s="2">
        <v>87931.2333984375</v>
      </c>
      <c r="BA32" s="2">
        <v>44659.59765625</v>
      </c>
      <c r="BB32" s="2">
        <v>32713.8359375</v>
      </c>
      <c r="BC32" s="2" t="s">
        <v>79</v>
      </c>
      <c r="BD32" s="2" t="s">
        <v>79</v>
      </c>
      <c r="BE32" s="2" t="s">
        <v>79</v>
      </c>
      <c r="BF32" s="2" t="s">
        <v>79</v>
      </c>
      <c r="BG32" s="2" t="s">
        <v>79</v>
      </c>
      <c r="BH32" s="2" t="s">
        <v>91</v>
      </c>
      <c r="BI32" s="2" t="s">
        <v>91</v>
      </c>
      <c r="BJ32" s="2" t="s">
        <v>91</v>
      </c>
      <c r="BK32" s="2" t="s">
        <v>91</v>
      </c>
      <c r="BL32" s="2" t="s">
        <v>91</v>
      </c>
      <c r="BM32" s="2" t="s">
        <v>91</v>
      </c>
      <c r="BN32" s="2" t="s">
        <v>91</v>
      </c>
      <c r="BO32" s="2" t="s">
        <v>91</v>
      </c>
      <c r="BP32" s="2" t="s">
        <v>91</v>
      </c>
      <c r="BQ32" s="2" t="s">
        <v>91</v>
      </c>
      <c r="BR32" s="2" t="s">
        <v>91</v>
      </c>
      <c r="BS32" s="2" t="s">
        <v>79</v>
      </c>
      <c r="BT32" s="2" t="s">
        <v>91</v>
      </c>
      <c r="BU32" s="2" t="s">
        <v>91</v>
      </c>
      <c r="BV32" s="2" t="s">
        <v>79</v>
      </c>
      <c r="BW32" s="2" t="s">
        <v>91</v>
      </c>
      <c r="BX32" s="2" t="s">
        <v>91</v>
      </c>
      <c r="BY32" s="2" t="s">
        <v>91</v>
      </c>
      <c r="BZ32" s="2" t="s">
        <v>91</v>
      </c>
      <c r="CA32" s="2" t="s">
        <v>91</v>
      </c>
      <c r="CB32">
        <f>TTEST(AS32:AW32,AI32:AM32,2,2)</f>
        <v>4.1548888498636597E-6</v>
      </c>
      <c r="CC32">
        <f>TTEST(AD32:AH32,AI32:AM32,2,2)</f>
        <v>1.4968176696223136E-7</v>
      </c>
      <c r="CD32">
        <f>TTEST(AN32:AR32,AI32:AM32,2,2)</f>
        <v>0.58798005080511428</v>
      </c>
      <c r="CE32">
        <f>TTEST(AX32:BB32,AI32:AM32,2,2)</f>
        <v>3.3605774315009101E-3</v>
      </c>
      <c r="CF32">
        <v>17</v>
      </c>
      <c r="CG32">
        <v>24</v>
      </c>
      <c r="CH32">
        <v>197</v>
      </c>
      <c r="CI32">
        <v>68</v>
      </c>
      <c r="CJ32">
        <f>0.05*CF32/464</f>
        <v>1.8318965517241381E-3</v>
      </c>
      <c r="CK32">
        <f>0.05*CG32/464</f>
        <v>2.5862068965517245E-3</v>
      </c>
      <c r="CL32">
        <f>0.05*CH32/464</f>
        <v>2.1228448275862073E-2</v>
      </c>
      <c r="CM32">
        <f>0.05*CI32/464</f>
        <v>7.3275862068965525E-3</v>
      </c>
      <c r="CN32" t="str">
        <f>IF(CB32&lt;CJ32,"yes","no")</f>
        <v>yes</v>
      </c>
      <c r="CO32" t="str">
        <f>IF(CC32&lt;CK32,"yes","no")</f>
        <v>yes</v>
      </c>
      <c r="CP32" t="str">
        <f>IF(CD32&lt;CL32,"yes","no")</f>
        <v>no</v>
      </c>
      <c r="CQ32" t="str">
        <f>IF(CE32&lt;CM32,"yes","no")</f>
        <v>yes</v>
      </c>
      <c r="CR32">
        <f>TTEST(AS32:AW32,AD32:AH32,2,2)</f>
        <v>1.0140496428130833E-6</v>
      </c>
      <c r="CS32">
        <f>TTEST(AS32:AW32,AN32:AR32,2,2)</f>
        <v>4.8600088413575693E-6</v>
      </c>
      <c r="CT32">
        <f>TTEST(AS32:AW32,AX32:BB32,2,2)</f>
        <v>3.8156951476624728E-5</v>
      </c>
      <c r="CU32">
        <v>54</v>
      </c>
      <c r="CV32">
        <v>5</v>
      </c>
      <c r="CW32">
        <v>31</v>
      </c>
      <c r="CX32">
        <f t="shared" si="0"/>
        <v>5.8189655172413797E-3</v>
      </c>
      <c r="CY32">
        <f t="shared" si="1"/>
        <v>5.3879310344827585E-4</v>
      </c>
      <c r="CZ32">
        <f t="shared" si="2"/>
        <v>3.3405172413793105E-3</v>
      </c>
      <c r="DA32" t="str">
        <f>IF(CR32&lt;CX32,"yes","no")</f>
        <v>yes</v>
      </c>
      <c r="DB32" t="str">
        <f>IF(CS32&lt;CY32,"yes","no")</f>
        <v>yes</v>
      </c>
      <c r="DC32" t="str">
        <f>IF(CT32&lt;CZ32,"yes","no")</f>
        <v>yes</v>
      </c>
    </row>
    <row r="33" spans="1:107" x14ac:dyDescent="0.2">
      <c r="A33" s="2" t="b">
        <v>0</v>
      </c>
      <c r="B33" s="2" t="s">
        <v>79</v>
      </c>
      <c r="C33" s="2" t="s">
        <v>80</v>
      </c>
      <c r="D33" s="2" t="s">
        <v>584</v>
      </c>
      <c r="E33" s="2" t="s">
        <v>585</v>
      </c>
      <c r="F33" s="2">
        <v>2</v>
      </c>
      <c r="G33" s="2">
        <v>1</v>
      </c>
      <c r="H33" s="2">
        <v>13.9</v>
      </c>
      <c r="I33" s="2">
        <v>8.31</v>
      </c>
      <c r="J33" s="2" t="s">
        <v>83</v>
      </c>
      <c r="K33" s="2" t="s">
        <v>83</v>
      </c>
      <c r="L33" s="2" t="s">
        <v>83</v>
      </c>
      <c r="M33" s="2" t="s">
        <v>83</v>
      </c>
      <c r="N33" s="2" t="s">
        <v>584</v>
      </c>
      <c r="O33" s="2">
        <v>2.8370000000000002</v>
      </c>
      <c r="P33" s="2">
        <v>1.046</v>
      </c>
      <c r="Q33" s="2">
        <v>0.79600000000000004</v>
      </c>
      <c r="R33" s="2">
        <v>0.84699999999999998</v>
      </c>
      <c r="S33" s="2">
        <v>2.0430000000000001</v>
      </c>
      <c r="T33" s="2">
        <v>0.87</v>
      </c>
      <c r="U33" s="2">
        <v>0.67100000000000004</v>
      </c>
      <c r="V33" s="2">
        <v>0.39900000000000002</v>
      </c>
      <c r="W33" s="2">
        <v>0.28999999999999998</v>
      </c>
      <c r="X33" s="2">
        <v>0.77400000000000002</v>
      </c>
      <c r="Y33" s="2">
        <v>76.8</v>
      </c>
      <c r="Z33" s="2">
        <v>70.7</v>
      </c>
      <c r="AA33" s="2">
        <v>228.6</v>
      </c>
      <c r="AB33" s="2">
        <v>68.900000000000006</v>
      </c>
      <c r="AC33" s="2">
        <v>55</v>
      </c>
      <c r="AD33" s="2">
        <v>28447415.0625</v>
      </c>
      <c r="AE33" s="2">
        <v>23855883.0625</v>
      </c>
      <c r="AF33" s="2">
        <v>22055344.6875</v>
      </c>
      <c r="AG33" s="2">
        <v>21888152.65625</v>
      </c>
      <c r="AH33" s="2">
        <v>21782413.21875</v>
      </c>
      <c r="AI33" s="2">
        <v>497369.345703125</v>
      </c>
      <c r="AJ33" s="2">
        <v>457878.826171875</v>
      </c>
      <c r="AK33" s="2">
        <v>482412.384765625</v>
      </c>
      <c r="AL33" s="2">
        <v>522397.09863281302</v>
      </c>
      <c r="AM33" s="2">
        <v>438341.314453125</v>
      </c>
      <c r="AN33" s="2">
        <v>1232679.4765625</v>
      </c>
      <c r="AO33" s="2">
        <v>1303283.578125</v>
      </c>
      <c r="AP33" s="2">
        <v>1641610.9296875</v>
      </c>
      <c r="AQ33" s="2">
        <v>1294686.8291015599</v>
      </c>
      <c r="AR33" s="2">
        <v>1879712.13671875</v>
      </c>
      <c r="AS33" s="2">
        <v>3283237.953125</v>
      </c>
      <c r="AT33" s="2">
        <v>4530369.78125</v>
      </c>
      <c r="AU33" s="2">
        <v>2986426.6982421898</v>
      </c>
      <c r="AV33" s="2">
        <v>3054349.70703125</v>
      </c>
      <c r="AW33" s="2">
        <v>4192432.32421875</v>
      </c>
      <c r="AX33" s="2">
        <v>845890.708984375</v>
      </c>
      <c r="AY33" s="2">
        <v>1089259.9453125</v>
      </c>
      <c r="AZ33" s="2">
        <v>1246155.890625</v>
      </c>
      <c r="BA33" s="2">
        <v>884359.76953125</v>
      </c>
      <c r="BB33" s="2">
        <v>876595.072265625</v>
      </c>
      <c r="BC33" s="2" t="s">
        <v>79</v>
      </c>
      <c r="BD33" s="2" t="s">
        <v>79</v>
      </c>
      <c r="BE33" s="2" t="s">
        <v>79</v>
      </c>
      <c r="BF33" s="2" t="s">
        <v>79</v>
      </c>
      <c r="BG33" s="2" t="s">
        <v>79</v>
      </c>
      <c r="BH33" s="2" t="s">
        <v>91</v>
      </c>
      <c r="BI33" s="2" t="s">
        <v>91</v>
      </c>
      <c r="BJ33" s="2" t="s">
        <v>91</v>
      </c>
      <c r="BK33" s="2" t="s">
        <v>91</v>
      </c>
      <c r="BL33" s="2" t="s">
        <v>91</v>
      </c>
      <c r="BM33" s="2" t="s">
        <v>91</v>
      </c>
      <c r="BN33" s="2" t="s">
        <v>91</v>
      </c>
      <c r="BO33" s="2" t="s">
        <v>91</v>
      </c>
      <c r="BP33" s="2" t="s">
        <v>79</v>
      </c>
      <c r="BQ33" s="2" t="s">
        <v>79</v>
      </c>
      <c r="BR33" s="2" t="s">
        <v>79</v>
      </c>
      <c r="BS33" s="2" t="s">
        <v>79</v>
      </c>
      <c r="BT33" s="2" t="s">
        <v>91</v>
      </c>
      <c r="BU33" s="2" t="s">
        <v>79</v>
      </c>
      <c r="BV33" s="2" t="s">
        <v>79</v>
      </c>
      <c r="BW33" s="2" t="s">
        <v>79</v>
      </c>
      <c r="BX33" s="2" t="s">
        <v>91</v>
      </c>
      <c r="BY33" s="2" t="s">
        <v>79</v>
      </c>
      <c r="BZ33" s="2" t="s">
        <v>91</v>
      </c>
      <c r="CA33" s="2" t="s">
        <v>91</v>
      </c>
      <c r="CB33">
        <f>TTEST(AS33:AW33,AI33:AM33,2,2)</f>
        <v>9.0851480248902886E-6</v>
      </c>
      <c r="CC33">
        <f>TTEST(AD33:AH33,AI33:AM33,2,2)</f>
        <v>8.4293932873766967E-8</v>
      </c>
      <c r="CD33">
        <f>TTEST(AN33:AR33,AI33:AM33,2,2)</f>
        <v>4.8876317998708323E-5</v>
      </c>
      <c r="CE33">
        <f>TTEST(AX33:BB33,AI33:AM33,2,2)</f>
        <v>1.9904351835737304E-4</v>
      </c>
      <c r="CF33">
        <v>23</v>
      </c>
      <c r="CG33">
        <v>18</v>
      </c>
      <c r="CH33">
        <v>42</v>
      </c>
      <c r="CI33">
        <v>43</v>
      </c>
      <c r="CJ33">
        <f>0.05*CF33/464</f>
        <v>2.4784482758620691E-3</v>
      </c>
      <c r="CK33">
        <f>0.05*CG33/464</f>
        <v>1.9396551724137931E-3</v>
      </c>
      <c r="CL33">
        <f>0.05*CH33/464</f>
        <v>4.5258620689655176E-3</v>
      </c>
      <c r="CM33">
        <f>0.05*CI33/464</f>
        <v>4.6336206896551721E-3</v>
      </c>
      <c r="CN33" t="str">
        <f>IF(CB33&lt;CJ33,"yes","no")</f>
        <v>yes</v>
      </c>
      <c r="CO33" t="str">
        <f>IF(CC33&lt;CK33,"yes","no")</f>
        <v>yes</v>
      </c>
      <c r="CP33" t="str">
        <f>IF(CD33&lt;CL33,"yes","no")</f>
        <v>yes</v>
      </c>
      <c r="CQ33" t="str">
        <f>IF(CE33&lt;CM33,"yes","no")</f>
        <v>yes</v>
      </c>
      <c r="CR33">
        <f>TTEST(AS33:AW33,AD33:AH33,2,2)</f>
        <v>3.3086752008720808E-7</v>
      </c>
      <c r="CS33">
        <f>TTEST(AS33:AW33,AN33:AR33,2,2)</f>
        <v>2.3188792063642385E-4</v>
      </c>
      <c r="CT33">
        <f>TTEST(AS33:AW33,AX33:BB33,2,2)</f>
        <v>4.1108156336743037E-5</v>
      </c>
      <c r="CU33">
        <v>28</v>
      </c>
      <c r="CV33">
        <v>65</v>
      </c>
      <c r="CW33">
        <v>32</v>
      </c>
      <c r="CX33">
        <f t="shared" si="0"/>
        <v>3.0172413793103452E-3</v>
      </c>
      <c r="CY33">
        <f t="shared" si="1"/>
        <v>7.0043103448275863E-3</v>
      </c>
      <c r="CZ33">
        <f t="shared" si="2"/>
        <v>3.4482758620689659E-3</v>
      </c>
      <c r="DA33" t="str">
        <f>IF(CR33&lt;CX33,"yes","no")</f>
        <v>yes</v>
      </c>
      <c r="DB33" t="str">
        <f>IF(CS33&lt;CY33,"yes","no")</f>
        <v>yes</v>
      </c>
      <c r="DC33" t="str">
        <f>IF(CT33&lt;CZ33,"yes","no")</f>
        <v>yes</v>
      </c>
    </row>
    <row r="34" spans="1:107" x14ac:dyDescent="0.2">
      <c r="A34" s="2" t="b">
        <v>0</v>
      </c>
      <c r="B34" s="2" t="s">
        <v>79</v>
      </c>
      <c r="C34" s="2" t="s">
        <v>80</v>
      </c>
      <c r="D34" s="2" t="s">
        <v>723</v>
      </c>
      <c r="E34" s="2" t="s">
        <v>724</v>
      </c>
      <c r="F34" s="2">
        <v>4</v>
      </c>
      <c r="G34" s="2">
        <v>4</v>
      </c>
      <c r="H34" s="2">
        <v>40</v>
      </c>
      <c r="I34" s="2">
        <v>5.85</v>
      </c>
      <c r="J34" s="2" t="s">
        <v>89</v>
      </c>
      <c r="K34" s="2" t="s">
        <v>95</v>
      </c>
      <c r="L34" s="2" t="s">
        <v>119</v>
      </c>
      <c r="M34" s="2" t="s">
        <v>725</v>
      </c>
      <c r="N34" s="2" t="s">
        <v>726</v>
      </c>
      <c r="O34" s="2">
        <v>9.407</v>
      </c>
      <c r="P34" s="2">
        <v>2.3340000000000001</v>
      </c>
      <c r="Q34" s="2">
        <v>1.248</v>
      </c>
      <c r="R34" s="2">
        <v>0.80200000000000005</v>
      </c>
      <c r="S34" s="2">
        <v>7.444</v>
      </c>
      <c r="T34" s="2">
        <v>1.9530000000000001</v>
      </c>
      <c r="U34" s="2">
        <v>1.077</v>
      </c>
      <c r="V34" s="2">
        <v>0.27500000000000002</v>
      </c>
      <c r="W34" s="2">
        <v>0.153</v>
      </c>
      <c r="X34" s="2">
        <v>0.59199999999999997</v>
      </c>
      <c r="Y34" s="2">
        <v>36.6</v>
      </c>
      <c r="Z34" s="2">
        <v>41</v>
      </c>
      <c r="AA34" s="2">
        <v>319.10000000000002</v>
      </c>
      <c r="AB34" s="2">
        <v>80.7</v>
      </c>
      <c r="AC34" s="2">
        <v>22.7</v>
      </c>
      <c r="AD34" s="2">
        <v>1425765</v>
      </c>
      <c r="AE34" s="2">
        <v>1116793.15625</v>
      </c>
      <c r="AF34" s="2">
        <v>1187948.828125</v>
      </c>
      <c r="AG34" s="2">
        <v>1140558.0859375</v>
      </c>
      <c r="AH34" s="2">
        <v>951885.01171875</v>
      </c>
      <c r="AI34" s="2">
        <v>29695.7490234375</v>
      </c>
      <c r="AJ34" s="2">
        <v>20638.2919921875</v>
      </c>
      <c r="AK34" s="2">
        <v>30591.009765625</v>
      </c>
      <c r="AL34" s="2">
        <v>25598.3232421875</v>
      </c>
      <c r="AM34" s="2">
        <v>26149.8505859375</v>
      </c>
      <c r="AN34" s="2">
        <v>171922.03466796901</v>
      </c>
      <c r="AO34" s="2">
        <v>179714.1328125</v>
      </c>
      <c r="AP34" s="2">
        <v>207430.609375</v>
      </c>
      <c r="AQ34" s="2">
        <v>175645.671875</v>
      </c>
      <c r="AR34" s="2">
        <v>270217.57983398403</v>
      </c>
      <c r="AS34" s="2">
        <v>405569.357421875</v>
      </c>
      <c r="AT34" s="2">
        <v>577817.626953125</v>
      </c>
      <c r="AU34" s="2">
        <v>369946.78515625</v>
      </c>
      <c r="AV34" s="2">
        <v>388257.73339843802</v>
      </c>
      <c r="AW34" s="2">
        <v>416846.740234375</v>
      </c>
      <c r="AX34" s="2">
        <v>36768.83984375</v>
      </c>
      <c r="AY34" s="2">
        <v>75939.609375</v>
      </c>
      <c r="AZ34" s="2">
        <v>35404.18359375</v>
      </c>
      <c r="BA34" s="2" t="s">
        <v>83</v>
      </c>
      <c r="BB34" s="2">
        <v>35833.41796875</v>
      </c>
      <c r="BC34" s="2" t="s">
        <v>79</v>
      </c>
      <c r="BD34" s="2" t="s">
        <v>79</v>
      </c>
      <c r="BE34" s="2" t="s">
        <v>79</v>
      </c>
      <c r="BF34" s="2" t="s">
        <v>79</v>
      </c>
      <c r="BG34" s="2" t="s">
        <v>79</v>
      </c>
      <c r="BH34" s="2" t="s">
        <v>91</v>
      </c>
      <c r="BI34" s="2" t="s">
        <v>91</v>
      </c>
      <c r="BJ34" s="2" t="s">
        <v>91</v>
      </c>
      <c r="BK34" s="2" t="s">
        <v>91</v>
      </c>
      <c r="BL34" s="2" t="s">
        <v>91</v>
      </c>
      <c r="BM34" s="2" t="s">
        <v>79</v>
      </c>
      <c r="BN34" s="2" t="s">
        <v>79</v>
      </c>
      <c r="BO34" s="2" t="s">
        <v>79</v>
      </c>
      <c r="BP34" s="2" t="s">
        <v>79</v>
      </c>
      <c r="BQ34" s="2" t="s">
        <v>79</v>
      </c>
      <c r="BR34" s="2" t="s">
        <v>79</v>
      </c>
      <c r="BS34" s="2" t="s">
        <v>79</v>
      </c>
      <c r="BT34" s="2" t="s">
        <v>79</v>
      </c>
      <c r="BU34" s="2" t="s">
        <v>79</v>
      </c>
      <c r="BV34" s="2" t="s">
        <v>79</v>
      </c>
      <c r="BW34" s="2" t="s">
        <v>91</v>
      </c>
      <c r="BX34" s="2" t="s">
        <v>91</v>
      </c>
      <c r="BY34" s="2" t="s">
        <v>91</v>
      </c>
      <c r="BZ34" s="2" t="s">
        <v>98</v>
      </c>
      <c r="CA34" s="2" t="s">
        <v>91</v>
      </c>
      <c r="CB34">
        <f>TTEST(AS34:AW34,AI34:AM34,2,2)</f>
        <v>4.6827773231112149E-6</v>
      </c>
      <c r="CC34">
        <f>TTEST(AD34:AH34,AI34:AM34,2,2)</f>
        <v>4.0921523868033574E-7</v>
      </c>
      <c r="CD34">
        <f>TTEST(AN34:AR34,AI34:AM34,2,2)</f>
        <v>1.307145076842108E-5</v>
      </c>
      <c r="CE34">
        <f>TTEST(AX34:BB34,AI34:AM34,2,2)</f>
        <v>6.7430538090596875E-2</v>
      </c>
      <c r="CF34">
        <v>19</v>
      </c>
      <c r="CG34">
        <v>39</v>
      </c>
      <c r="CH34">
        <v>25</v>
      </c>
      <c r="CI34">
        <v>111</v>
      </c>
      <c r="CJ34">
        <f>0.05*CF34/464</f>
        <v>2.0474137931034485E-3</v>
      </c>
      <c r="CK34">
        <f>0.05*CG34/464</f>
        <v>4.2025862068965523E-3</v>
      </c>
      <c r="CL34">
        <f>0.05*CH34/464</f>
        <v>2.6939655172413795E-3</v>
      </c>
      <c r="CM34">
        <f>0.05*CI34/464</f>
        <v>1.1961206896551725E-2</v>
      </c>
      <c r="CN34" t="str">
        <f>IF(CB34&lt;CJ34,"yes","no")</f>
        <v>yes</v>
      </c>
      <c r="CO34" t="str">
        <f>IF(CC34&lt;CK34,"yes","no")</f>
        <v>yes</v>
      </c>
      <c r="CP34" t="str">
        <f>IF(CD34&lt;CL34,"yes","no")</f>
        <v>yes</v>
      </c>
      <c r="CQ34" t="str">
        <f>IF(CE34&lt;CM34,"yes","no")</f>
        <v>no</v>
      </c>
      <c r="CR34">
        <f>TTEST(AS34:AW34,AD34:AH34,2,2)</f>
        <v>2.5571708843175403E-5</v>
      </c>
      <c r="CS34">
        <f>TTEST(AS34:AW34,AN34:AR34,2,2)</f>
        <v>5.4971147480494182E-4</v>
      </c>
      <c r="CT34">
        <f>TTEST(AS34:AW34,AX34:BB34,2,2)</f>
        <v>4.5547418699301565E-5</v>
      </c>
      <c r="CU34">
        <v>109</v>
      </c>
      <c r="CV34">
        <v>82</v>
      </c>
      <c r="CW34">
        <v>33</v>
      </c>
      <c r="CX34">
        <f t="shared" si="0"/>
        <v>1.1745689655172415E-2</v>
      </c>
      <c r="CY34">
        <f t="shared" si="1"/>
        <v>8.8362068965517244E-3</v>
      </c>
      <c r="CZ34">
        <f t="shared" si="2"/>
        <v>3.5560344827586209E-3</v>
      </c>
      <c r="DA34" t="str">
        <f>IF(CR34&lt;CX34,"yes","no")</f>
        <v>yes</v>
      </c>
      <c r="DB34" t="str">
        <f>IF(CS34&lt;CY34,"yes","no")</f>
        <v>yes</v>
      </c>
      <c r="DC34" t="str">
        <f>IF(CT34&lt;CZ34,"yes","no")</f>
        <v>yes</v>
      </c>
    </row>
    <row r="35" spans="1:107" x14ac:dyDescent="0.2">
      <c r="A35" s="2" t="b">
        <v>0</v>
      </c>
      <c r="B35" s="2" t="s">
        <v>79</v>
      </c>
      <c r="C35" s="2" t="s">
        <v>80</v>
      </c>
      <c r="D35" s="2" t="s">
        <v>506</v>
      </c>
      <c r="E35" s="2" t="s">
        <v>507</v>
      </c>
      <c r="F35" s="2">
        <v>7</v>
      </c>
      <c r="G35" s="2">
        <v>7</v>
      </c>
      <c r="H35" s="2">
        <v>57.8</v>
      </c>
      <c r="I35" s="2">
        <v>6.96</v>
      </c>
      <c r="J35" s="2" t="s">
        <v>508</v>
      </c>
      <c r="K35" s="2" t="s">
        <v>509</v>
      </c>
      <c r="L35" s="2" t="s">
        <v>510</v>
      </c>
      <c r="M35" s="2" t="s">
        <v>511</v>
      </c>
      <c r="N35" s="2" t="s">
        <v>506</v>
      </c>
      <c r="O35" s="2">
        <v>1.2370000000000001</v>
      </c>
      <c r="P35" s="2">
        <v>1.829</v>
      </c>
      <c r="Q35" s="2">
        <v>1.167</v>
      </c>
      <c r="R35" s="2">
        <v>1.0740000000000001</v>
      </c>
      <c r="S35" s="2">
        <v>0.92200000000000004</v>
      </c>
      <c r="T35" s="2">
        <v>1.089</v>
      </c>
      <c r="U35" s="2">
        <v>0.63700000000000001</v>
      </c>
      <c r="V35" s="2">
        <v>1.2509999999999999</v>
      </c>
      <c r="W35" s="2">
        <v>0.94</v>
      </c>
      <c r="X35" s="2">
        <v>0.71499999999999997</v>
      </c>
      <c r="Y35" s="2">
        <v>195.1</v>
      </c>
      <c r="Z35" s="2">
        <v>90.2</v>
      </c>
      <c r="AA35" s="2">
        <v>63.3</v>
      </c>
      <c r="AB35" s="2">
        <v>95.9</v>
      </c>
      <c r="AC35" s="2">
        <v>55.6</v>
      </c>
      <c r="AD35" s="2">
        <v>222618035.44531301</v>
      </c>
      <c r="AE35" s="2">
        <v>196029912.67578101</v>
      </c>
      <c r="AF35" s="2">
        <v>170338503.203125</v>
      </c>
      <c r="AG35" s="2">
        <v>95047972.7421875</v>
      </c>
      <c r="AH35" s="2">
        <v>94624262.9609375</v>
      </c>
      <c r="AI35" s="2">
        <v>1955999.1831054699</v>
      </c>
      <c r="AJ35" s="2">
        <v>1999460.4433593799</v>
      </c>
      <c r="AK35" s="2">
        <v>1997991.92431641</v>
      </c>
      <c r="AL35" s="2">
        <v>2121449.54443359</v>
      </c>
      <c r="AM35" s="2">
        <v>1477200.2988281299</v>
      </c>
      <c r="AN35" s="2">
        <v>1001752.9208984399</v>
      </c>
      <c r="AO35" s="2">
        <v>1072135.4296875</v>
      </c>
      <c r="AP35" s="2">
        <v>935518.29003906297</v>
      </c>
      <c r="AQ35" s="2">
        <v>1239054.5292968799</v>
      </c>
      <c r="AR35" s="2">
        <v>1791224.921875</v>
      </c>
      <c r="AS35" s="2">
        <v>14058136.2265625</v>
      </c>
      <c r="AT35" s="2">
        <v>20793895.316406298</v>
      </c>
      <c r="AU35" s="2">
        <v>12316614.5703125</v>
      </c>
      <c r="AV35" s="2">
        <v>13792720.0039063</v>
      </c>
      <c r="AW35" s="2">
        <v>13614480.784179701</v>
      </c>
      <c r="AX35" s="2">
        <v>2690552.0234375</v>
      </c>
      <c r="AY35" s="2">
        <v>2874394.6640625</v>
      </c>
      <c r="AZ35" s="2">
        <v>2487612.4140625</v>
      </c>
      <c r="BA35" s="2">
        <v>3706924.0078125</v>
      </c>
      <c r="BB35" s="2">
        <v>2782239.46484375</v>
      </c>
      <c r="BC35" s="2" t="s">
        <v>79</v>
      </c>
      <c r="BD35" s="2" t="s">
        <v>79</v>
      </c>
      <c r="BE35" s="2" t="s">
        <v>79</v>
      </c>
      <c r="BF35" s="2" t="s">
        <v>79</v>
      </c>
      <c r="BG35" s="2" t="s">
        <v>79</v>
      </c>
      <c r="BH35" s="2" t="s">
        <v>91</v>
      </c>
      <c r="BI35" s="2" t="s">
        <v>91</v>
      </c>
      <c r="BJ35" s="2" t="s">
        <v>91</v>
      </c>
      <c r="BK35" s="2" t="s">
        <v>91</v>
      </c>
      <c r="BL35" s="2" t="s">
        <v>91</v>
      </c>
      <c r="BM35" s="2" t="s">
        <v>91</v>
      </c>
      <c r="BN35" s="2" t="s">
        <v>91</v>
      </c>
      <c r="BO35" s="2" t="s">
        <v>91</v>
      </c>
      <c r="BP35" s="2" t="s">
        <v>91</v>
      </c>
      <c r="BQ35" s="2" t="s">
        <v>91</v>
      </c>
      <c r="BR35" s="2" t="s">
        <v>79</v>
      </c>
      <c r="BS35" s="2" t="s">
        <v>79</v>
      </c>
      <c r="BT35" s="2" t="s">
        <v>79</v>
      </c>
      <c r="BU35" s="2" t="s">
        <v>79</v>
      </c>
      <c r="BV35" s="2" t="s">
        <v>79</v>
      </c>
      <c r="BW35" s="2" t="s">
        <v>91</v>
      </c>
      <c r="BX35" s="2" t="s">
        <v>91</v>
      </c>
      <c r="BY35" s="2" t="s">
        <v>91</v>
      </c>
      <c r="BZ35" s="2" t="s">
        <v>91</v>
      </c>
      <c r="CA35" s="2" t="s">
        <v>91</v>
      </c>
      <c r="CB35">
        <f>TTEST(AS35:AW35,AI35:AM35,2,2)</f>
        <v>2.4864890617302368E-5</v>
      </c>
      <c r="CC35">
        <f>TTEST(AD35:AH35,AI35:AM35,2,2)</f>
        <v>3.7369156757955285E-4</v>
      </c>
      <c r="CD35">
        <f>TTEST(AN35:AR35,AI35:AM35,2,2)</f>
        <v>6.1615824831716551E-3</v>
      </c>
      <c r="CE35">
        <f>TTEST(AX35:BB35,AI35:AM35,2,2)</f>
        <v>2.9967867017312668E-3</v>
      </c>
      <c r="CF35">
        <v>40</v>
      </c>
      <c r="CG35">
        <v>123</v>
      </c>
      <c r="CH35">
        <v>90</v>
      </c>
      <c r="CI35">
        <v>67</v>
      </c>
      <c r="CJ35">
        <f>0.05*CF35/464</f>
        <v>4.3103448275862068E-3</v>
      </c>
      <c r="CK35">
        <f>0.05*CG35/464</f>
        <v>1.3254310344827587E-2</v>
      </c>
      <c r="CL35">
        <f>0.05*CH35/464</f>
        <v>9.6982758620689658E-3</v>
      </c>
      <c r="CM35">
        <f>0.05*CI35/464</f>
        <v>7.2198275862068971E-3</v>
      </c>
      <c r="CN35" t="str">
        <f>IF(CB35&lt;CJ35,"yes","no")</f>
        <v>yes</v>
      </c>
      <c r="CO35" t="str">
        <f>IF(CC35&lt;CK35,"yes","no")</f>
        <v>yes</v>
      </c>
      <c r="CP35" t="str">
        <f>IF(CD35&lt;CL35,"yes","no")</f>
        <v>yes</v>
      </c>
      <c r="CQ35" t="str">
        <f>IF(CE35&lt;CM35,"yes","no")</f>
        <v>yes</v>
      </c>
      <c r="CR35">
        <f>TTEST(AS35:AW35,AD35:AH35,2,2)</f>
        <v>6.7273573554851016E-4</v>
      </c>
      <c r="CS35">
        <f>TTEST(AS35:AW35,AN35:AR35,2,2)</f>
        <v>1.7217969834760756E-5</v>
      </c>
      <c r="CT35">
        <f>TTEST(AS35:AW35,AX35:BB35,2,2)</f>
        <v>4.6616979616904111E-5</v>
      </c>
      <c r="CU35">
        <v>156</v>
      </c>
      <c r="CV35">
        <v>17</v>
      </c>
      <c r="CW35">
        <v>34</v>
      </c>
      <c r="CX35">
        <f t="shared" si="0"/>
        <v>1.6810344827586209E-2</v>
      </c>
      <c r="CY35">
        <f t="shared" si="1"/>
        <v>1.8318965517241381E-3</v>
      </c>
      <c r="CZ35">
        <f t="shared" si="2"/>
        <v>3.6637931034482762E-3</v>
      </c>
      <c r="DA35" t="str">
        <f>IF(CR35&lt;CX35,"yes","no")</f>
        <v>yes</v>
      </c>
      <c r="DB35" t="str">
        <f>IF(CS35&lt;CY35,"yes","no")</f>
        <v>yes</v>
      </c>
      <c r="DC35" t="str">
        <f>IF(CT35&lt;CZ35,"yes","no")</f>
        <v>yes</v>
      </c>
    </row>
    <row r="36" spans="1:107" x14ac:dyDescent="0.2">
      <c r="A36" s="2" t="b">
        <v>0</v>
      </c>
      <c r="B36" s="2" t="s">
        <v>79</v>
      </c>
      <c r="C36" s="2" t="s">
        <v>80</v>
      </c>
      <c r="D36" s="2" t="s">
        <v>474</v>
      </c>
      <c r="E36" s="2" t="s">
        <v>475</v>
      </c>
      <c r="F36" s="2">
        <v>8</v>
      </c>
      <c r="G36" s="2">
        <v>8</v>
      </c>
      <c r="H36" s="2">
        <v>87</v>
      </c>
      <c r="I36" s="2">
        <v>5.8</v>
      </c>
      <c r="J36" s="2" t="s">
        <v>476</v>
      </c>
      <c r="K36" s="2" t="s">
        <v>477</v>
      </c>
      <c r="L36" s="2" t="s">
        <v>218</v>
      </c>
      <c r="M36" s="2" t="s">
        <v>478</v>
      </c>
      <c r="N36" s="2" t="s">
        <v>474</v>
      </c>
      <c r="O36" s="2">
        <v>27.856000000000002</v>
      </c>
      <c r="P36" s="2">
        <v>1.7230000000000001</v>
      </c>
      <c r="Q36" s="2">
        <v>1.0980000000000001</v>
      </c>
      <c r="R36" s="2">
        <v>0.46700000000000003</v>
      </c>
      <c r="S36" s="2">
        <v>15.461</v>
      </c>
      <c r="T36" s="2">
        <v>0.91700000000000004</v>
      </c>
      <c r="U36" s="2">
        <v>0.55600000000000005</v>
      </c>
      <c r="V36" s="2">
        <v>6.5000000000000002E-2</v>
      </c>
      <c r="W36" s="2">
        <v>4.2999999999999997E-2</v>
      </c>
      <c r="X36" s="2">
        <v>0.77100000000000002</v>
      </c>
      <c r="Y36" s="2">
        <v>14.6</v>
      </c>
      <c r="Z36" s="2">
        <v>21.7</v>
      </c>
      <c r="AA36" s="2">
        <v>424.7</v>
      </c>
      <c r="AB36" s="2">
        <v>28.9</v>
      </c>
      <c r="AC36" s="2">
        <v>10.199999999999999</v>
      </c>
      <c r="AD36" s="2">
        <v>3235822.828125</v>
      </c>
      <c r="AE36" s="2">
        <v>2026066.21875</v>
      </c>
      <c r="AF36" s="2">
        <v>2492930.5625</v>
      </c>
      <c r="AG36" s="2">
        <v>1546118.4375</v>
      </c>
      <c r="AH36" s="2">
        <v>1942750.90625</v>
      </c>
      <c r="AI36" s="2">
        <v>71458.018066406294</v>
      </c>
      <c r="AJ36" s="2">
        <v>252552.46240234401</v>
      </c>
      <c r="AK36" s="2">
        <v>46073.2568359375</v>
      </c>
      <c r="AL36" s="2">
        <v>283614.873046875</v>
      </c>
      <c r="AM36" s="2">
        <v>29656.863769531301</v>
      </c>
      <c r="AN36" s="2">
        <v>968792</v>
      </c>
      <c r="AO36" s="2">
        <v>975897.43798828102</v>
      </c>
      <c r="AP36" s="2">
        <v>1571626.30859375</v>
      </c>
      <c r="AQ36" s="2">
        <v>1402224.65234375</v>
      </c>
      <c r="AR36" s="2">
        <v>2162888.9619140602</v>
      </c>
      <c r="AS36" s="2">
        <v>609756.462890625</v>
      </c>
      <c r="AT36" s="2">
        <v>697015.83984375</v>
      </c>
      <c r="AU36" s="2">
        <v>670001.6875</v>
      </c>
      <c r="AV36" s="2">
        <v>430910.720703125</v>
      </c>
      <c r="AW36" s="2">
        <v>867813.017578125</v>
      </c>
      <c r="AX36" s="2">
        <v>78303.158203125</v>
      </c>
      <c r="AY36" s="2">
        <v>126220.77734375</v>
      </c>
      <c r="AZ36" s="2">
        <v>86406.166015625</v>
      </c>
      <c r="BA36" s="2">
        <v>76450.57421875</v>
      </c>
      <c r="BB36" s="2">
        <v>89306.17578125</v>
      </c>
      <c r="BC36" s="2" t="s">
        <v>79</v>
      </c>
      <c r="BD36" s="2" t="s">
        <v>79</v>
      </c>
      <c r="BE36" s="2" t="s">
        <v>79</v>
      </c>
      <c r="BF36" s="2" t="s">
        <v>79</v>
      </c>
      <c r="BG36" s="2" t="s">
        <v>79</v>
      </c>
      <c r="BH36" s="2" t="s">
        <v>91</v>
      </c>
      <c r="BI36" s="2" t="s">
        <v>91</v>
      </c>
      <c r="BJ36" s="2" t="s">
        <v>91</v>
      </c>
      <c r="BK36" s="2" t="s">
        <v>91</v>
      </c>
      <c r="BL36" s="2" t="s">
        <v>91</v>
      </c>
      <c r="BM36" s="2" t="s">
        <v>79</v>
      </c>
      <c r="BN36" s="2" t="s">
        <v>79</v>
      </c>
      <c r="BO36" s="2" t="s">
        <v>79</v>
      </c>
      <c r="BP36" s="2" t="s">
        <v>79</v>
      </c>
      <c r="BQ36" s="2" t="s">
        <v>79</v>
      </c>
      <c r="BR36" s="2" t="s">
        <v>79</v>
      </c>
      <c r="BS36" s="2" t="s">
        <v>79</v>
      </c>
      <c r="BT36" s="2" t="s">
        <v>79</v>
      </c>
      <c r="BU36" s="2" t="s">
        <v>79</v>
      </c>
      <c r="BV36" s="2" t="s">
        <v>79</v>
      </c>
      <c r="BW36" s="2" t="s">
        <v>91</v>
      </c>
      <c r="BX36" s="2" t="s">
        <v>91</v>
      </c>
      <c r="BY36" s="2" t="s">
        <v>91</v>
      </c>
      <c r="BZ36" s="2" t="s">
        <v>91</v>
      </c>
      <c r="CA36" s="2" t="s">
        <v>91</v>
      </c>
      <c r="CB36">
        <f>TTEST(AS36:AW36,AI36:AM36,2,2)</f>
        <v>3.9424256616052682E-4</v>
      </c>
      <c r="CC36">
        <f>TTEST(AD36:AH36,AI36:AM36,2,2)</f>
        <v>9.4121280994687725E-5</v>
      </c>
      <c r="CD36">
        <f>TTEST(AN36:AR36,AI36:AM36,2,2)</f>
        <v>4.9539129542575317E-4</v>
      </c>
      <c r="CE36">
        <f>TTEST(AX36:BB36,AI36:AM36,2,2)</f>
        <v>0.43394013010784627</v>
      </c>
      <c r="CF36">
        <v>88</v>
      </c>
      <c r="CG36">
        <v>113</v>
      </c>
      <c r="CH36">
        <v>66</v>
      </c>
      <c r="CI36">
        <v>152</v>
      </c>
      <c r="CJ36">
        <f>0.05*CF36/464</f>
        <v>9.4827586206896568E-3</v>
      </c>
      <c r="CK36">
        <f>0.05*CG36/464</f>
        <v>1.2176724137931035E-2</v>
      </c>
      <c r="CL36">
        <f>0.05*CH36/464</f>
        <v>7.1120689655172417E-3</v>
      </c>
      <c r="CM36">
        <f>0.05*CI36/464</f>
        <v>1.6379310344827588E-2</v>
      </c>
      <c r="CN36" t="str">
        <f>IF(CB36&lt;CJ36,"yes","no")</f>
        <v>yes</v>
      </c>
      <c r="CO36" t="str">
        <f>IF(CC36&lt;CK36,"yes","no")</f>
        <v>yes</v>
      </c>
      <c r="CP36" t="str">
        <f>IF(CD36&lt;CL36,"yes","no")</f>
        <v>yes</v>
      </c>
      <c r="CQ36" t="str">
        <f>IF(CE36&lt;CM36,"yes","no")</f>
        <v>no</v>
      </c>
      <c r="CR36">
        <f>TTEST(AS36:AW36,AD36:AH36,2,2)</f>
        <v>6.8063686280611831E-4</v>
      </c>
      <c r="CS36">
        <f>TTEST(AS36:AW36,AN36:AR36,2,2)</f>
        <v>1.1146113265900802E-2</v>
      </c>
      <c r="CT36">
        <f>TTEST(AS36:AW36,AX36:BB36,2,2)</f>
        <v>4.66782887697642E-5</v>
      </c>
      <c r="CU36">
        <v>157</v>
      </c>
      <c r="CV36">
        <v>133</v>
      </c>
      <c r="CW36">
        <v>35</v>
      </c>
      <c r="CX36">
        <f t="shared" si="0"/>
        <v>1.6918103448275865E-2</v>
      </c>
      <c r="CY36">
        <f t="shared" si="1"/>
        <v>1.4331896551724139E-2</v>
      </c>
      <c r="CZ36">
        <f t="shared" si="2"/>
        <v>3.7715517241379312E-3</v>
      </c>
      <c r="DA36" t="str">
        <f>IF(CR36&lt;CX36,"yes","no")</f>
        <v>yes</v>
      </c>
      <c r="DB36" t="str">
        <f>IF(CS36&lt;CY36,"yes","no")</f>
        <v>yes</v>
      </c>
      <c r="DC36" t="str">
        <f>IF(CT36&lt;CZ36,"yes","no")</f>
        <v>yes</v>
      </c>
    </row>
    <row r="37" spans="1:107" x14ac:dyDescent="0.2">
      <c r="A37" s="2" t="b">
        <v>0</v>
      </c>
      <c r="B37" s="2" t="s">
        <v>79</v>
      </c>
      <c r="C37" s="2" t="s">
        <v>80</v>
      </c>
      <c r="D37" s="2" t="s">
        <v>275</v>
      </c>
      <c r="E37" s="2" t="s">
        <v>276</v>
      </c>
      <c r="F37" s="2">
        <v>11</v>
      </c>
      <c r="G37" s="2">
        <v>11</v>
      </c>
      <c r="H37" s="2">
        <v>43.9</v>
      </c>
      <c r="I37" s="2">
        <v>6.39</v>
      </c>
      <c r="J37" s="2" t="s">
        <v>277</v>
      </c>
      <c r="K37" s="2" t="s">
        <v>84</v>
      </c>
      <c r="L37" s="2" t="s">
        <v>119</v>
      </c>
      <c r="M37" s="2" t="s">
        <v>278</v>
      </c>
      <c r="N37" s="2" t="s">
        <v>275</v>
      </c>
      <c r="O37" s="2">
        <v>1.8080000000000001</v>
      </c>
      <c r="P37" s="2">
        <v>1.377</v>
      </c>
      <c r="Q37" s="2">
        <v>1.661</v>
      </c>
      <c r="R37" s="2">
        <v>2.6459999999999999</v>
      </c>
      <c r="S37" s="2">
        <v>4.8360000000000003</v>
      </c>
      <c r="T37" s="2">
        <v>3.681</v>
      </c>
      <c r="U37" s="2">
        <v>3.3380000000000001</v>
      </c>
      <c r="V37" s="2">
        <v>0.81399999999999995</v>
      </c>
      <c r="W37" s="2">
        <v>0.79</v>
      </c>
      <c r="X37" s="2">
        <v>0.95399999999999996</v>
      </c>
      <c r="Y37" s="2">
        <v>93</v>
      </c>
      <c r="Z37" s="2">
        <v>27.6</v>
      </c>
      <c r="AA37" s="2">
        <v>139.5</v>
      </c>
      <c r="AB37" s="2">
        <v>122.8</v>
      </c>
      <c r="AC37" s="2">
        <v>117.1</v>
      </c>
      <c r="AD37" s="2">
        <v>23381308.746093798</v>
      </c>
      <c r="AE37" s="2">
        <v>19475789.421875</v>
      </c>
      <c r="AF37" s="2">
        <v>18510932.0625</v>
      </c>
      <c r="AG37" s="2">
        <v>16578602.140625</v>
      </c>
      <c r="AH37" s="2">
        <v>15505514.3203125</v>
      </c>
      <c r="AI37" s="2">
        <v>197763.67236328099</v>
      </c>
      <c r="AJ37" s="2">
        <v>119496.82421875</v>
      </c>
      <c r="AK37" s="2">
        <v>198399.55957031299</v>
      </c>
      <c r="AL37" s="2">
        <v>175053.15185546901</v>
      </c>
      <c r="AM37" s="2">
        <v>100561.234375</v>
      </c>
      <c r="AN37" s="2">
        <v>486163.17285156302</v>
      </c>
      <c r="AO37" s="2">
        <v>546700.06396484398</v>
      </c>
      <c r="AP37" s="2">
        <v>602039.74707031297</v>
      </c>
      <c r="AQ37" s="2">
        <v>559925.10449218797</v>
      </c>
      <c r="AR37" s="2">
        <v>926231.59765625</v>
      </c>
      <c r="AS37" s="2">
        <v>4209859.2109375</v>
      </c>
      <c r="AT37" s="2">
        <v>5649469.125</v>
      </c>
      <c r="AU37" s="2">
        <v>3436624.7255859398</v>
      </c>
      <c r="AV37" s="2">
        <v>3893165.78515625</v>
      </c>
      <c r="AW37" s="2">
        <v>4561146.7265625</v>
      </c>
      <c r="AX37" s="2">
        <v>1248778.4863281299</v>
      </c>
      <c r="AY37" s="2">
        <v>1478323.6318359401</v>
      </c>
      <c r="AZ37" s="2">
        <v>1538705.19140625</v>
      </c>
      <c r="BA37" s="2">
        <v>1299476.47265625</v>
      </c>
      <c r="BB37" s="2">
        <v>1044951.08349609</v>
      </c>
      <c r="BC37" s="2" t="s">
        <v>79</v>
      </c>
      <c r="BD37" s="2" t="s">
        <v>79</v>
      </c>
      <c r="BE37" s="2" t="s">
        <v>79</v>
      </c>
      <c r="BF37" s="2" t="s">
        <v>79</v>
      </c>
      <c r="BG37" s="2" t="s">
        <v>79</v>
      </c>
      <c r="BH37" s="2" t="s">
        <v>79</v>
      </c>
      <c r="BI37" s="2" t="s">
        <v>91</v>
      </c>
      <c r="BJ37" s="2" t="s">
        <v>91</v>
      </c>
      <c r="BK37" s="2" t="s">
        <v>79</v>
      </c>
      <c r="BL37" s="2" t="s">
        <v>91</v>
      </c>
      <c r="BM37" s="2" t="s">
        <v>79</v>
      </c>
      <c r="BN37" s="2" t="s">
        <v>79</v>
      </c>
      <c r="BO37" s="2" t="s">
        <v>79</v>
      </c>
      <c r="BP37" s="2" t="s">
        <v>79</v>
      </c>
      <c r="BQ37" s="2" t="s">
        <v>79</v>
      </c>
      <c r="BR37" s="2" t="s">
        <v>79</v>
      </c>
      <c r="BS37" s="2" t="s">
        <v>79</v>
      </c>
      <c r="BT37" s="2" t="s">
        <v>79</v>
      </c>
      <c r="BU37" s="2" t="s">
        <v>79</v>
      </c>
      <c r="BV37" s="2" t="s">
        <v>79</v>
      </c>
      <c r="BW37" s="2" t="s">
        <v>79</v>
      </c>
      <c r="BX37" s="2" t="s">
        <v>79</v>
      </c>
      <c r="BY37" s="2" t="s">
        <v>79</v>
      </c>
      <c r="BZ37" s="2" t="s">
        <v>79</v>
      </c>
      <c r="CA37" s="2" t="s">
        <v>79</v>
      </c>
      <c r="CB37">
        <f>TTEST(AS37:AW37,AI37:AM37,2,2)</f>
        <v>3.632962277102001E-6</v>
      </c>
      <c r="CC37">
        <f>TTEST(AD37:AH37,AI37:AM37,2,2)</f>
        <v>8.3262315642311997E-7</v>
      </c>
      <c r="CD37">
        <f>TTEST(AN37:AR37,AI37:AM37,2,2)</f>
        <v>4.0629785715947265E-4</v>
      </c>
      <c r="CE37">
        <f>TTEST(AX37:BB37,AI37:AM37,2,2)</f>
        <v>1.2196287446315594E-6</v>
      </c>
      <c r="CF37">
        <v>15</v>
      </c>
      <c r="CG37">
        <v>53</v>
      </c>
      <c r="CH37">
        <v>64</v>
      </c>
      <c r="CI37">
        <v>17</v>
      </c>
      <c r="CJ37">
        <f>0.05*CF37/464</f>
        <v>1.6163793103448276E-3</v>
      </c>
      <c r="CK37">
        <f>0.05*CG37/464</f>
        <v>5.7112068965517251E-3</v>
      </c>
      <c r="CL37">
        <f>0.05*CH37/464</f>
        <v>6.8965517241379318E-3</v>
      </c>
      <c r="CM37">
        <f>0.05*CI37/464</f>
        <v>1.8318965517241381E-3</v>
      </c>
      <c r="CN37" t="str">
        <f>IF(CB37&lt;CJ37,"yes","no")</f>
        <v>yes</v>
      </c>
      <c r="CO37" t="str">
        <f>IF(CC37&lt;CK37,"yes","no")</f>
        <v>yes</v>
      </c>
      <c r="CP37" t="str">
        <f>IF(CD37&lt;CL37,"yes","no")</f>
        <v>yes</v>
      </c>
      <c r="CQ37" t="str">
        <f>IF(CE37&lt;CM37,"yes","no")</f>
        <v>yes</v>
      </c>
      <c r="CR37">
        <f>TTEST(AS37:AW37,AD37:AH37,2,2)</f>
        <v>7.6872994492512546E-6</v>
      </c>
      <c r="CS37">
        <f>TTEST(AS37:AW37,AN37:AR37,2,2)</f>
        <v>1.0200394079777927E-5</v>
      </c>
      <c r="CT37">
        <f>TTEST(AS37:AW37,AX37:BB37,2,2)</f>
        <v>4.8480089233732393E-5</v>
      </c>
      <c r="CU37">
        <v>89</v>
      </c>
      <c r="CV37">
        <v>10</v>
      </c>
      <c r="CW37">
        <v>36</v>
      </c>
      <c r="CX37">
        <f t="shared" si="0"/>
        <v>9.5905172413793104E-3</v>
      </c>
      <c r="CY37">
        <f t="shared" si="1"/>
        <v>1.0775862068965517E-3</v>
      </c>
      <c r="CZ37">
        <f t="shared" si="2"/>
        <v>3.8793103448275862E-3</v>
      </c>
      <c r="DA37" t="str">
        <f>IF(CR37&lt;CX37,"yes","no")</f>
        <v>yes</v>
      </c>
      <c r="DB37" t="str">
        <f>IF(CS37&lt;CY37,"yes","no")</f>
        <v>yes</v>
      </c>
      <c r="DC37" t="str">
        <f>IF(CT37&lt;CZ37,"yes","no")</f>
        <v>yes</v>
      </c>
    </row>
    <row r="38" spans="1:107" x14ac:dyDescent="0.2">
      <c r="A38" s="2" t="b">
        <v>0</v>
      </c>
      <c r="B38" s="2" t="s">
        <v>79</v>
      </c>
      <c r="C38" s="2" t="s">
        <v>80</v>
      </c>
      <c r="D38" s="2" t="s">
        <v>159</v>
      </c>
      <c r="E38" s="2" t="s">
        <v>160</v>
      </c>
      <c r="F38" s="2">
        <v>17</v>
      </c>
      <c r="G38" s="2">
        <v>17</v>
      </c>
      <c r="H38" s="2">
        <v>64.900000000000006</v>
      </c>
      <c r="I38" s="2">
        <v>6.6</v>
      </c>
      <c r="J38" s="2" t="s">
        <v>83</v>
      </c>
      <c r="K38" s="2" t="s">
        <v>83</v>
      </c>
      <c r="L38" s="2" t="s">
        <v>83</v>
      </c>
      <c r="M38" s="2" t="s">
        <v>83</v>
      </c>
      <c r="N38" s="2" t="s">
        <v>159</v>
      </c>
      <c r="O38" s="2">
        <v>2.859</v>
      </c>
      <c r="P38" s="2">
        <v>0.80700000000000005</v>
      </c>
      <c r="Q38" s="2">
        <v>0.41399999999999998</v>
      </c>
      <c r="R38" s="2">
        <v>1.208</v>
      </c>
      <c r="S38" s="2">
        <v>3.8370000000000002</v>
      </c>
      <c r="T38" s="2">
        <v>1.0649999999999999</v>
      </c>
      <c r="U38" s="2">
        <v>0.63500000000000001</v>
      </c>
      <c r="V38" s="2">
        <v>0.33700000000000002</v>
      </c>
      <c r="W38" s="2">
        <v>0.23200000000000001</v>
      </c>
      <c r="X38" s="2">
        <v>0.52700000000000002</v>
      </c>
      <c r="Y38" s="2">
        <v>84.5</v>
      </c>
      <c r="Z38" s="2">
        <v>64.7</v>
      </c>
      <c r="AA38" s="2">
        <v>216.9</v>
      </c>
      <c r="AB38" s="2">
        <v>86.6</v>
      </c>
      <c r="AC38" s="2">
        <v>47.4</v>
      </c>
      <c r="AD38" s="2">
        <v>399964145.43261701</v>
      </c>
      <c r="AE38" s="2">
        <v>330045288.66210902</v>
      </c>
      <c r="AF38" s="2">
        <v>285111569.336914</v>
      </c>
      <c r="AG38" s="2">
        <v>373186109.76953101</v>
      </c>
      <c r="AH38" s="2">
        <v>304968281.046875</v>
      </c>
      <c r="AI38" s="2">
        <v>5473605.3676757803</v>
      </c>
      <c r="AJ38" s="2">
        <v>4791656.13671875</v>
      </c>
      <c r="AK38" s="2">
        <v>5401169.6015625</v>
      </c>
      <c r="AL38" s="2">
        <v>5030439.4831542997</v>
      </c>
      <c r="AM38" s="2">
        <v>4932437.1638183603</v>
      </c>
      <c r="AN38" s="2">
        <v>14504019.6687012</v>
      </c>
      <c r="AO38" s="2">
        <v>13804055.7148438</v>
      </c>
      <c r="AP38" s="2">
        <v>17874785.3828125</v>
      </c>
      <c r="AQ38" s="2">
        <v>14868878.1088867</v>
      </c>
      <c r="AR38" s="2">
        <v>21443771.543945301</v>
      </c>
      <c r="AS38" s="2">
        <v>47379791.153320298</v>
      </c>
      <c r="AT38" s="2">
        <v>72346404.025390595</v>
      </c>
      <c r="AU38" s="2">
        <v>42108592.3991699</v>
      </c>
      <c r="AV38" s="2">
        <v>45156909.357421897</v>
      </c>
      <c r="AW38" s="2">
        <v>57407773.949462898</v>
      </c>
      <c r="AX38" s="2">
        <v>9281398.5246581994</v>
      </c>
      <c r="AY38" s="2">
        <v>10700731.072998</v>
      </c>
      <c r="AZ38" s="2">
        <v>10970209.1523438</v>
      </c>
      <c r="BA38" s="2">
        <v>9094426.6987304706</v>
      </c>
      <c r="BB38" s="2">
        <v>8724232.2558593806</v>
      </c>
      <c r="BC38" s="2" t="s">
        <v>79</v>
      </c>
      <c r="BD38" s="2" t="s">
        <v>79</v>
      </c>
      <c r="BE38" s="2" t="s">
        <v>79</v>
      </c>
      <c r="BF38" s="2" t="s">
        <v>79</v>
      </c>
      <c r="BG38" s="2" t="s">
        <v>79</v>
      </c>
      <c r="BH38" s="2" t="s">
        <v>79</v>
      </c>
      <c r="BI38" s="2" t="s">
        <v>79</v>
      </c>
      <c r="BJ38" s="2" t="s">
        <v>79</v>
      </c>
      <c r="BK38" s="2" t="s">
        <v>79</v>
      </c>
      <c r="BL38" s="2" t="s">
        <v>79</v>
      </c>
      <c r="BM38" s="2" t="s">
        <v>79</v>
      </c>
      <c r="BN38" s="2" t="s">
        <v>79</v>
      </c>
      <c r="BO38" s="2" t="s">
        <v>79</v>
      </c>
      <c r="BP38" s="2" t="s">
        <v>79</v>
      </c>
      <c r="BQ38" s="2" t="s">
        <v>79</v>
      </c>
      <c r="BR38" s="2" t="s">
        <v>79</v>
      </c>
      <c r="BS38" s="2" t="s">
        <v>79</v>
      </c>
      <c r="BT38" s="2" t="s">
        <v>79</v>
      </c>
      <c r="BU38" s="2" t="s">
        <v>79</v>
      </c>
      <c r="BV38" s="2" t="s">
        <v>79</v>
      </c>
      <c r="BW38" s="2" t="s">
        <v>79</v>
      </c>
      <c r="BX38" s="2" t="s">
        <v>79</v>
      </c>
      <c r="BY38" s="2" t="s">
        <v>79</v>
      </c>
      <c r="BZ38" s="2" t="s">
        <v>79</v>
      </c>
      <c r="CA38" s="2" t="s">
        <v>79</v>
      </c>
      <c r="CB38">
        <f>TTEST(AS38:AW38,AI38:AM38,2,2)</f>
        <v>2.4215883708032974E-5</v>
      </c>
      <c r="CC38">
        <f>TTEST(AD38:AH38,AI38:AM38,2,2)</f>
        <v>2.7059338586630727E-7</v>
      </c>
      <c r="CD38">
        <f>TTEST(AN38:AR38,AI38:AM38,2,2)</f>
        <v>4.4357851362023552E-5</v>
      </c>
      <c r="CE38">
        <f>TTEST(AX38:BB38,AI38:AM38,2,2)</f>
        <v>9.7716373146762341E-6</v>
      </c>
      <c r="CF38">
        <v>39</v>
      </c>
      <c r="CG38">
        <v>32</v>
      </c>
      <c r="CH38">
        <v>39</v>
      </c>
      <c r="CI38">
        <v>28</v>
      </c>
      <c r="CJ38">
        <f>0.05*CF38/464</f>
        <v>4.2025862068965523E-3</v>
      </c>
      <c r="CK38">
        <f>0.05*CG38/464</f>
        <v>3.4482758620689659E-3</v>
      </c>
      <c r="CL38">
        <f>0.05*CH38/464</f>
        <v>4.2025862068965523E-3</v>
      </c>
      <c r="CM38">
        <f>0.05*CI38/464</f>
        <v>3.0172413793103452E-3</v>
      </c>
      <c r="CN38" t="str">
        <f>IF(CB38&lt;CJ38,"yes","no")</f>
        <v>yes</v>
      </c>
      <c r="CO38" t="str">
        <f>IF(CC38&lt;CK38,"yes","no")</f>
        <v>yes</v>
      </c>
      <c r="CP38" t="str">
        <f>IF(CD38&lt;CL38,"yes","no")</f>
        <v>yes</v>
      </c>
      <c r="CQ38" t="str">
        <f>IF(CE38&lt;CM38,"yes","no")</f>
        <v>yes</v>
      </c>
      <c r="CR38">
        <f>TTEST(AS38:AW38,AD38:AH38,2,2)</f>
        <v>1.1474563242901028E-6</v>
      </c>
      <c r="CS38">
        <f>TTEST(AS38:AW38,AN38:AR38,2,2)</f>
        <v>2.0840114862729413E-4</v>
      </c>
      <c r="CT38">
        <f>TTEST(AS38:AW38,AX38:BB38,2,2)</f>
        <v>5.1785578422518595E-5</v>
      </c>
      <c r="CU38">
        <v>57</v>
      </c>
      <c r="CV38">
        <v>62</v>
      </c>
      <c r="CW38">
        <v>37</v>
      </c>
      <c r="CX38">
        <f t="shared" si="0"/>
        <v>6.142241379310345E-3</v>
      </c>
      <c r="CY38">
        <f t="shared" si="1"/>
        <v>6.681034482758621E-3</v>
      </c>
      <c r="CZ38">
        <f t="shared" si="2"/>
        <v>3.9870689655172415E-3</v>
      </c>
      <c r="DA38" t="str">
        <f>IF(CR38&lt;CX38,"yes","no")</f>
        <v>yes</v>
      </c>
      <c r="DB38" t="str">
        <f>IF(CS38&lt;CY38,"yes","no")</f>
        <v>yes</v>
      </c>
      <c r="DC38" t="str">
        <f>IF(CT38&lt;CZ38,"yes","no")</f>
        <v>yes</v>
      </c>
    </row>
    <row r="39" spans="1:107" x14ac:dyDescent="0.2">
      <c r="A39" s="2" t="b">
        <v>0</v>
      </c>
      <c r="B39" s="2" t="s">
        <v>79</v>
      </c>
      <c r="C39" s="2" t="s">
        <v>80</v>
      </c>
      <c r="D39" s="2" t="s">
        <v>148</v>
      </c>
      <c r="E39" s="2" t="s">
        <v>149</v>
      </c>
      <c r="F39" s="2">
        <v>21</v>
      </c>
      <c r="G39" s="2">
        <v>21</v>
      </c>
      <c r="H39" s="2">
        <v>107.4</v>
      </c>
      <c r="I39" s="2">
        <v>8</v>
      </c>
      <c r="J39" s="2" t="s">
        <v>150</v>
      </c>
      <c r="K39" s="2" t="s">
        <v>151</v>
      </c>
      <c r="L39" s="2" t="s">
        <v>119</v>
      </c>
      <c r="M39" s="2" t="s">
        <v>83</v>
      </c>
      <c r="N39" s="2" t="s">
        <v>83</v>
      </c>
      <c r="O39" s="2">
        <v>1.984</v>
      </c>
      <c r="P39" s="2">
        <v>1.31</v>
      </c>
      <c r="Q39" s="2">
        <v>0.74399999999999999</v>
      </c>
      <c r="R39" s="2">
        <v>2.9969999999999999</v>
      </c>
      <c r="S39" s="2">
        <v>7.2889999999999997</v>
      </c>
      <c r="T39" s="2">
        <v>4.22</v>
      </c>
      <c r="U39" s="2">
        <v>1.9750000000000001</v>
      </c>
      <c r="V39" s="2">
        <v>0.624</v>
      </c>
      <c r="W39" s="2">
        <v>0.28699999999999998</v>
      </c>
      <c r="X39" s="2">
        <v>0.504</v>
      </c>
      <c r="Y39" s="2">
        <v>103.8</v>
      </c>
      <c r="Z39" s="2">
        <v>23.3</v>
      </c>
      <c r="AA39" s="2">
        <v>174.5</v>
      </c>
      <c r="AB39" s="2">
        <v>136.9</v>
      </c>
      <c r="AC39" s="2">
        <v>61.6</v>
      </c>
      <c r="AD39" s="2">
        <v>51189739.542968802</v>
      </c>
      <c r="AE39" s="2">
        <v>40586553.644531302</v>
      </c>
      <c r="AF39" s="2">
        <v>38190231.510742202</v>
      </c>
      <c r="AG39" s="2">
        <v>41215773.0078125</v>
      </c>
      <c r="AH39" s="2">
        <v>30308919.558593798</v>
      </c>
      <c r="AI39" s="2">
        <v>215325.83935546901</v>
      </c>
      <c r="AJ39" s="2">
        <v>156048.19458007801</v>
      </c>
      <c r="AK39" s="2">
        <v>171266.007568359</v>
      </c>
      <c r="AL39" s="2">
        <v>200601.3125</v>
      </c>
      <c r="AM39" s="2">
        <v>176415.61279296901</v>
      </c>
      <c r="AN39" s="2">
        <v>1181162.5126953099</v>
      </c>
      <c r="AO39" s="2">
        <v>1214113.9418945301</v>
      </c>
      <c r="AP39" s="2">
        <v>1523102.671875</v>
      </c>
      <c r="AQ39" s="2">
        <v>1292572.87719727</v>
      </c>
      <c r="AR39" s="2">
        <v>1880349.69287109</v>
      </c>
      <c r="AS39" s="2">
        <v>8390425.7873535194</v>
      </c>
      <c r="AT39" s="2">
        <v>13133036.8085938</v>
      </c>
      <c r="AU39" s="2">
        <v>7377423.89990234</v>
      </c>
      <c r="AV39" s="2">
        <v>8004253.18603516</v>
      </c>
      <c r="AW39" s="2">
        <v>9348152.1528320294</v>
      </c>
      <c r="AX39" s="2">
        <v>1362473.08422852</v>
      </c>
      <c r="AY39" s="2">
        <v>1338088.90234375</v>
      </c>
      <c r="AZ39" s="2">
        <v>1491660.11962891</v>
      </c>
      <c r="BA39" s="2">
        <v>1389494.8359375</v>
      </c>
      <c r="BB39" s="2">
        <v>1155432.3137207001</v>
      </c>
      <c r="BC39" s="2" t="s">
        <v>79</v>
      </c>
      <c r="BD39" s="2" t="s">
        <v>79</v>
      </c>
      <c r="BE39" s="2" t="s">
        <v>79</v>
      </c>
      <c r="BF39" s="2" t="s">
        <v>79</v>
      </c>
      <c r="BG39" s="2" t="s">
        <v>79</v>
      </c>
      <c r="BH39" s="2" t="s">
        <v>79</v>
      </c>
      <c r="BI39" s="2" t="s">
        <v>79</v>
      </c>
      <c r="BJ39" s="2" t="s">
        <v>79</v>
      </c>
      <c r="BK39" s="2" t="s">
        <v>79</v>
      </c>
      <c r="BL39" s="2" t="s">
        <v>79</v>
      </c>
      <c r="BM39" s="2" t="s">
        <v>79</v>
      </c>
      <c r="BN39" s="2" t="s">
        <v>79</v>
      </c>
      <c r="BO39" s="2" t="s">
        <v>79</v>
      </c>
      <c r="BP39" s="2" t="s">
        <v>79</v>
      </c>
      <c r="BQ39" s="2" t="s">
        <v>79</v>
      </c>
      <c r="BR39" s="2" t="s">
        <v>79</v>
      </c>
      <c r="BS39" s="2" t="s">
        <v>79</v>
      </c>
      <c r="BT39" s="2" t="s">
        <v>79</v>
      </c>
      <c r="BU39" s="2" t="s">
        <v>79</v>
      </c>
      <c r="BV39" s="2" t="s">
        <v>79</v>
      </c>
      <c r="BW39" s="2" t="s">
        <v>79</v>
      </c>
      <c r="BX39" s="2" t="s">
        <v>79</v>
      </c>
      <c r="BY39" s="2" t="s">
        <v>79</v>
      </c>
      <c r="BZ39" s="2" t="s">
        <v>79</v>
      </c>
      <c r="CA39" s="2" t="s">
        <v>79</v>
      </c>
      <c r="CB39">
        <f>TTEST(AS39:AW39,AI39:AM39,2,2)</f>
        <v>2.0585131174926651E-5</v>
      </c>
      <c r="CC39">
        <f>TTEST(AD39:AH39,AI39:AM39,2,2)</f>
        <v>2.1544144551509431E-6</v>
      </c>
      <c r="CD39">
        <f>TTEST(AN39:AR39,AI39:AM39,2,2)</f>
        <v>1.2822968756065613E-5</v>
      </c>
      <c r="CE39">
        <f>TTEST(AX39:BB39,AI39:AM39,2,2)</f>
        <v>2.88618965741331E-8</v>
      </c>
      <c r="CF39">
        <v>37</v>
      </c>
      <c r="CG39">
        <v>65</v>
      </c>
      <c r="CH39">
        <v>24</v>
      </c>
      <c r="CI39">
        <v>3</v>
      </c>
      <c r="CJ39">
        <f>0.05*CF39/464</f>
        <v>3.9870689655172415E-3</v>
      </c>
      <c r="CK39">
        <f>0.05*CG39/464</f>
        <v>7.0043103448275863E-3</v>
      </c>
      <c r="CL39">
        <f>0.05*CH39/464</f>
        <v>2.5862068965517245E-3</v>
      </c>
      <c r="CM39">
        <f>0.05*CI39/464</f>
        <v>3.2327586206896557E-4</v>
      </c>
      <c r="CN39" t="str">
        <f>IF(CB39&lt;CJ39,"yes","no")</f>
        <v>yes</v>
      </c>
      <c r="CO39" t="str">
        <f>IF(CC39&lt;CK39,"yes","no")</f>
        <v>yes</v>
      </c>
      <c r="CP39" t="str">
        <f>IF(CD39&lt;CL39,"yes","no")</f>
        <v>yes</v>
      </c>
      <c r="CQ39" t="str">
        <f>IF(CE39&lt;CM39,"yes","no")</f>
        <v>yes</v>
      </c>
      <c r="CR39">
        <f>TTEST(AS39:AW39,AD39:AH39,2,2)</f>
        <v>2.0504921744334056E-5</v>
      </c>
      <c r="CS39">
        <f>TTEST(AS39:AW39,AN39:AR39,2,2)</f>
        <v>6.2851706689996681E-5</v>
      </c>
      <c r="CT39">
        <f>TTEST(AS39:AW39,AX39:BB39,2,2)</f>
        <v>5.6228868570000771E-5</v>
      </c>
      <c r="CU39">
        <v>103</v>
      </c>
      <c r="CV39">
        <v>35</v>
      </c>
      <c r="CW39">
        <v>38</v>
      </c>
      <c r="CX39">
        <f t="shared" si="0"/>
        <v>1.1099137931034484E-2</v>
      </c>
      <c r="CY39">
        <f t="shared" si="1"/>
        <v>3.7715517241379312E-3</v>
      </c>
      <c r="CZ39">
        <f t="shared" si="2"/>
        <v>4.0948275862068969E-3</v>
      </c>
      <c r="DA39" t="str">
        <f>IF(CR39&lt;CX39,"yes","no")</f>
        <v>yes</v>
      </c>
      <c r="DB39" t="str">
        <f>IF(CS39&lt;CY39,"yes","no")</f>
        <v>yes</v>
      </c>
      <c r="DC39" t="str">
        <f>IF(CT39&lt;CZ39,"yes","no")</f>
        <v>yes</v>
      </c>
    </row>
    <row r="40" spans="1:107" x14ac:dyDescent="0.2">
      <c r="A40" s="2" t="b">
        <v>0</v>
      </c>
      <c r="B40" s="2" t="s">
        <v>79</v>
      </c>
      <c r="C40" s="2" t="s">
        <v>80</v>
      </c>
      <c r="D40" s="2" t="s">
        <v>81</v>
      </c>
      <c r="E40" s="2" t="s">
        <v>82</v>
      </c>
      <c r="F40" s="2">
        <v>72</v>
      </c>
      <c r="G40" s="2">
        <v>72</v>
      </c>
      <c r="H40" s="2">
        <v>167</v>
      </c>
      <c r="I40" s="2">
        <v>6.9</v>
      </c>
      <c r="J40" s="2" t="s">
        <v>83</v>
      </c>
      <c r="K40" s="2" t="s">
        <v>84</v>
      </c>
      <c r="L40" s="2" t="s">
        <v>85</v>
      </c>
      <c r="M40" s="2" t="s">
        <v>83</v>
      </c>
      <c r="N40" s="2" t="s">
        <v>86</v>
      </c>
      <c r="O40" s="2">
        <v>0.65300000000000002</v>
      </c>
      <c r="P40" s="2">
        <v>0.91400000000000003</v>
      </c>
      <c r="Q40" s="2">
        <v>0.55800000000000005</v>
      </c>
      <c r="R40" s="2">
        <v>1.1679999999999999</v>
      </c>
      <c r="S40" s="2">
        <v>0.75800000000000001</v>
      </c>
      <c r="T40" s="2">
        <v>1.234</v>
      </c>
      <c r="U40" s="2">
        <v>0.82399999999999995</v>
      </c>
      <c r="V40" s="2">
        <v>1.7010000000000001</v>
      </c>
      <c r="W40" s="2">
        <v>1.165</v>
      </c>
      <c r="X40" s="2">
        <v>0.61899999999999999</v>
      </c>
      <c r="Y40" s="2">
        <v>127.7</v>
      </c>
      <c r="Z40" s="2">
        <v>94.4</v>
      </c>
      <c r="AA40" s="2">
        <v>55.3</v>
      </c>
      <c r="AB40" s="2">
        <v>130.30000000000001</v>
      </c>
      <c r="AC40" s="2">
        <v>92.3</v>
      </c>
      <c r="AD40" s="2">
        <v>16892075152.5576</v>
      </c>
      <c r="AE40" s="2">
        <v>13341647755.371</v>
      </c>
      <c r="AF40" s="2">
        <v>12747950654.883801</v>
      </c>
      <c r="AG40" s="2">
        <v>17598444974.985401</v>
      </c>
      <c r="AH40" s="2">
        <v>14651012019.377001</v>
      </c>
      <c r="AI40" s="2">
        <v>264640680.290649</v>
      </c>
      <c r="AJ40" s="2">
        <v>199266853.57519501</v>
      </c>
      <c r="AK40" s="2">
        <v>205632481.57983401</v>
      </c>
      <c r="AL40" s="2">
        <v>240508639.12597701</v>
      </c>
      <c r="AM40" s="2">
        <v>180901187.720947</v>
      </c>
      <c r="AN40" s="2">
        <v>135509061.60961899</v>
      </c>
      <c r="AO40" s="2">
        <v>129151069.260498</v>
      </c>
      <c r="AP40" s="2">
        <v>142368072.775879</v>
      </c>
      <c r="AQ40" s="2">
        <v>123890754.15625</v>
      </c>
      <c r="AR40" s="2">
        <v>162360849.309692</v>
      </c>
      <c r="AS40" s="2">
        <v>2141058550.9545901</v>
      </c>
      <c r="AT40" s="2">
        <v>3279978286.4877901</v>
      </c>
      <c r="AU40" s="2">
        <v>1912209476.32739</v>
      </c>
      <c r="AV40" s="2">
        <v>2172571078.2701402</v>
      </c>
      <c r="AW40" s="2">
        <v>2402956508.2714801</v>
      </c>
      <c r="AX40" s="2">
        <v>518096850.882568</v>
      </c>
      <c r="AY40" s="2">
        <v>560674989.07617199</v>
      </c>
      <c r="AZ40" s="2">
        <v>624329001.84960902</v>
      </c>
      <c r="BA40" s="2">
        <v>531875600.17138702</v>
      </c>
      <c r="BB40" s="2">
        <v>471002851.74365199</v>
      </c>
      <c r="BC40" s="2" t="s">
        <v>79</v>
      </c>
      <c r="BD40" s="2" t="s">
        <v>79</v>
      </c>
      <c r="BE40" s="2" t="s">
        <v>79</v>
      </c>
      <c r="BF40" s="2" t="s">
        <v>79</v>
      </c>
      <c r="BG40" s="2" t="s">
        <v>79</v>
      </c>
      <c r="BH40" s="2" t="s">
        <v>79</v>
      </c>
      <c r="BI40" s="2" t="s">
        <v>79</v>
      </c>
      <c r="BJ40" s="2" t="s">
        <v>79</v>
      </c>
      <c r="BK40" s="2" t="s">
        <v>79</v>
      </c>
      <c r="BL40" s="2" t="s">
        <v>79</v>
      </c>
      <c r="BM40" s="2" t="s">
        <v>79</v>
      </c>
      <c r="BN40" s="2" t="s">
        <v>79</v>
      </c>
      <c r="BO40" s="2" t="s">
        <v>79</v>
      </c>
      <c r="BP40" s="2" t="s">
        <v>79</v>
      </c>
      <c r="BQ40" s="2" t="s">
        <v>79</v>
      </c>
      <c r="BR40" s="2" t="s">
        <v>79</v>
      </c>
      <c r="BS40" s="2" t="s">
        <v>79</v>
      </c>
      <c r="BT40" s="2" t="s">
        <v>79</v>
      </c>
      <c r="BU40" s="2" t="s">
        <v>79</v>
      </c>
      <c r="BV40" s="2" t="s">
        <v>79</v>
      </c>
      <c r="BW40" s="2" t="s">
        <v>79</v>
      </c>
      <c r="BX40" s="2" t="s">
        <v>79</v>
      </c>
      <c r="BY40" s="2" t="s">
        <v>79</v>
      </c>
      <c r="BZ40" s="2" t="s">
        <v>79</v>
      </c>
      <c r="CA40" s="2" t="s">
        <v>79</v>
      </c>
      <c r="CB40">
        <f>TTEST(AS40:AW40,AI40:AM40,2,2)</f>
        <v>1.7276232960048189E-5</v>
      </c>
      <c r="CC40">
        <f>TTEST(AD40:AH40,AI40:AM40,2,2)</f>
        <v>2.9661440888862487E-7</v>
      </c>
      <c r="CD40">
        <f>TTEST(AN40:AR40,AI40:AM40,2,2)</f>
        <v>1.3291559009826403E-3</v>
      </c>
      <c r="CE40">
        <f>TTEST(AX40:BB40,AI40:AM40,2,2)</f>
        <v>4.2913760174299106E-6</v>
      </c>
      <c r="CF40">
        <v>34</v>
      </c>
      <c r="CG40">
        <v>36</v>
      </c>
      <c r="CH40">
        <v>77</v>
      </c>
      <c r="CI40">
        <v>24</v>
      </c>
      <c r="CJ40">
        <f>0.05*CF40/464</f>
        <v>3.6637931034482762E-3</v>
      </c>
      <c r="CK40">
        <f>0.05*CG40/464</f>
        <v>3.8793103448275862E-3</v>
      </c>
      <c r="CL40">
        <f>0.05*CH40/464</f>
        <v>8.2974137931034492E-3</v>
      </c>
      <c r="CM40">
        <f>0.05*CI40/464</f>
        <v>2.5862068965517245E-3</v>
      </c>
      <c r="CN40" t="str">
        <f>IF(CB40&lt;CJ40,"yes","no")</f>
        <v>yes</v>
      </c>
      <c r="CO40" t="str">
        <f>IF(CC40&lt;CK40,"yes","no")</f>
        <v>yes</v>
      </c>
      <c r="CP40" t="str">
        <f>IF(CD40&lt;CL40,"yes","no")</f>
        <v>yes</v>
      </c>
      <c r="CQ40" t="str">
        <f>IF(CE40&lt;CM40,"yes","no")</f>
        <v>yes</v>
      </c>
      <c r="CR40">
        <f>TTEST(AS40:AW40,AD40:AH40,2,2)</f>
        <v>1.2624516532689347E-6</v>
      </c>
      <c r="CS40">
        <f>TTEST(AS40:AW40,AN40:AR40,2,2)</f>
        <v>1.3076056354209905E-5</v>
      </c>
      <c r="CT40">
        <f>TTEST(AS40:AW40,AX40:BB40,2,2)</f>
        <v>5.7350330420680974E-5</v>
      </c>
      <c r="CU40">
        <v>58</v>
      </c>
      <c r="CV40">
        <v>12</v>
      </c>
      <c r="CW40">
        <v>39</v>
      </c>
      <c r="CX40">
        <f t="shared" si="0"/>
        <v>6.2500000000000003E-3</v>
      </c>
      <c r="CY40">
        <f t="shared" si="1"/>
        <v>1.2931034482758623E-3</v>
      </c>
      <c r="CZ40">
        <f t="shared" si="2"/>
        <v>4.2025862068965523E-3</v>
      </c>
      <c r="DA40" t="str">
        <f>IF(CR40&lt;CX40,"yes","no")</f>
        <v>yes</v>
      </c>
      <c r="DB40" t="str">
        <f>IF(CS40&lt;CY40,"yes","no")</f>
        <v>yes</v>
      </c>
      <c r="DC40" t="str">
        <f>IF(CT40&lt;CZ40,"yes","no")</f>
        <v>yes</v>
      </c>
    </row>
    <row r="41" spans="1:107" x14ac:dyDescent="0.2">
      <c r="A41" s="2" t="b">
        <v>0</v>
      </c>
      <c r="B41" s="2" t="s">
        <v>79</v>
      </c>
      <c r="C41" s="2" t="s">
        <v>80</v>
      </c>
      <c r="D41" s="2" t="s">
        <v>712</v>
      </c>
      <c r="E41" s="2" t="s">
        <v>713</v>
      </c>
      <c r="F41" s="2">
        <v>5</v>
      </c>
      <c r="G41" s="2">
        <v>5</v>
      </c>
      <c r="H41" s="2">
        <v>20.5</v>
      </c>
      <c r="I41" s="2">
        <v>4.5999999999999996</v>
      </c>
      <c r="J41" s="2" t="s">
        <v>83</v>
      </c>
      <c r="K41" s="2" t="s">
        <v>83</v>
      </c>
      <c r="L41" s="2" t="s">
        <v>119</v>
      </c>
      <c r="M41" s="2" t="s">
        <v>714</v>
      </c>
      <c r="N41" s="2" t="s">
        <v>712</v>
      </c>
      <c r="O41" s="2">
        <v>39.061999999999998</v>
      </c>
      <c r="P41" s="2">
        <v>4.407</v>
      </c>
      <c r="Q41" s="2">
        <v>2.4590000000000001</v>
      </c>
      <c r="R41" s="2">
        <v>0.14299999999999999</v>
      </c>
      <c r="S41" s="2">
        <v>6.3959999999999999</v>
      </c>
      <c r="T41" s="2">
        <v>0.44</v>
      </c>
      <c r="U41" s="2">
        <v>0.34300000000000003</v>
      </c>
      <c r="V41" s="2">
        <v>0.104</v>
      </c>
      <c r="W41" s="2">
        <v>5.1999999999999998E-2</v>
      </c>
      <c r="X41" s="2">
        <v>0.81799999999999995</v>
      </c>
      <c r="Y41" s="2">
        <v>9</v>
      </c>
      <c r="Z41" s="2">
        <v>62</v>
      </c>
      <c r="AA41" s="2">
        <v>385.8</v>
      </c>
      <c r="AB41" s="2">
        <v>36.6</v>
      </c>
      <c r="AC41" s="2">
        <v>6.5</v>
      </c>
      <c r="AD41" s="2">
        <v>797193.671875</v>
      </c>
      <c r="AE41" s="2">
        <v>599105.0625</v>
      </c>
      <c r="AF41" s="2">
        <v>788173.453125</v>
      </c>
      <c r="AG41" s="2">
        <v>600728.3046875</v>
      </c>
      <c r="AH41" s="2">
        <v>561864.3984375</v>
      </c>
      <c r="AI41" s="2">
        <v>36403.427734375</v>
      </c>
      <c r="AJ41" s="2">
        <v>64916.3017578125</v>
      </c>
      <c r="AK41" s="2">
        <v>77505.1708984375</v>
      </c>
      <c r="AL41" s="2">
        <v>266974.94140625</v>
      </c>
      <c r="AM41" s="2">
        <v>83308.084472656294</v>
      </c>
      <c r="AN41" s="2">
        <v>489773.36328125</v>
      </c>
      <c r="AO41" s="2">
        <v>468670.7578125</v>
      </c>
      <c r="AP41" s="2">
        <v>580452.7734375</v>
      </c>
      <c r="AQ41" s="2">
        <v>534398.8359375</v>
      </c>
      <c r="AR41" s="2">
        <v>709516.8984375</v>
      </c>
      <c r="AS41" s="2">
        <v>359607.76171875</v>
      </c>
      <c r="AT41" s="2">
        <v>604111.8125</v>
      </c>
      <c r="AU41" s="2">
        <v>347596.015625</v>
      </c>
      <c r="AV41" s="2">
        <v>386367.99609375</v>
      </c>
      <c r="AW41" s="2">
        <v>426142.91015625</v>
      </c>
      <c r="AX41" s="2">
        <v>19718.8759765625</v>
      </c>
      <c r="AY41" s="2">
        <v>43373.1796875</v>
      </c>
      <c r="AZ41" s="2">
        <v>64436.52734375</v>
      </c>
      <c r="BA41" s="2">
        <v>99913.48046875</v>
      </c>
      <c r="BB41" s="2">
        <v>16220.279296875</v>
      </c>
      <c r="BC41" s="2" t="s">
        <v>79</v>
      </c>
      <c r="BD41" s="2" t="s">
        <v>79</v>
      </c>
      <c r="BE41" s="2" t="s">
        <v>79</v>
      </c>
      <c r="BF41" s="2" t="s">
        <v>79</v>
      </c>
      <c r="BG41" s="2" t="s">
        <v>79</v>
      </c>
      <c r="BH41" s="2" t="s">
        <v>79</v>
      </c>
      <c r="BI41" s="2" t="s">
        <v>91</v>
      </c>
      <c r="BJ41" s="2" t="s">
        <v>91</v>
      </c>
      <c r="BK41" s="2" t="s">
        <v>79</v>
      </c>
      <c r="BL41" s="2" t="s">
        <v>91</v>
      </c>
      <c r="BM41" s="2" t="s">
        <v>79</v>
      </c>
      <c r="BN41" s="2" t="s">
        <v>79</v>
      </c>
      <c r="BO41" s="2" t="s">
        <v>79</v>
      </c>
      <c r="BP41" s="2" t="s">
        <v>79</v>
      </c>
      <c r="BQ41" s="2" t="s">
        <v>79</v>
      </c>
      <c r="BR41" s="2" t="s">
        <v>79</v>
      </c>
      <c r="BS41" s="2" t="s">
        <v>79</v>
      </c>
      <c r="BT41" s="2" t="s">
        <v>79</v>
      </c>
      <c r="BU41" s="2" t="s">
        <v>79</v>
      </c>
      <c r="BV41" s="2" t="s">
        <v>79</v>
      </c>
      <c r="BW41" s="2" t="s">
        <v>91</v>
      </c>
      <c r="BX41" s="2" t="s">
        <v>91</v>
      </c>
      <c r="BY41" s="2" t="s">
        <v>91</v>
      </c>
      <c r="BZ41" s="2" t="s">
        <v>91</v>
      </c>
      <c r="CA41" s="2" t="s">
        <v>91</v>
      </c>
      <c r="CB41">
        <f>TTEST(AS41:AW41,AI41:AM41,2,2)</f>
        <v>9.0730587080005323E-4</v>
      </c>
      <c r="CC41">
        <f>TTEST(AD41:AH41,AI41:AM41,2,2)</f>
        <v>2.5348092018998976E-5</v>
      </c>
      <c r="CD41">
        <f>TTEST(AN41:AR41,AI41:AM41,2,2)</f>
        <v>6.3257754472516208E-5</v>
      </c>
      <c r="CE41">
        <f>TTEST(AX41:BB41,AI41:AM41,2,2)</f>
        <v>0.22977525510606861</v>
      </c>
      <c r="CF41">
        <v>101</v>
      </c>
      <c r="CG41">
        <v>90</v>
      </c>
      <c r="CH41">
        <v>46</v>
      </c>
      <c r="CI41">
        <v>134</v>
      </c>
      <c r="CJ41">
        <f>0.05*CF41/464</f>
        <v>1.0883620689655173E-2</v>
      </c>
      <c r="CK41">
        <f>0.05*CG41/464</f>
        <v>9.6982758620689658E-3</v>
      </c>
      <c r="CL41">
        <f>0.05*CH41/464</f>
        <v>4.9568965517241383E-3</v>
      </c>
      <c r="CM41">
        <f>0.05*CI41/464</f>
        <v>1.4439655172413794E-2</v>
      </c>
      <c r="CN41" t="str">
        <f>IF(CB41&lt;CJ41,"yes","no")</f>
        <v>yes</v>
      </c>
      <c r="CO41" t="str">
        <f>IF(CC41&lt;CK41,"yes","no")</f>
        <v>yes</v>
      </c>
      <c r="CP41" t="str">
        <f>IF(CD41&lt;CL41,"yes","no")</f>
        <v>yes</v>
      </c>
      <c r="CQ41" t="str">
        <f>IF(CE41&lt;CM41,"yes","no")</f>
        <v>no</v>
      </c>
      <c r="CR41">
        <f>TTEST(AS41:AW41,AD41:AH41,2,2)</f>
        <v>7.6155219988942686E-3</v>
      </c>
      <c r="CS41">
        <f>TTEST(AS41:AW41,AN41:AR41,2,2)</f>
        <v>7.137969665655533E-2</v>
      </c>
      <c r="CT41">
        <f>TTEST(AS41:AW41,AX41:BB41,2,2)</f>
        <v>6.1567861342280217E-5</v>
      </c>
      <c r="CU41">
        <v>191</v>
      </c>
      <c r="CV41">
        <v>172</v>
      </c>
      <c r="CW41">
        <v>40</v>
      </c>
      <c r="CX41">
        <f t="shared" si="0"/>
        <v>2.0581896551724141E-2</v>
      </c>
      <c r="CY41">
        <f t="shared" si="1"/>
        <v>1.8534482758620689E-2</v>
      </c>
      <c r="CZ41">
        <f t="shared" si="2"/>
        <v>4.3103448275862068E-3</v>
      </c>
      <c r="DA41" t="str">
        <f>IF(CR41&lt;CX41,"yes","no")</f>
        <v>yes</v>
      </c>
      <c r="DB41" t="str">
        <f>IF(CS41&lt;CY41,"yes","no")</f>
        <v>no</v>
      </c>
      <c r="DC41" t="str">
        <f>IF(CT41&lt;CZ41,"yes","no")</f>
        <v>yes</v>
      </c>
    </row>
    <row r="42" spans="1:107" x14ac:dyDescent="0.2">
      <c r="A42" s="2" t="b">
        <v>0</v>
      </c>
      <c r="B42" s="2" t="s">
        <v>79</v>
      </c>
      <c r="C42" s="2" t="s">
        <v>80</v>
      </c>
      <c r="D42" s="2" t="s">
        <v>794</v>
      </c>
      <c r="E42" s="2" t="s">
        <v>795</v>
      </c>
      <c r="F42" s="2">
        <v>3</v>
      </c>
      <c r="G42" s="2">
        <v>3</v>
      </c>
      <c r="H42" s="2">
        <v>20.8</v>
      </c>
      <c r="I42" s="2">
        <v>5.78</v>
      </c>
      <c r="J42" s="2" t="s">
        <v>796</v>
      </c>
      <c r="K42" s="2" t="s">
        <v>797</v>
      </c>
      <c r="L42" s="2" t="s">
        <v>119</v>
      </c>
      <c r="M42" s="2" t="s">
        <v>798</v>
      </c>
      <c r="N42" s="2" t="s">
        <v>799</v>
      </c>
      <c r="O42" s="2">
        <v>38.99</v>
      </c>
      <c r="P42" s="2">
        <v>2.3610000000000002</v>
      </c>
      <c r="Q42" s="2">
        <v>2.0510000000000002</v>
      </c>
      <c r="R42" s="2">
        <v>0.42899999999999999</v>
      </c>
      <c r="S42" s="2">
        <v>22.058</v>
      </c>
      <c r="T42" s="2">
        <v>1.06</v>
      </c>
      <c r="U42" s="2">
        <v>0.76800000000000002</v>
      </c>
      <c r="V42" s="2">
        <v>5.8999999999999997E-2</v>
      </c>
      <c r="W42" s="2">
        <v>4.2999999999999997E-2</v>
      </c>
      <c r="X42" s="2">
        <v>0.73099999999999998</v>
      </c>
      <c r="Y42" s="2">
        <v>13.9</v>
      </c>
      <c r="Z42" s="2">
        <v>9.6999999999999993</v>
      </c>
      <c r="AA42" s="2">
        <v>446.6</v>
      </c>
      <c r="AB42" s="2">
        <v>20.6</v>
      </c>
      <c r="AC42" s="2">
        <v>9.1999999999999993</v>
      </c>
      <c r="AD42" s="2">
        <v>953361.6875</v>
      </c>
      <c r="AE42" s="2">
        <v>727824.90625</v>
      </c>
      <c r="AF42" s="2">
        <v>708781.15625</v>
      </c>
      <c r="AG42" s="2">
        <v>495325.6953125</v>
      </c>
      <c r="AH42" s="2">
        <v>386256.90625</v>
      </c>
      <c r="AI42" s="2">
        <v>2986.22534179688</v>
      </c>
      <c r="AJ42" s="2" t="s">
        <v>83</v>
      </c>
      <c r="AK42" s="2" t="s">
        <v>83</v>
      </c>
      <c r="AL42" s="2">
        <v>23609.251953125</v>
      </c>
      <c r="AM42" s="2">
        <v>9162.22265625</v>
      </c>
      <c r="AN42" s="2">
        <v>427069.1328125</v>
      </c>
      <c r="AO42" s="2">
        <v>422941.484375</v>
      </c>
      <c r="AP42" s="2">
        <v>566906.9921875</v>
      </c>
      <c r="AQ42" s="2">
        <v>473488.5546875</v>
      </c>
      <c r="AR42" s="2">
        <v>648222.5625</v>
      </c>
      <c r="AS42" s="2">
        <v>151133.48828125</v>
      </c>
      <c r="AT42" s="2">
        <v>263235.09375</v>
      </c>
      <c r="AU42" s="2">
        <v>157585.1875</v>
      </c>
      <c r="AV42" s="2">
        <v>164567.7578125</v>
      </c>
      <c r="AW42" s="2">
        <v>205987.34375</v>
      </c>
      <c r="AX42" s="2">
        <v>33332.45703125</v>
      </c>
      <c r="AY42" s="2">
        <v>34308.578125</v>
      </c>
      <c r="AZ42" s="2">
        <v>26777.400390625</v>
      </c>
      <c r="BA42" s="2">
        <v>26237.07421875</v>
      </c>
      <c r="BB42" s="2">
        <v>26079.763671875</v>
      </c>
      <c r="BC42" s="2" t="s">
        <v>79</v>
      </c>
      <c r="BD42" s="2" t="s">
        <v>79</v>
      </c>
      <c r="BE42" s="2" t="s">
        <v>79</v>
      </c>
      <c r="BF42" s="2" t="s">
        <v>79</v>
      </c>
      <c r="BG42" s="2" t="s">
        <v>79</v>
      </c>
      <c r="BH42" s="2" t="s">
        <v>91</v>
      </c>
      <c r="BI42" s="2" t="s">
        <v>98</v>
      </c>
      <c r="BJ42" s="2" t="s">
        <v>98</v>
      </c>
      <c r="BK42" s="2" t="s">
        <v>91</v>
      </c>
      <c r="BL42" s="2" t="s">
        <v>91</v>
      </c>
      <c r="BM42" s="2" t="s">
        <v>79</v>
      </c>
      <c r="BN42" s="2" t="s">
        <v>79</v>
      </c>
      <c r="BO42" s="2" t="s">
        <v>79</v>
      </c>
      <c r="BP42" s="2" t="s">
        <v>79</v>
      </c>
      <c r="BQ42" s="2" t="s">
        <v>79</v>
      </c>
      <c r="BR42" s="2" t="s">
        <v>79</v>
      </c>
      <c r="BS42" s="2" t="s">
        <v>79</v>
      </c>
      <c r="BT42" s="2" t="s">
        <v>79</v>
      </c>
      <c r="BU42" s="2" t="s">
        <v>79</v>
      </c>
      <c r="BV42" s="2" t="s">
        <v>79</v>
      </c>
      <c r="BW42" s="2" t="s">
        <v>91</v>
      </c>
      <c r="BX42" s="2" t="s">
        <v>91</v>
      </c>
      <c r="BY42" s="2" t="s">
        <v>91</v>
      </c>
      <c r="BZ42" s="2" t="s">
        <v>91</v>
      </c>
      <c r="CA42" s="2" t="s">
        <v>91</v>
      </c>
      <c r="CB42">
        <f>TTEST(AS42:AW42,AI42:AM42,2,2)</f>
        <v>7.9150480931211792E-4</v>
      </c>
      <c r="CC42">
        <f>TTEST(AD42:AH42,AI42:AM42,2,2)</f>
        <v>2.7736325657807719E-3</v>
      </c>
      <c r="CD42">
        <f>TTEST(AN42:AR42,AI42:AM42,2,2)</f>
        <v>1.4571003114196738E-4</v>
      </c>
      <c r="CE42">
        <f>TTEST(AX42:BB42,AI42:AM42,2,2)</f>
        <v>1.4079703333553168E-2</v>
      </c>
      <c r="CF42">
        <v>99</v>
      </c>
      <c r="CG42">
        <v>148</v>
      </c>
      <c r="CH42">
        <v>51</v>
      </c>
      <c r="CI42">
        <v>85</v>
      </c>
      <c r="CJ42">
        <f>0.05*CF42/464</f>
        <v>1.0668103448275863E-2</v>
      </c>
      <c r="CK42">
        <f>0.05*CG42/464</f>
        <v>1.5948275862068966E-2</v>
      </c>
      <c r="CL42">
        <f>0.05*CH42/464</f>
        <v>5.4956896551724144E-3</v>
      </c>
      <c r="CM42">
        <f>0.05*CI42/464</f>
        <v>9.1594827586206889E-3</v>
      </c>
      <c r="CN42" t="str">
        <f>IF(CB42&lt;CJ42,"yes","no")</f>
        <v>yes</v>
      </c>
      <c r="CO42" t="str">
        <f>IF(CC42&lt;CK42,"yes","no")</f>
        <v>yes</v>
      </c>
      <c r="CP42" t="str">
        <f>IF(CD42&lt;CL42,"yes","no")</f>
        <v>yes</v>
      </c>
      <c r="CQ42" t="str">
        <f>IF(CE42&lt;CM42,"yes","no")</f>
        <v>no</v>
      </c>
      <c r="CR42">
        <f>TTEST(AS42:AW42,AD42:AH42,2,2)</f>
        <v>1.7212965409190574E-3</v>
      </c>
      <c r="CS42">
        <f>TTEST(AS42:AW42,AN42:AR42,2,2)</f>
        <v>1.7108391640970522E-4</v>
      </c>
      <c r="CT42">
        <f>TTEST(AS42:AW42,AX42:BB42,2,2)</f>
        <v>6.5974273972699876E-5</v>
      </c>
      <c r="CU42">
        <v>170</v>
      </c>
      <c r="CV42">
        <v>56</v>
      </c>
      <c r="CW42">
        <v>41</v>
      </c>
      <c r="CX42">
        <f t="shared" si="0"/>
        <v>1.8318965517241378E-2</v>
      </c>
      <c r="CY42">
        <f t="shared" si="1"/>
        <v>6.0344827586206904E-3</v>
      </c>
      <c r="CZ42">
        <f t="shared" si="2"/>
        <v>4.4181034482758622E-3</v>
      </c>
      <c r="DA42" t="str">
        <f>IF(CR42&lt;CX42,"yes","no")</f>
        <v>yes</v>
      </c>
      <c r="DB42" t="str">
        <f>IF(CS42&lt;CY42,"yes","no")</f>
        <v>yes</v>
      </c>
      <c r="DC42" t="str">
        <f>IF(CT42&lt;CZ42,"yes","no")</f>
        <v>yes</v>
      </c>
    </row>
    <row r="43" spans="1:107" x14ac:dyDescent="0.2">
      <c r="A43" s="2" t="b">
        <v>0</v>
      </c>
      <c r="B43" s="2" t="s">
        <v>79</v>
      </c>
      <c r="C43" s="2" t="s">
        <v>80</v>
      </c>
      <c r="D43" s="2" t="s">
        <v>452</v>
      </c>
      <c r="E43" s="2" t="s">
        <v>453</v>
      </c>
      <c r="F43" s="2">
        <v>5</v>
      </c>
      <c r="G43" s="2">
        <v>5</v>
      </c>
      <c r="H43" s="2">
        <v>14</v>
      </c>
      <c r="I43" s="2">
        <v>7.05</v>
      </c>
      <c r="J43" s="2" t="s">
        <v>83</v>
      </c>
      <c r="K43" s="2" t="s">
        <v>83</v>
      </c>
      <c r="L43" s="2" t="s">
        <v>83</v>
      </c>
      <c r="M43" s="2" t="s">
        <v>83</v>
      </c>
      <c r="N43" s="2" t="s">
        <v>452</v>
      </c>
      <c r="O43" s="2">
        <v>3.5459999999999998</v>
      </c>
      <c r="P43" s="2">
        <v>1.2250000000000001</v>
      </c>
      <c r="Q43" s="2">
        <v>0.65500000000000003</v>
      </c>
      <c r="R43" s="2">
        <v>0.878</v>
      </c>
      <c r="S43" s="2">
        <v>4.0220000000000002</v>
      </c>
      <c r="T43" s="2">
        <v>1.3560000000000001</v>
      </c>
      <c r="U43" s="2">
        <v>2.4289999999999998</v>
      </c>
      <c r="V43" s="2">
        <v>0.375</v>
      </c>
      <c r="W43" s="2">
        <v>0.46400000000000002</v>
      </c>
      <c r="X43" s="2">
        <v>0.71399999999999997</v>
      </c>
      <c r="Y43" s="2">
        <v>48.3</v>
      </c>
      <c r="Z43" s="2">
        <v>68.3</v>
      </c>
      <c r="AA43" s="2">
        <v>248.5</v>
      </c>
      <c r="AB43" s="2">
        <v>84.3</v>
      </c>
      <c r="AC43" s="2">
        <v>50.7</v>
      </c>
      <c r="AD43" s="2">
        <v>4953681.765625</v>
      </c>
      <c r="AE43" s="2">
        <v>3859270.703125</v>
      </c>
      <c r="AF43" s="2">
        <v>3734510.6738281301</v>
      </c>
      <c r="AG43" s="2">
        <v>7011468.91015625</v>
      </c>
      <c r="AH43" s="2">
        <v>6224786.3857421903</v>
      </c>
      <c r="AI43" s="2">
        <v>117068.828613281</v>
      </c>
      <c r="AJ43" s="2">
        <v>82873.139160156294</v>
      </c>
      <c r="AK43" s="2">
        <v>126929.225097656</v>
      </c>
      <c r="AL43" s="2">
        <v>225663.876953125</v>
      </c>
      <c r="AM43" s="2">
        <v>101548.82104492201</v>
      </c>
      <c r="AN43" s="2">
        <v>358979.61035156302</v>
      </c>
      <c r="AO43" s="2">
        <v>327043.62841796898</v>
      </c>
      <c r="AP43" s="2">
        <v>513214.59814453102</v>
      </c>
      <c r="AQ43" s="2">
        <v>607708.13720703102</v>
      </c>
      <c r="AR43" s="2">
        <v>566016.34375</v>
      </c>
      <c r="AS43" s="2">
        <v>1209188.0449218799</v>
      </c>
      <c r="AT43" s="2">
        <v>1622883.8886718799</v>
      </c>
      <c r="AU43" s="2">
        <v>914981.107421875</v>
      </c>
      <c r="AV43" s="2">
        <v>1007904.53759766</v>
      </c>
      <c r="AW43" s="2">
        <v>1295579.7099609401</v>
      </c>
      <c r="AX43" s="2">
        <v>229885.384765625</v>
      </c>
      <c r="AY43" s="2">
        <v>262486.828125</v>
      </c>
      <c r="AZ43" s="2">
        <v>359377.34375</v>
      </c>
      <c r="BA43" s="2">
        <v>208187.34472656299</v>
      </c>
      <c r="BB43" s="2">
        <v>215224.68066406299</v>
      </c>
      <c r="BC43" s="2" t="s">
        <v>79</v>
      </c>
      <c r="BD43" s="2" t="s">
        <v>79</v>
      </c>
      <c r="BE43" s="2" t="s">
        <v>79</v>
      </c>
      <c r="BF43" s="2" t="s">
        <v>79</v>
      </c>
      <c r="BG43" s="2" t="s">
        <v>79</v>
      </c>
      <c r="BH43" s="2" t="s">
        <v>91</v>
      </c>
      <c r="BI43" s="2" t="s">
        <v>91</v>
      </c>
      <c r="BJ43" s="2" t="s">
        <v>79</v>
      </c>
      <c r="BK43" s="2" t="s">
        <v>91</v>
      </c>
      <c r="BL43" s="2" t="s">
        <v>91</v>
      </c>
      <c r="BM43" s="2" t="s">
        <v>79</v>
      </c>
      <c r="BN43" s="2" t="s">
        <v>79</v>
      </c>
      <c r="BO43" s="2" t="s">
        <v>79</v>
      </c>
      <c r="BP43" s="2" t="s">
        <v>79</v>
      </c>
      <c r="BQ43" s="2" t="s">
        <v>79</v>
      </c>
      <c r="BR43" s="2" t="s">
        <v>79</v>
      </c>
      <c r="BS43" s="2" t="s">
        <v>79</v>
      </c>
      <c r="BT43" s="2" t="s">
        <v>79</v>
      </c>
      <c r="BU43" s="2" t="s">
        <v>79</v>
      </c>
      <c r="BV43" s="2" t="s">
        <v>79</v>
      </c>
      <c r="BW43" s="2" t="s">
        <v>91</v>
      </c>
      <c r="BX43" s="2" t="s">
        <v>79</v>
      </c>
      <c r="BY43" s="2" t="s">
        <v>79</v>
      </c>
      <c r="BZ43" s="2" t="s">
        <v>79</v>
      </c>
      <c r="CA43" s="2" t="s">
        <v>91</v>
      </c>
      <c r="CB43">
        <f>TTEST(AS43:AW43,AI43:AM43,2,2)</f>
        <v>2.677218275118411E-5</v>
      </c>
      <c r="CC43">
        <f>TTEST(AD43:AH43,AI43:AM43,2,2)</f>
        <v>5.3208633716995773E-5</v>
      </c>
      <c r="CD43">
        <f>TTEST(AN43:AR43,AI43:AM43,2,2)</f>
        <v>5.0344577137321741E-4</v>
      </c>
      <c r="CE43">
        <f>TTEST(AX43:BB43,AI43:AM43,2,2)</f>
        <v>1.0275149817412758E-2</v>
      </c>
      <c r="CF43">
        <v>41</v>
      </c>
      <c r="CG43">
        <v>103</v>
      </c>
      <c r="CH43">
        <v>67</v>
      </c>
      <c r="CI43">
        <v>84</v>
      </c>
      <c r="CJ43">
        <f>0.05*CF43/464</f>
        <v>4.4181034482758622E-3</v>
      </c>
      <c r="CK43">
        <f>0.05*CG43/464</f>
        <v>1.1099137931034484E-2</v>
      </c>
      <c r="CL43">
        <f>0.05*CH43/464</f>
        <v>7.2198275862068971E-3</v>
      </c>
      <c r="CM43">
        <f>0.05*CI43/464</f>
        <v>9.0517241379310352E-3</v>
      </c>
      <c r="CN43" t="str">
        <f>IF(CB43&lt;CJ43,"yes","no")</f>
        <v>yes</v>
      </c>
      <c r="CO43" t="str">
        <f>IF(CC43&lt;CK43,"yes","no")</f>
        <v>yes</v>
      </c>
      <c r="CP43" t="str">
        <f>IF(CD43&lt;CL43,"yes","no")</f>
        <v>yes</v>
      </c>
      <c r="CQ43" t="str">
        <f>IF(CE43&lt;CM43,"yes","no")</f>
        <v>no</v>
      </c>
      <c r="CR43">
        <f>TTEST(AS43:AW43,AD43:AH43,2,2)</f>
        <v>3.2096476370540021E-4</v>
      </c>
      <c r="CS43">
        <f>TTEST(AS43:AW43,AN43:AR43,2,2)</f>
        <v>6.3119919678349622E-4</v>
      </c>
      <c r="CT43">
        <f>TTEST(AS43:AW43,AX43:BB43,2,2)</f>
        <v>6.6808936983079193E-5</v>
      </c>
      <c r="CU43">
        <v>150</v>
      </c>
      <c r="CV43">
        <v>84</v>
      </c>
      <c r="CW43">
        <v>42</v>
      </c>
      <c r="CX43">
        <f t="shared" si="0"/>
        <v>1.6163793103448277E-2</v>
      </c>
      <c r="CY43">
        <f t="shared" si="1"/>
        <v>9.0517241379310352E-3</v>
      </c>
      <c r="CZ43">
        <f t="shared" si="2"/>
        <v>4.5258620689655176E-3</v>
      </c>
      <c r="DA43" t="str">
        <f>IF(CR43&lt;CX43,"yes","no")</f>
        <v>yes</v>
      </c>
      <c r="DB43" t="str">
        <f>IF(CS43&lt;CY43,"yes","no")</f>
        <v>yes</v>
      </c>
      <c r="DC43" t="str">
        <f>IF(CT43&lt;CZ43,"yes","no")</f>
        <v>yes</v>
      </c>
    </row>
    <row r="44" spans="1:107" x14ac:dyDescent="0.2">
      <c r="A44" s="2" t="b">
        <v>0</v>
      </c>
      <c r="B44" s="2" t="s">
        <v>79</v>
      </c>
      <c r="C44" s="2" t="s">
        <v>80</v>
      </c>
      <c r="D44" s="2" t="s">
        <v>504</v>
      </c>
      <c r="E44" s="2" t="s">
        <v>505</v>
      </c>
      <c r="F44" s="2">
        <v>6</v>
      </c>
      <c r="G44" s="2">
        <v>4</v>
      </c>
      <c r="H44" s="2">
        <v>70.900000000000006</v>
      </c>
      <c r="I44" s="2">
        <v>6.7</v>
      </c>
      <c r="J44" s="2" t="s">
        <v>89</v>
      </c>
      <c r="K44" s="2" t="s">
        <v>84</v>
      </c>
      <c r="L44" s="2" t="s">
        <v>85</v>
      </c>
      <c r="M44" s="2" t="s">
        <v>473</v>
      </c>
      <c r="N44" s="2" t="s">
        <v>504</v>
      </c>
      <c r="O44" s="2">
        <v>3.0369999999999999</v>
      </c>
      <c r="P44" s="2">
        <v>7.9820000000000002</v>
      </c>
      <c r="Q44" s="2">
        <v>7.1459999999999999</v>
      </c>
      <c r="R44" s="2">
        <v>1.4850000000000001</v>
      </c>
      <c r="S44" s="2">
        <v>4.7359999999999998</v>
      </c>
      <c r="T44" s="2">
        <v>12.183999999999999</v>
      </c>
      <c r="U44" s="2">
        <v>0.90200000000000002</v>
      </c>
      <c r="V44" s="2">
        <v>2.6139999999999999</v>
      </c>
      <c r="W44" s="2">
        <v>3.1320000000000001</v>
      </c>
      <c r="X44" s="2">
        <v>1.117</v>
      </c>
      <c r="Y44" s="2">
        <v>30.8</v>
      </c>
      <c r="Z44" s="2">
        <v>11.6</v>
      </c>
      <c r="AA44" s="2">
        <v>64.099999999999994</v>
      </c>
      <c r="AB44" s="2">
        <v>238.6</v>
      </c>
      <c r="AC44" s="2">
        <v>154.80000000000001</v>
      </c>
      <c r="AD44" s="2">
        <v>942166.7578125</v>
      </c>
      <c r="AE44" s="2">
        <v>866742.6171875</v>
      </c>
      <c r="AF44" s="2">
        <v>673284.4375</v>
      </c>
      <c r="AG44" s="2">
        <v>746134.015625</v>
      </c>
      <c r="AH44" s="2">
        <v>757897.859375</v>
      </c>
      <c r="AI44" s="2">
        <v>11450.116699218799</v>
      </c>
      <c r="AJ44" s="2">
        <v>6324.287109375</v>
      </c>
      <c r="AK44" s="2">
        <v>5255.53515625</v>
      </c>
      <c r="AL44" s="2">
        <v>6872.61328125</v>
      </c>
      <c r="AM44" s="2">
        <v>3324.21435546875</v>
      </c>
      <c r="AN44" s="2">
        <v>37108.703125</v>
      </c>
      <c r="AO44" s="2">
        <v>36891.7197265625</v>
      </c>
      <c r="AP44" s="2">
        <v>37248.998046875</v>
      </c>
      <c r="AQ44" s="2">
        <v>31465.8564453125</v>
      </c>
      <c r="AR44" s="2">
        <v>41946.50390625</v>
      </c>
      <c r="AS44" s="2">
        <v>855412.28515625</v>
      </c>
      <c r="AT44" s="2">
        <v>1370365.9609375</v>
      </c>
      <c r="AU44" s="2">
        <v>849704.025390625</v>
      </c>
      <c r="AV44" s="2">
        <v>832698.921875</v>
      </c>
      <c r="AW44" s="2">
        <v>985842.71875</v>
      </c>
      <c r="AX44" s="2">
        <v>194081.53515625</v>
      </c>
      <c r="AY44" s="2">
        <v>201981.73046875</v>
      </c>
      <c r="AZ44" s="2">
        <v>287868.369140625</v>
      </c>
      <c r="BA44" s="2">
        <v>165836.359375</v>
      </c>
      <c r="BB44" s="2">
        <v>188769.96484375</v>
      </c>
      <c r="BC44" s="2" t="s">
        <v>79</v>
      </c>
      <c r="BD44" s="2" t="s">
        <v>79</v>
      </c>
      <c r="BE44" s="2" t="s">
        <v>79</v>
      </c>
      <c r="BF44" s="2" t="s">
        <v>79</v>
      </c>
      <c r="BG44" s="2" t="s">
        <v>79</v>
      </c>
      <c r="BH44" s="2" t="s">
        <v>91</v>
      </c>
      <c r="BI44" s="2" t="s">
        <v>91</v>
      </c>
      <c r="BJ44" s="2" t="s">
        <v>91</v>
      </c>
      <c r="BK44" s="2" t="s">
        <v>91</v>
      </c>
      <c r="BL44" s="2" t="s">
        <v>91</v>
      </c>
      <c r="BM44" s="2" t="s">
        <v>91</v>
      </c>
      <c r="BN44" s="2" t="s">
        <v>91</v>
      </c>
      <c r="BO44" s="2" t="s">
        <v>91</v>
      </c>
      <c r="BP44" s="2" t="s">
        <v>91</v>
      </c>
      <c r="BQ44" s="2" t="s">
        <v>91</v>
      </c>
      <c r="BR44" s="2" t="s">
        <v>79</v>
      </c>
      <c r="BS44" s="2" t="s">
        <v>79</v>
      </c>
      <c r="BT44" s="2" t="s">
        <v>79</v>
      </c>
      <c r="BU44" s="2" t="s">
        <v>79</v>
      </c>
      <c r="BV44" s="2" t="s">
        <v>79</v>
      </c>
      <c r="BW44" s="2" t="s">
        <v>79</v>
      </c>
      <c r="BX44" s="2" t="s">
        <v>91</v>
      </c>
      <c r="BY44" s="2" t="s">
        <v>79</v>
      </c>
      <c r="BZ44" s="2" t="s">
        <v>91</v>
      </c>
      <c r="CA44" s="2" t="s">
        <v>91</v>
      </c>
      <c r="CB44">
        <f>TTEST(AS44:AW44,AI44:AM44,2,2)</f>
        <v>1.1828274057192802E-5</v>
      </c>
      <c r="CC44">
        <f>TTEST(AD44:AH44,AI44:AM44,2,2)</f>
        <v>1.7567125394341627E-7</v>
      </c>
      <c r="CD44">
        <f>TTEST(AN44:AR44,AI44:AM44,2,2)</f>
        <v>5.983603300660376E-7</v>
      </c>
      <c r="CE44">
        <f>TTEST(AX44:BB44,AI44:AM44,2,2)</f>
        <v>1.1596858386313907E-5</v>
      </c>
      <c r="CF44">
        <v>27</v>
      </c>
      <c r="CG44">
        <v>27</v>
      </c>
      <c r="CH44">
        <v>4</v>
      </c>
      <c r="CI44">
        <v>29</v>
      </c>
      <c r="CJ44">
        <f>0.05*CF44/464</f>
        <v>2.9094827586206898E-3</v>
      </c>
      <c r="CK44">
        <f>0.05*CG44/464</f>
        <v>2.9094827586206898E-3</v>
      </c>
      <c r="CL44">
        <f>0.05*CH44/464</f>
        <v>4.3103448275862074E-4</v>
      </c>
      <c r="CM44">
        <f>0.05*CI44/464</f>
        <v>3.1250000000000002E-3</v>
      </c>
      <c r="CN44" t="str">
        <f>IF(CB44&lt;CJ44,"yes","no")</f>
        <v>yes</v>
      </c>
      <c r="CO44" t="str">
        <f>IF(CC44&lt;CK44,"yes","no")</f>
        <v>yes</v>
      </c>
      <c r="CP44" t="str">
        <f>IF(CD44&lt;CL44,"yes","no")</f>
        <v>yes</v>
      </c>
      <c r="CQ44" t="str">
        <f>IF(CE44&lt;CM44,"yes","no")</f>
        <v>yes</v>
      </c>
      <c r="CR44">
        <f>TTEST(AS44:AW44,AD44:AH44,2,2)</f>
        <v>0.1444181194561176</v>
      </c>
      <c r="CS44">
        <f>TTEST(AS44:AW44,AN44:AR44,2,2)</f>
        <v>1.4956309150690096E-5</v>
      </c>
      <c r="CT44">
        <f>TTEST(AS44:AW44,AX44:BB44,2,2)</f>
        <v>7.3985444418298661E-5</v>
      </c>
      <c r="CU44">
        <v>263</v>
      </c>
      <c r="CV44">
        <v>13</v>
      </c>
      <c r="CW44">
        <v>43</v>
      </c>
      <c r="CX44">
        <f t="shared" si="0"/>
        <v>2.8340517241379311E-2</v>
      </c>
      <c r="CY44">
        <f t="shared" si="1"/>
        <v>1.4008620689655172E-3</v>
      </c>
      <c r="CZ44">
        <f t="shared" si="2"/>
        <v>4.6336206896551721E-3</v>
      </c>
      <c r="DA44" t="str">
        <f>IF(CR44&lt;CX44,"yes","no")</f>
        <v>no</v>
      </c>
      <c r="DB44" t="str">
        <f>IF(CS44&lt;CY44,"yes","no")</f>
        <v>yes</v>
      </c>
      <c r="DC44" t="str">
        <f>IF(CT44&lt;CZ44,"yes","no")</f>
        <v>yes</v>
      </c>
    </row>
    <row r="45" spans="1:107" x14ac:dyDescent="0.2">
      <c r="A45" s="2" t="b">
        <v>0</v>
      </c>
      <c r="B45" s="2" t="s">
        <v>79</v>
      </c>
      <c r="C45" s="2" t="s">
        <v>80</v>
      </c>
      <c r="D45" s="2" t="s">
        <v>963</v>
      </c>
      <c r="E45" s="2" t="s">
        <v>964</v>
      </c>
      <c r="F45" s="2">
        <v>5</v>
      </c>
      <c r="G45" s="2">
        <v>5</v>
      </c>
      <c r="H45" s="2">
        <v>103.1</v>
      </c>
      <c r="I45" s="2">
        <v>5.41</v>
      </c>
      <c r="J45" s="2" t="s">
        <v>965</v>
      </c>
      <c r="K45" s="2" t="s">
        <v>145</v>
      </c>
      <c r="L45" s="2" t="s">
        <v>510</v>
      </c>
      <c r="M45" s="2" t="s">
        <v>83</v>
      </c>
      <c r="N45" s="2" t="s">
        <v>966</v>
      </c>
      <c r="O45" s="2">
        <v>8.7840000000000007</v>
      </c>
      <c r="P45" s="2">
        <v>4.7720000000000002</v>
      </c>
      <c r="Q45" s="2">
        <v>2.524</v>
      </c>
      <c r="R45" s="2">
        <v>0.80100000000000005</v>
      </c>
      <c r="S45" s="2">
        <v>6.7149999999999999</v>
      </c>
      <c r="T45" s="2">
        <v>3.524</v>
      </c>
      <c r="U45" s="2">
        <v>1.119</v>
      </c>
      <c r="V45" s="2">
        <v>0.53900000000000003</v>
      </c>
      <c r="W45" s="2">
        <v>0.14699999999999999</v>
      </c>
      <c r="X45" s="2">
        <v>0.45500000000000002</v>
      </c>
      <c r="Y45" s="2">
        <v>29.7</v>
      </c>
      <c r="Z45" s="2">
        <v>17.3</v>
      </c>
      <c r="AA45" s="2">
        <v>283.2</v>
      </c>
      <c r="AB45" s="2">
        <v>155.6</v>
      </c>
      <c r="AC45" s="2">
        <v>14.3</v>
      </c>
      <c r="AD45" s="2">
        <v>381001.5546875</v>
      </c>
      <c r="AE45" s="2">
        <v>463903.6640625</v>
      </c>
      <c r="AF45" s="2">
        <v>403244.56640625</v>
      </c>
      <c r="AG45" s="2">
        <v>507487.0625</v>
      </c>
      <c r="AH45" s="2">
        <v>250744.5234375</v>
      </c>
      <c r="AI45" s="2">
        <v>5772.9072265625</v>
      </c>
      <c r="AJ45" s="2">
        <v>5231.74755859375</v>
      </c>
      <c r="AK45" s="2">
        <v>3609.85302734375</v>
      </c>
      <c r="AL45" s="2" t="s">
        <v>83</v>
      </c>
      <c r="AM45" s="2">
        <v>7174.69921875</v>
      </c>
      <c r="AN45" s="2">
        <v>66780.892089843794</v>
      </c>
      <c r="AO45" s="2">
        <v>48822.173828125</v>
      </c>
      <c r="AP45" s="2">
        <v>102147.171875</v>
      </c>
      <c r="AQ45" s="2">
        <v>46559.330078125</v>
      </c>
      <c r="AR45" s="2">
        <v>108003.49707031299</v>
      </c>
      <c r="AS45" s="2">
        <v>267064.88671875</v>
      </c>
      <c r="AT45" s="2">
        <v>502956.4453125</v>
      </c>
      <c r="AU45" s="2">
        <v>255265.578125</v>
      </c>
      <c r="AV45" s="2">
        <v>333741.693359375</v>
      </c>
      <c r="AW45" s="2">
        <v>382834.94921875</v>
      </c>
      <c r="AX45" s="2">
        <v>10934.873046875</v>
      </c>
      <c r="AY45" s="2">
        <v>7765.87451171875</v>
      </c>
      <c r="AZ45" s="2">
        <v>12119.375</v>
      </c>
      <c r="BA45" s="2">
        <v>36112.459472656301</v>
      </c>
      <c r="BB45" s="2">
        <v>7160.57373046875</v>
      </c>
      <c r="BC45" s="2" t="s">
        <v>79</v>
      </c>
      <c r="BD45" s="2" t="s">
        <v>79</v>
      </c>
      <c r="BE45" s="2" t="s">
        <v>79</v>
      </c>
      <c r="BF45" s="2" t="s">
        <v>79</v>
      </c>
      <c r="BG45" s="2" t="s">
        <v>79</v>
      </c>
      <c r="BH45" s="2" t="s">
        <v>91</v>
      </c>
      <c r="BI45" s="2" t="s">
        <v>91</v>
      </c>
      <c r="BJ45" s="2" t="s">
        <v>91</v>
      </c>
      <c r="BK45" s="2" t="s">
        <v>98</v>
      </c>
      <c r="BL45" s="2" t="s">
        <v>91</v>
      </c>
      <c r="BM45" s="2" t="s">
        <v>91</v>
      </c>
      <c r="BN45" s="2" t="s">
        <v>91</v>
      </c>
      <c r="BO45" s="2" t="s">
        <v>79</v>
      </c>
      <c r="BP45" s="2" t="s">
        <v>91</v>
      </c>
      <c r="BQ45" s="2" t="s">
        <v>79</v>
      </c>
      <c r="BR45" s="2" t="s">
        <v>79</v>
      </c>
      <c r="BS45" s="2" t="s">
        <v>79</v>
      </c>
      <c r="BT45" s="2" t="s">
        <v>79</v>
      </c>
      <c r="BU45" s="2" t="s">
        <v>79</v>
      </c>
      <c r="BV45" s="2" t="s">
        <v>79</v>
      </c>
      <c r="BW45" s="2" t="s">
        <v>91</v>
      </c>
      <c r="BX45" s="2" t="s">
        <v>91</v>
      </c>
      <c r="BY45" s="2" t="s">
        <v>91</v>
      </c>
      <c r="BZ45" s="2" t="s">
        <v>91</v>
      </c>
      <c r="CA45" s="2" t="s">
        <v>91</v>
      </c>
      <c r="CB45">
        <f>TTEST(AS45:AW45,AI45:AM45,2,2)</f>
        <v>2.7396256172470553E-4</v>
      </c>
      <c r="CC45">
        <f>TTEST(AD45:AH45,AI45:AM45,2,2)</f>
        <v>9.2702174419684324E-5</v>
      </c>
      <c r="CD45">
        <f>TTEST(AN45:AR45,AI45:AM45,2,2)</f>
        <v>2.279392021337492E-3</v>
      </c>
      <c r="CE45">
        <f>TTEST(AX45:BB45,AI45:AM45,2,2)</f>
        <v>0.17212523950761463</v>
      </c>
      <c r="CF45">
        <v>84</v>
      </c>
      <c r="CG45">
        <v>111</v>
      </c>
      <c r="CH45">
        <v>81</v>
      </c>
      <c r="CI45">
        <v>128</v>
      </c>
      <c r="CJ45">
        <f>0.05*CF45/464</f>
        <v>9.0517241379310352E-3</v>
      </c>
      <c r="CK45">
        <f>0.05*CG45/464</f>
        <v>1.1961206896551725E-2</v>
      </c>
      <c r="CL45">
        <f>0.05*CH45/464</f>
        <v>8.7284482758620691E-3</v>
      </c>
      <c r="CM45">
        <f>0.05*CI45/464</f>
        <v>1.3793103448275864E-2</v>
      </c>
      <c r="CN45" t="str">
        <f>IF(CB45&lt;CJ45,"yes","no")</f>
        <v>yes</v>
      </c>
      <c r="CO45" t="str">
        <f>IF(CC45&lt;CK45,"yes","no")</f>
        <v>yes</v>
      </c>
      <c r="CP45" t="str">
        <f>IF(CD45&lt;CL45,"yes","no")</f>
        <v>yes</v>
      </c>
      <c r="CQ45" t="str">
        <f>IF(CE45&lt;CM45,"yes","no")</f>
        <v>no</v>
      </c>
      <c r="CR45">
        <f>TTEST(AS45:AW45,AD45:AH45,2,2)</f>
        <v>0.42396363637351187</v>
      </c>
      <c r="CS45">
        <f>TTEST(AS45:AW45,AN45:AR45,2,2)</f>
        <v>3.8619600656516974E-4</v>
      </c>
      <c r="CT45">
        <f>TTEST(AS45:AW45,AX45:BB45,2,2)</f>
        <v>7.974911581309895E-5</v>
      </c>
      <c r="CU45">
        <v>290</v>
      </c>
      <c r="CV45">
        <v>79</v>
      </c>
      <c r="CW45">
        <v>44</v>
      </c>
      <c r="CX45">
        <f t="shared" si="0"/>
        <v>3.125E-2</v>
      </c>
      <c r="CY45">
        <f t="shared" si="1"/>
        <v>8.5129310344827583E-3</v>
      </c>
      <c r="CZ45">
        <f t="shared" si="2"/>
        <v>4.7413793103448284E-3</v>
      </c>
      <c r="DA45" t="str">
        <f>IF(CR45&lt;CX45,"yes","no")</f>
        <v>no</v>
      </c>
      <c r="DB45" t="str">
        <f>IF(CS45&lt;CY45,"yes","no")</f>
        <v>yes</v>
      </c>
      <c r="DC45" t="str">
        <f>IF(CT45&lt;CZ45,"yes","no")</f>
        <v>yes</v>
      </c>
    </row>
    <row r="46" spans="1:107" x14ac:dyDescent="0.2">
      <c r="A46" s="2" t="b">
        <v>0</v>
      </c>
      <c r="B46" s="2" t="s">
        <v>79</v>
      </c>
      <c r="C46" s="2" t="s">
        <v>80</v>
      </c>
      <c r="D46" s="2" t="s">
        <v>636</v>
      </c>
      <c r="E46" s="2" t="s">
        <v>637</v>
      </c>
      <c r="F46" s="2">
        <v>3</v>
      </c>
      <c r="G46" s="2">
        <v>2</v>
      </c>
      <c r="H46" s="2">
        <v>17.2</v>
      </c>
      <c r="I46" s="2">
        <v>8.18</v>
      </c>
      <c r="J46" s="2" t="s">
        <v>254</v>
      </c>
      <c r="K46" s="2" t="s">
        <v>84</v>
      </c>
      <c r="L46" s="2" t="s">
        <v>83</v>
      </c>
      <c r="M46" s="2" t="s">
        <v>83</v>
      </c>
      <c r="N46" s="2" t="s">
        <v>636</v>
      </c>
      <c r="O46" s="2">
        <v>1.242</v>
      </c>
      <c r="P46" s="2">
        <v>0.61</v>
      </c>
      <c r="Q46" s="2">
        <v>0.374</v>
      </c>
      <c r="R46" s="2">
        <v>5.5190000000000001</v>
      </c>
      <c r="S46" s="2">
        <v>8.2249999999999996</v>
      </c>
      <c r="T46" s="2">
        <v>2.8119999999999998</v>
      </c>
      <c r="U46" s="2">
        <v>1.613</v>
      </c>
      <c r="V46" s="2">
        <v>0.48099999999999998</v>
      </c>
      <c r="W46" s="2">
        <v>0.32400000000000001</v>
      </c>
      <c r="X46" s="2">
        <v>0.69299999999999995</v>
      </c>
      <c r="Y46" s="2">
        <v>154.4</v>
      </c>
      <c r="Z46" s="2">
        <v>14.1</v>
      </c>
      <c r="AA46" s="2">
        <v>171.8</v>
      </c>
      <c r="AB46" s="2">
        <v>95.3</v>
      </c>
      <c r="AC46" s="2">
        <v>64.3</v>
      </c>
      <c r="AD46" s="2">
        <v>7030013.21875</v>
      </c>
      <c r="AE46" s="2">
        <v>5187302.9296875</v>
      </c>
      <c r="AF46" s="2">
        <v>4886542.40625</v>
      </c>
      <c r="AG46" s="2">
        <v>6532047.4765625</v>
      </c>
      <c r="AH46" s="2">
        <v>4931592.9296875</v>
      </c>
      <c r="AI46" s="2">
        <v>15766.138183593799</v>
      </c>
      <c r="AJ46" s="2">
        <v>6823.12890625</v>
      </c>
      <c r="AK46" s="2">
        <v>8938.1052246093805</v>
      </c>
      <c r="AL46" s="2">
        <v>7563.59521484375</v>
      </c>
      <c r="AM46" s="2">
        <v>9706.7839355468805</v>
      </c>
      <c r="AN46" s="2">
        <v>99975.2890625</v>
      </c>
      <c r="AO46" s="2">
        <v>124634.455078125</v>
      </c>
      <c r="AP46" s="2">
        <v>219945.10546875</v>
      </c>
      <c r="AQ46" s="2">
        <v>124455.67578125</v>
      </c>
      <c r="AR46" s="2">
        <v>148840.8984375</v>
      </c>
      <c r="AS46" s="2">
        <v>486800.65625</v>
      </c>
      <c r="AT46" s="2">
        <v>788655.6328125</v>
      </c>
      <c r="AU46" s="2">
        <v>447623.640625</v>
      </c>
      <c r="AV46" s="2">
        <v>547735.9453125</v>
      </c>
      <c r="AW46" s="2">
        <v>552738.7421875</v>
      </c>
      <c r="AX46" s="2">
        <v>113456.25390625</v>
      </c>
      <c r="AY46" s="2">
        <v>126644.79296875</v>
      </c>
      <c r="AZ46" s="2">
        <v>156770.7109375</v>
      </c>
      <c r="BA46" s="2">
        <v>135597.8046875</v>
      </c>
      <c r="BB46" s="2">
        <v>111728.6640625</v>
      </c>
      <c r="BC46" s="2" t="s">
        <v>79</v>
      </c>
      <c r="BD46" s="2" t="s">
        <v>79</v>
      </c>
      <c r="BE46" s="2" t="s">
        <v>79</v>
      </c>
      <c r="BF46" s="2" t="s">
        <v>79</v>
      </c>
      <c r="BG46" s="2" t="s">
        <v>79</v>
      </c>
      <c r="BH46" s="2" t="s">
        <v>98</v>
      </c>
      <c r="BI46" s="2" t="s">
        <v>98</v>
      </c>
      <c r="BJ46" s="2" t="s">
        <v>98</v>
      </c>
      <c r="BK46" s="2" t="s">
        <v>98</v>
      </c>
      <c r="BL46" s="2" t="s">
        <v>98</v>
      </c>
      <c r="BM46" s="2" t="s">
        <v>91</v>
      </c>
      <c r="BN46" s="2" t="s">
        <v>79</v>
      </c>
      <c r="BO46" s="2" t="s">
        <v>79</v>
      </c>
      <c r="BP46" s="2" t="s">
        <v>91</v>
      </c>
      <c r="BQ46" s="2" t="s">
        <v>91</v>
      </c>
      <c r="BR46" s="2" t="s">
        <v>79</v>
      </c>
      <c r="BS46" s="2" t="s">
        <v>79</v>
      </c>
      <c r="BT46" s="2" t="s">
        <v>79</v>
      </c>
      <c r="BU46" s="2" t="s">
        <v>79</v>
      </c>
      <c r="BV46" s="2" t="s">
        <v>79</v>
      </c>
      <c r="BW46" s="2" t="s">
        <v>91</v>
      </c>
      <c r="BX46" s="2" t="s">
        <v>91</v>
      </c>
      <c r="BY46" s="2" t="s">
        <v>91</v>
      </c>
      <c r="BZ46" s="2" t="s">
        <v>91</v>
      </c>
      <c r="CA46" s="2" t="s">
        <v>79</v>
      </c>
      <c r="CB46">
        <f>TTEST(AS46:AW46,AI46:AM46,2,2)</f>
        <v>1.395516398298332E-5</v>
      </c>
      <c r="CC46">
        <f>TTEST(AD46:AH46,AI46:AM46,2,2)</f>
        <v>1.3143214551341646E-6</v>
      </c>
      <c r="CD46">
        <f>TTEST(AN46:AR46,AI46:AM46,2,2)</f>
        <v>1.926758604800489E-4</v>
      </c>
      <c r="CE46">
        <f>TTEST(AX46:BB46,AI46:AM46,2,2)</f>
        <v>5.9508961440163067E-7</v>
      </c>
      <c r="CF46">
        <v>29</v>
      </c>
      <c r="CG46">
        <v>58</v>
      </c>
      <c r="CH46">
        <v>53</v>
      </c>
      <c r="CI46">
        <v>13</v>
      </c>
      <c r="CJ46">
        <f>0.05*CF46/464</f>
        <v>3.1250000000000002E-3</v>
      </c>
      <c r="CK46">
        <f>0.05*CG46/464</f>
        <v>6.2500000000000003E-3</v>
      </c>
      <c r="CL46">
        <f>0.05*CH46/464</f>
        <v>5.7112068965517251E-3</v>
      </c>
      <c r="CM46">
        <f>0.05*CI46/464</f>
        <v>1.4008620689655172E-3</v>
      </c>
      <c r="CN46" t="str">
        <f>IF(CB46&lt;CJ46,"yes","no")</f>
        <v>yes</v>
      </c>
      <c r="CO46" t="str">
        <f>IF(CC46&lt;CK46,"yes","no")</f>
        <v>yes</v>
      </c>
      <c r="CP46" t="str">
        <f>IF(CD46&lt;CL46,"yes","no")</f>
        <v>yes</v>
      </c>
      <c r="CQ46" t="str">
        <f>IF(CE46&lt;CM46,"yes","no")</f>
        <v>yes</v>
      </c>
      <c r="CR46">
        <f>TTEST(AS46:AW46,AD46:AH46,2,2)</f>
        <v>3.067254388774853E-6</v>
      </c>
      <c r="CS46">
        <f>TTEST(AS46:AW46,AN46:AR46,2,2)</f>
        <v>1.5156050201684782E-4</v>
      </c>
      <c r="CT46">
        <f>TTEST(AS46:AW46,AX46:BB46,2,2)</f>
        <v>8.5645496583880432E-5</v>
      </c>
      <c r="CU46">
        <v>69</v>
      </c>
      <c r="CV46">
        <v>49</v>
      </c>
      <c r="CW46">
        <v>45</v>
      </c>
      <c r="CX46">
        <f t="shared" si="0"/>
        <v>7.435344827586207E-3</v>
      </c>
      <c r="CY46">
        <f t="shared" si="1"/>
        <v>5.2801724137931036E-3</v>
      </c>
      <c r="CZ46">
        <f t="shared" si="2"/>
        <v>4.8491379310344829E-3</v>
      </c>
      <c r="DA46" t="str">
        <f>IF(CR46&lt;CX46,"yes","no")</f>
        <v>yes</v>
      </c>
      <c r="DB46" t="str">
        <f>IF(CS46&lt;CY46,"yes","no")</f>
        <v>yes</v>
      </c>
      <c r="DC46" t="str">
        <f>IF(CT46&lt;CZ46,"yes","no")</f>
        <v>yes</v>
      </c>
    </row>
    <row r="47" spans="1:107" x14ac:dyDescent="0.2">
      <c r="A47" s="2" t="b">
        <v>0</v>
      </c>
      <c r="B47" s="2" t="s">
        <v>79</v>
      </c>
      <c r="C47" s="2" t="s">
        <v>80</v>
      </c>
      <c r="D47" s="2" t="s">
        <v>947</v>
      </c>
      <c r="E47" s="2" t="s">
        <v>948</v>
      </c>
      <c r="F47" s="2">
        <v>1</v>
      </c>
      <c r="G47" s="2">
        <v>1</v>
      </c>
      <c r="H47" s="2">
        <v>13.5</v>
      </c>
      <c r="I47" s="2">
        <v>5.78</v>
      </c>
      <c r="J47" s="2" t="s">
        <v>254</v>
      </c>
      <c r="K47" s="2" t="s">
        <v>319</v>
      </c>
      <c r="L47" s="2" t="s">
        <v>83</v>
      </c>
      <c r="M47" s="2" t="s">
        <v>83</v>
      </c>
      <c r="N47" s="2" t="s">
        <v>947</v>
      </c>
      <c r="O47" s="2">
        <v>0.81299999999999994</v>
      </c>
      <c r="P47" s="2">
        <v>1.911</v>
      </c>
      <c r="Q47" s="2">
        <v>2.1989999999999998</v>
      </c>
      <c r="R47" s="2">
        <v>2.4350000000000001</v>
      </c>
      <c r="S47" s="2">
        <v>1.9410000000000001</v>
      </c>
      <c r="T47" s="2">
        <v>4.4020000000000001</v>
      </c>
      <c r="U47" s="2">
        <v>5.0119999999999996</v>
      </c>
      <c r="V47" s="2">
        <v>2.3140000000000001</v>
      </c>
      <c r="W47" s="2">
        <v>2.585</v>
      </c>
      <c r="X47" s="2">
        <v>1.143</v>
      </c>
      <c r="Y47" s="2">
        <v>78.2</v>
      </c>
      <c r="Z47" s="2">
        <v>34</v>
      </c>
      <c r="AA47" s="2">
        <v>66.3</v>
      </c>
      <c r="AB47" s="2">
        <v>149.5</v>
      </c>
      <c r="AC47" s="2">
        <v>172.1</v>
      </c>
      <c r="AD47" s="2">
        <v>890876.375</v>
      </c>
      <c r="AE47" s="2">
        <v>438021.25</v>
      </c>
      <c r="AF47" s="2">
        <v>277427.6875</v>
      </c>
      <c r="AG47" s="2">
        <v>1669318.25</v>
      </c>
      <c r="AH47" s="2">
        <v>1524228.625</v>
      </c>
      <c r="AI47" s="2">
        <v>4271.84716796875</v>
      </c>
      <c r="AJ47" s="2">
        <v>7134.28271484375</v>
      </c>
      <c r="AK47" s="2">
        <v>6467.53466796875</v>
      </c>
      <c r="AL47" s="2">
        <v>8074.17724609375</v>
      </c>
      <c r="AM47" s="2">
        <v>7927.93408203125</v>
      </c>
      <c r="AN47" s="2">
        <v>6197.19482421875</v>
      </c>
      <c r="AO47" s="2">
        <v>9562.7958984375</v>
      </c>
      <c r="AP47" s="2" t="s">
        <v>83</v>
      </c>
      <c r="AQ47" s="2">
        <v>15042.697265625</v>
      </c>
      <c r="AR47" s="2">
        <v>23024.794921875</v>
      </c>
      <c r="AS47" s="2">
        <v>205976.109375</v>
      </c>
      <c r="AT47" s="2">
        <v>309169.46875</v>
      </c>
      <c r="AU47" s="2">
        <v>199586.828125</v>
      </c>
      <c r="AV47" s="2">
        <v>237028.546875</v>
      </c>
      <c r="AW47" s="2">
        <v>239492.484375</v>
      </c>
      <c r="AX47" s="2">
        <v>72003.6328125</v>
      </c>
      <c r="AY47" s="2">
        <v>99550.203125</v>
      </c>
      <c r="AZ47" s="2">
        <v>107232.8671875</v>
      </c>
      <c r="BA47" s="2">
        <v>85067.875</v>
      </c>
      <c r="BB47" s="2">
        <v>87767.71875</v>
      </c>
      <c r="BC47" s="2" t="s">
        <v>79</v>
      </c>
      <c r="BD47" s="2" t="s">
        <v>79</v>
      </c>
      <c r="BE47" s="2" t="s">
        <v>79</v>
      </c>
      <c r="BF47" s="2" t="s">
        <v>79</v>
      </c>
      <c r="BG47" s="2" t="s">
        <v>79</v>
      </c>
      <c r="BH47" s="2" t="s">
        <v>91</v>
      </c>
      <c r="BI47" s="2" t="s">
        <v>91</v>
      </c>
      <c r="BJ47" s="2" t="s">
        <v>91</v>
      </c>
      <c r="BK47" s="2" t="s">
        <v>91</v>
      </c>
      <c r="BL47" s="2" t="s">
        <v>91</v>
      </c>
      <c r="BM47" s="2" t="s">
        <v>91</v>
      </c>
      <c r="BN47" s="2" t="s">
        <v>91</v>
      </c>
      <c r="BO47" s="2" t="s">
        <v>98</v>
      </c>
      <c r="BP47" s="2" t="s">
        <v>91</v>
      </c>
      <c r="BQ47" s="2" t="s">
        <v>91</v>
      </c>
      <c r="BR47" s="2" t="s">
        <v>79</v>
      </c>
      <c r="BS47" s="2" t="s">
        <v>79</v>
      </c>
      <c r="BT47" s="2" t="s">
        <v>79</v>
      </c>
      <c r="BU47" s="2" t="s">
        <v>79</v>
      </c>
      <c r="BV47" s="2" t="s">
        <v>79</v>
      </c>
      <c r="BW47" s="2" t="s">
        <v>79</v>
      </c>
      <c r="BX47" s="2" t="s">
        <v>91</v>
      </c>
      <c r="BY47" s="2" t="s">
        <v>79</v>
      </c>
      <c r="BZ47" s="2" t="s">
        <v>79</v>
      </c>
      <c r="CA47" s="2" t="s">
        <v>79</v>
      </c>
      <c r="CB47">
        <f>TTEST(AS47:AW47,AI47:AM47,2,2)</f>
        <v>2.2978436642577655E-6</v>
      </c>
      <c r="CC47">
        <f>TTEST(AD47:AH47,AI47:AM47,2,2)</f>
        <v>9.2513137590133198E-3</v>
      </c>
      <c r="CD47">
        <f>TTEST(AN47:AR47,AI47:AM47,2,2)</f>
        <v>8.4028019931452494E-2</v>
      </c>
      <c r="CE47">
        <f>TTEST(AX47:BB47,AI47:AM47,2,2)</f>
        <v>8.0304217202881983E-7</v>
      </c>
      <c r="CF47">
        <v>10</v>
      </c>
      <c r="CG47">
        <v>161</v>
      </c>
      <c r="CH47">
        <v>130</v>
      </c>
      <c r="CI47">
        <v>15</v>
      </c>
      <c r="CJ47">
        <f>0.05*CF47/464</f>
        <v>1.0775862068965517E-3</v>
      </c>
      <c r="CK47">
        <f>0.05*CG47/464</f>
        <v>1.7349137931034483E-2</v>
      </c>
      <c r="CL47">
        <f>0.05*CH47/464</f>
        <v>1.4008620689655173E-2</v>
      </c>
      <c r="CM47">
        <f>0.05*CI47/464</f>
        <v>1.6163793103448276E-3</v>
      </c>
      <c r="CN47" t="str">
        <f>IF(CB47&lt;CJ47,"yes","no")</f>
        <v>yes</v>
      </c>
      <c r="CO47" t="str">
        <f>IF(CC47&lt;CK47,"yes","no")</f>
        <v>yes</v>
      </c>
      <c r="CP47" t="str">
        <f>IF(CD47&lt;CL47,"yes","no")</f>
        <v>no</v>
      </c>
      <c r="CQ47" t="str">
        <f>IF(CE47&lt;CM47,"yes","no")</f>
        <v>yes</v>
      </c>
      <c r="CR47">
        <f>TTEST(AS47:AW47,AD47:AH47,2,2)</f>
        <v>3.2914954739562137E-2</v>
      </c>
      <c r="CS47">
        <f>TTEST(AS47:AW47,AN47:AR47,2,2)</f>
        <v>2.0252886446348669E-5</v>
      </c>
      <c r="CT47">
        <f>TTEST(AS47:AW47,AX47:BB47,2,2)</f>
        <v>8.7448993169469266E-5</v>
      </c>
      <c r="CU47">
        <v>217</v>
      </c>
      <c r="CV47">
        <v>19</v>
      </c>
      <c r="CW47">
        <v>46</v>
      </c>
      <c r="CX47">
        <f t="shared" si="0"/>
        <v>2.3383620689655174E-2</v>
      </c>
      <c r="CY47">
        <f t="shared" si="1"/>
        <v>2.0474137931034485E-3</v>
      </c>
      <c r="CZ47">
        <f t="shared" si="2"/>
        <v>4.9568965517241383E-3</v>
      </c>
      <c r="DA47" t="str">
        <f>IF(CR47&lt;CX47,"yes","no")</f>
        <v>no</v>
      </c>
      <c r="DB47" t="str">
        <f>IF(CS47&lt;CY47,"yes","no")</f>
        <v>yes</v>
      </c>
      <c r="DC47" t="str">
        <f>IF(CT47&lt;CZ47,"yes","no")</f>
        <v>yes</v>
      </c>
    </row>
    <row r="48" spans="1:107" x14ac:dyDescent="0.2">
      <c r="A48" s="2" t="b">
        <v>0</v>
      </c>
      <c r="B48" s="2" t="s">
        <v>79</v>
      </c>
      <c r="C48" s="2" t="s">
        <v>80</v>
      </c>
      <c r="D48" s="2" t="s">
        <v>224</v>
      </c>
      <c r="E48" s="2" t="s">
        <v>225</v>
      </c>
      <c r="F48" s="2">
        <v>11</v>
      </c>
      <c r="G48" s="2">
        <v>7</v>
      </c>
      <c r="H48" s="2">
        <v>50.9</v>
      </c>
      <c r="I48" s="2">
        <v>8.06</v>
      </c>
      <c r="J48" s="2" t="s">
        <v>83</v>
      </c>
      <c r="K48" s="2" t="s">
        <v>83</v>
      </c>
      <c r="L48" s="2" t="s">
        <v>83</v>
      </c>
      <c r="M48" s="2" t="s">
        <v>83</v>
      </c>
      <c r="N48" s="2" t="s">
        <v>224</v>
      </c>
      <c r="O48" s="2">
        <v>1.74</v>
      </c>
      <c r="P48" s="2">
        <v>0.70799999999999996</v>
      </c>
      <c r="Q48" s="2">
        <v>0.82099999999999995</v>
      </c>
      <c r="R48" s="2">
        <v>2.8079999999999998</v>
      </c>
      <c r="S48" s="2">
        <v>4.4279999999999999</v>
      </c>
      <c r="T48" s="2">
        <v>1.6830000000000001</v>
      </c>
      <c r="U48" s="2">
        <v>2.161</v>
      </c>
      <c r="V48" s="2">
        <v>0.309</v>
      </c>
      <c r="W48" s="2">
        <v>0.441</v>
      </c>
      <c r="X48" s="2">
        <v>1.2330000000000001</v>
      </c>
      <c r="Y48" s="2">
        <v>120.2</v>
      </c>
      <c r="Z48" s="2">
        <v>34.700000000000003</v>
      </c>
      <c r="AA48" s="2">
        <v>194</v>
      </c>
      <c r="AB48" s="2">
        <v>70.599999999999994</v>
      </c>
      <c r="AC48" s="2">
        <v>80.5</v>
      </c>
      <c r="AD48" s="2">
        <v>56254258.287109397</v>
      </c>
      <c r="AE48" s="2">
        <v>46992061.6484375</v>
      </c>
      <c r="AF48" s="2">
        <v>44422227.671875</v>
      </c>
      <c r="AG48" s="2">
        <v>42249963.222656302</v>
      </c>
      <c r="AH48" s="2">
        <v>38380937.464843802</v>
      </c>
      <c r="AI48" s="2">
        <v>439474.36572265602</v>
      </c>
      <c r="AJ48" s="2">
        <v>299490.68896484398</v>
      </c>
      <c r="AK48" s="2">
        <v>287379.44311523403</v>
      </c>
      <c r="AL48" s="2">
        <v>322905.40869140602</v>
      </c>
      <c r="AM48" s="2">
        <v>218321.23535156299</v>
      </c>
      <c r="AN48" s="2">
        <v>1403078.65380859</v>
      </c>
      <c r="AO48" s="2">
        <v>1339229.8212890599</v>
      </c>
      <c r="AP48" s="2">
        <v>1687190.9160156299</v>
      </c>
      <c r="AQ48" s="2">
        <v>1294803.88671875</v>
      </c>
      <c r="AR48" s="2">
        <v>2016196.9877929699</v>
      </c>
      <c r="AS48" s="2">
        <v>4329251.1162109403</v>
      </c>
      <c r="AT48" s="2">
        <v>6093022.1875</v>
      </c>
      <c r="AU48" s="2">
        <v>3869227.8046875</v>
      </c>
      <c r="AV48" s="2">
        <v>4169188.8671875</v>
      </c>
      <c r="AW48" s="2">
        <v>4441579.8105468797</v>
      </c>
      <c r="AX48" s="2">
        <v>1589507.9277343799</v>
      </c>
      <c r="AY48" s="2">
        <v>1806080.3457031299</v>
      </c>
      <c r="AZ48" s="2">
        <v>1879336.8310546901</v>
      </c>
      <c r="BA48" s="2">
        <v>1791735.73046875</v>
      </c>
      <c r="BB48" s="2">
        <v>1566175.3359375</v>
      </c>
      <c r="BC48" s="2" t="s">
        <v>79</v>
      </c>
      <c r="BD48" s="2" t="s">
        <v>79</v>
      </c>
      <c r="BE48" s="2" t="s">
        <v>79</v>
      </c>
      <c r="BF48" s="2" t="s">
        <v>79</v>
      </c>
      <c r="BG48" s="2" t="s">
        <v>79</v>
      </c>
      <c r="BH48" s="2" t="s">
        <v>79</v>
      </c>
      <c r="BI48" s="2" t="s">
        <v>91</v>
      </c>
      <c r="BJ48" s="2" t="s">
        <v>79</v>
      </c>
      <c r="BK48" s="2" t="s">
        <v>79</v>
      </c>
      <c r="BL48" s="2" t="s">
        <v>79</v>
      </c>
      <c r="BM48" s="2" t="s">
        <v>79</v>
      </c>
      <c r="BN48" s="2" t="s">
        <v>79</v>
      </c>
      <c r="BO48" s="2" t="s">
        <v>79</v>
      </c>
      <c r="BP48" s="2" t="s">
        <v>79</v>
      </c>
      <c r="BQ48" s="2" t="s">
        <v>79</v>
      </c>
      <c r="BR48" s="2" t="s">
        <v>79</v>
      </c>
      <c r="BS48" s="2" t="s">
        <v>79</v>
      </c>
      <c r="BT48" s="2" t="s">
        <v>79</v>
      </c>
      <c r="BU48" s="2" t="s">
        <v>79</v>
      </c>
      <c r="BV48" s="2" t="s">
        <v>79</v>
      </c>
      <c r="BW48" s="2" t="s">
        <v>79</v>
      </c>
      <c r="BX48" s="2" t="s">
        <v>79</v>
      </c>
      <c r="BY48" s="2" t="s">
        <v>79</v>
      </c>
      <c r="BZ48" s="2" t="s">
        <v>79</v>
      </c>
      <c r="CA48" s="2" t="s">
        <v>79</v>
      </c>
      <c r="CB48">
        <f>TTEST(AS48:AW48,AI48:AM48,2,2)</f>
        <v>4.4793850049282355E-6</v>
      </c>
      <c r="CC48">
        <f>TTEST(AD48:AH48,AI48:AM48,2,2)</f>
        <v>3.6453859626583213E-7</v>
      </c>
      <c r="CD48">
        <f>TTEST(AN48:AR48,AI48:AM48,2,2)</f>
        <v>2.1757478101388956E-5</v>
      </c>
      <c r="CE48">
        <f>TTEST(AX48:BB48,AI48:AM48,2,2)</f>
        <v>4.8401967873373275E-8</v>
      </c>
      <c r="CF48">
        <v>18</v>
      </c>
      <c r="CG48">
        <v>38</v>
      </c>
      <c r="CH48">
        <v>28</v>
      </c>
      <c r="CI48">
        <v>5</v>
      </c>
      <c r="CJ48">
        <f>0.05*CF48/464</f>
        <v>1.9396551724137931E-3</v>
      </c>
      <c r="CK48">
        <f>0.05*CG48/464</f>
        <v>4.0948275862068969E-3</v>
      </c>
      <c r="CL48">
        <f>0.05*CH48/464</f>
        <v>3.0172413793103452E-3</v>
      </c>
      <c r="CM48">
        <f>0.05*CI48/464</f>
        <v>5.3879310344827585E-4</v>
      </c>
      <c r="CN48" t="str">
        <f>IF(CB48&lt;CJ48,"yes","no")</f>
        <v>yes</v>
      </c>
      <c r="CO48" t="str">
        <f>IF(CC48&lt;CK48,"yes","no")</f>
        <v>yes</v>
      </c>
      <c r="CP48" t="str">
        <f>IF(CD48&lt;CL48,"yes","no")</f>
        <v>yes</v>
      </c>
      <c r="CQ48" t="str">
        <f>IF(CE48&lt;CM48,"yes","no")</f>
        <v>yes</v>
      </c>
      <c r="CR48">
        <f>TTEST(AS48:AW48,AD48:AH48,2,2)</f>
        <v>8.3435131296849006E-7</v>
      </c>
      <c r="CS48">
        <f>TTEST(AS48:AW48,AN48:AR48,2,2)</f>
        <v>8.0630797511300629E-5</v>
      </c>
      <c r="CT48">
        <f>TTEST(AS48:AW48,AX48:BB48,2,2)</f>
        <v>9.0541104981208418E-5</v>
      </c>
      <c r="CU48">
        <v>49</v>
      </c>
      <c r="CV48">
        <v>39</v>
      </c>
      <c r="CW48">
        <v>47</v>
      </c>
      <c r="CX48">
        <f t="shared" si="0"/>
        <v>5.2801724137931036E-3</v>
      </c>
      <c r="CY48">
        <f t="shared" si="1"/>
        <v>4.2025862068965523E-3</v>
      </c>
      <c r="CZ48">
        <f t="shared" si="2"/>
        <v>5.0646551724137937E-3</v>
      </c>
      <c r="DA48" t="str">
        <f>IF(CR48&lt;CX48,"yes","no")</f>
        <v>yes</v>
      </c>
      <c r="DB48" t="str">
        <f>IF(CS48&lt;CY48,"yes","no")</f>
        <v>yes</v>
      </c>
      <c r="DC48" t="str">
        <f>IF(CT48&lt;CZ48,"yes","no")</f>
        <v>yes</v>
      </c>
    </row>
    <row r="49" spans="1:107" x14ac:dyDescent="0.2">
      <c r="A49" s="2" t="b">
        <v>0</v>
      </c>
      <c r="B49" s="2" t="s">
        <v>79</v>
      </c>
      <c r="C49" s="2" t="s">
        <v>80</v>
      </c>
      <c r="D49" s="2" t="s">
        <v>184</v>
      </c>
      <c r="E49" s="2" t="s">
        <v>185</v>
      </c>
      <c r="F49" s="2">
        <v>42</v>
      </c>
      <c r="G49" s="2">
        <v>42</v>
      </c>
      <c r="H49" s="2">
        <v>536.1</v>
      </c>
      <c r="I49" s="2">
        <v>7.33</v>
      </c>
      <c r="J49" s="2" t="s">
        <v>186</v>
      </c>
      <c r="K49" s="2" t="s">
        <v>187</v>
      </c>
      <c r="L49" s="2" t="s">
        <v>188</v>
      </c>
      <c r="M49" s="2" t="s">
        <v>189</v>
      </c>
      <c r="N49" s="2" t="s">
        <v>184</v>
      </c>
      <c r="O49" s="2">
        <v>2.3359999999999999</v>
      </c>
      <c r="P49" s="2">
        <v>0.72299999999999998</v>
      </c>
      <c r="Q49" s="2">
        <v>1.593</v>
      </c>
      <c r="R49" s="2">
        <v>0.26</v>
      </c>
      <c r="S49" s="2">
        <v>0.996</v>
      </c>
      <c r="T49" s="2">
        <v>0.32600000000000001</v>
      </c>
      <c r="U49" s="2">
        <v>0.42299999999999999</v>
      </c>
      <c r="V49" s="2">
        <v>0.17299999999999999</v>
      </c>
      <c r="W49" s="2">
        <v>0.42</v>
      </c>
      <c r="X49" s="2">
        <v>1.4950000000000001</v>
      </c>
      <c r="Y49" s="2">
        <v>53.1</v>
      </c>
      <c r="Z49" s="2">
        <v>136.19999999999999</v>
      </c>
      <c r="AA49" s="2">
        <v>142.19999999999999</v>
      </c>
      <c r="AB49" s="2">
        <v>66.7</v>
      </c>
      <c r="AC49" s="2">
        <v>101.8</v>
      </c>
      <c r="AD49" s="2">
        <v>7774663.8730468797</v>
      </c>
      <c r="AE49" s="2">
        <v>9200547.9921875</v>
      </c>
      <c r="AF49" s="2">
        <v>8204960.1767578097</v>
      </c>
      <c r="AG49" s="2">
        <v>7632504.8046875</v>
      </c>
      <c r="AH49" s="2">
        <v>7715425.1484375</v>
      </c>
      <c r="AI49" s="2">
        <v>606744.97363281297</v>
      </c>
      <c r="AJ49" s="2">
        <v>363118.97314453102</v>
      </c>
      <c r="AK49" s="2">
        <v>402629.83679199201</v>
      </c>
      <c r="AL49" s="2">
        <v>468139.64941406302</v>
      </c>
      <c r="AM49" s="2">
        <v>343143.71386718802</v>
      </c>
      <c r="AN49" s="2">
        <v>343094.34936523403</v>
      </c>
      <c r="AO49" s="2">
        <v>358059.58911132801</v>
      </c>
      <c r="AP49" s="2">
        <v>427723.79052734398</v>
      </c>
      <c r="AQ49" s="2">
        <v>377527.25756835903</v>
      </c>
      <c r="AR49" s="2">
        <v>562504.77050781297</v>
      </c>
      <c r="AS49" s="2">
        <v>1411171.8359375</v>
      </c>
      <c r="AT49" s="2">
        <v>1800349.7177734401</v>
      </c>
      <c r="AU49" s="2">
        <v>1355979.39208984</v>
      </c>
      <c r="AV49" s="2">
        <v>1563566.0830078099</v>
      </c>
      <c r="AW49" s="2">
        <v>1669922.4135742199</v>
      </c>
      <c r="AX49" s="2">
        <v>594241.61279296898</v>
      </c>
      <c r="AY49" s="2">
        <v>929532.24365234398</v>
      </c>
      <c r="AZ49" s="2">
        <v>946899.51318359398</v>
      </c>
      <c r="BA49" s="2">
        <v>769439.89355468797</v>
      </c>
      <c r="BB49" s="2">
        <v>825540.73046875</v>
      </c>
      <c r="BC49" s="2" t="s">
        <v>79</v>
      </c>
      <c r="BD49" s="2" t="s">
        <v>79</v>
      </c>
      <c r="BE49" s="2" t="s">
        <v>79</v>
      </c>
      <c r="BF49" s="2" t="s">
        <v>79</v>
      </c>
      <c r="BG49" s="2" t="s">
        <v>79</v>
      </c>
      <c r="BH49" s="2" t="s">
        <v>91</v>
      </c>
      <c r="BI49" s="2" t="s">
        <v>91</v>
      </c>
      <c r="BJ49" s="2" t="s">
        <v>91</v>
      </c>
      <c r="BK49" s="2" t="s">
        <v>91</v>
      </c>
      <c r="BL49" s="2" t="s">
        <v>91</v>
      </c>
      <c r="BM49" s="2" t="s">
        <v>79</v>
      </c>
      <c r="BN49" s="2" t="s">
        <v>79</v>
      </c>
      <c r="BO49" s="2" t="s">
        <v>79</v>
      </c>
      <c r="BP49" s="2" t="s">
        <v>91</v>
      </c>
      <c r="BQ49" s="2" t="s">
        <v>79</v>
      </c>
      <c r="BR49" s="2" t="s">
        <v>91</v>
      </c>
      <c r="BS49" s="2" t="s">
        <v>91</v>
      </c>
      <c r="BT49" s="2" t="s">
        <v>91</v>
      </c>
      <c r="BU49" s="2" t="s">
        <v>91</v>
      </c>
      <c r="BV49" s="2" t="s">
        <v>91</v>
      </c>
      <c r="BW49" s="2" t="s">
        <v>91</v>
      </c>
      <c r="BX49" s="2" t="s">
        <v>91</v>
      </c>
      <c r="BY49" s="2" t="s">
        <v>91</v>
      </c>
      <c r="BZ49" s="2" t="s">
        <v>91</v>
      </c>
      <c r="CA49" s="2" t="s">
        <v>91</v>
      </c>
      <c r="CB49">
        <f>TTEST(AS49:AW49,AI49:AM49,2,2)</f>
        <v>2.3151768642185246E-6</v>
      </c>
      <c r="CC49">
        <f>TTEST(AD49:AH49,AI49:AM49,2,2)</f>
        <v>5.1362317925187816E-9</v>
      </c>
      <c r="CD49">
        <f>TTEST(AN49:AR49,AI49:AM49,2,2)</f>
        <v>0.7207378576813096</v>
      </c>
      <c r="CE49">
        <f>TTEST(AX49:BB49,AI49:AM49,2,2)</f>
        <v>1.4835066933073309E-3</v>
      </c>
      <c r="CF49">
        <v>13</v>
      </c>
      <c r="CG49">
        <v>5</v>
      </c>
      <c r="CH49">
        <v>209</v>
      </c>
      <c r="CI49">
        <v>57</v>
      </c>
      <c r="CJ49">
        <f>0.05*CF49/464</f>
        <v>1.4008620689655172E-3</v>
      </c>
      <c r="CK49">
        <f>0.05*CG49/464</f>
        <v>5.3879310344827585E-4</v>
      </c>
      <c r="CL49">
        <f>0.05*CH49/464</f>
        <v>2.2521551724137934E-2</v>
      </c>
      <c r="CM49">
        <f>0.05*CI49/464</f>
        <v>6.142241379310345E-3</v>
      </c>
      <c r="CN49" t="str">
        <f>IF(CB49&lt;CJ49,"yes","no")</f>
        <v>yes</v>
      </c>
      <c r="CO49" t="str">
        <f>IF(CC49&lt;CK49,"yes","no")</f>
        <v>yes</v>
      </c>
      <c r="CP49" t="str">
        <f>IF(CD49&lt;CL49,"yes","no")</f>
        <v>no</v>
      </c>
      <c r="CQ49" t="str">
        <f>IF(CE49&lt;CM49,"yes","no")</f>
        <v>yes</v>
      </c>
      <c r="CR49">
        <f>TTEST(AS49:AW49,AD49:AH49,2,2)</f>
        <v>2.1829040686004138E-8</v>
      </c>
      <c r="CS49">
        <f>TTEST(AS49:AW49,AN49:AR49,2,2)</f>
        <v>1.4701046719936601E-6</v>
      </c>
      <c r="CT49">
        <f>TTEST(AS49:AW49,AX49:BB49,2,2)</f>
        <v>9.2053193165836944E-5</v>
      </c>
      <c r="CU49">
        <v>6</v>
      </c>
      <c r="CV49">
        <v>4</v>
      </c>
      <c r="CW49">
        <v>48</v>
      </c>
      <c r="CX49">
        <f t="shared" si="0"/>
        <v>6.4655172413793113E-4</v>
      </c>
      <c r="CY49">
        <f t="shared" si="1"/>
        <v>4.3103448275862074E-4</v>
      </c>
      <c r="CZ49">
        <f t="shared" si="2"/>
        <v>5.1724137931034491E-3</v>
      </c>
      <c r="DA49" t="str">
        <f>IF(CR49&lt;CX49,"yes","no")</f>
        <v>yes</v>
      </c>
      <c r="DB49" t="str">
        <f>IF(CS49&lt;CY49,"yes","no")</f>
        <v>yes</v>
      </c>
      <c r="DC49" t="str">
        <f>IF(CT49&lt;CZ49,"yes","no")</f>
        <v>yes</v>
      </c>
    </row>
    <row r="50" spans="1:107" x14ac:dyDescent="0.2">
      <c r="A50" s="2" t="b">
        <v>0</v>
      </c>
      <c r="B50" s="2" t="s">
        <v>79</v>
      </c>
      <c r="C50" s="2" t="s">
        <v>80</v>
      </c>
      <c r="D50" s="2" t="s">
        <v>555</v>
      </c>
      <c r="E50" s="2" t="s">
        <v>556</v>
      </c>
      <c r="F50" s="2">
        <v>4</v>
      </c>
      <c r="G50" s="2">
        <v>4</v>
      </c>
      <c r="H50" s="2">
        <v>25.4</v>
      </c>
      <c r="I50" s="2">
        <v>8.1199999999999992</v>
      </c>
      <c r="J50" s="2" t="s">
        <v>557</v>
      </c>
      <c r="K50" s="2" t="s">
        <v>84</v>
      </c>
      <c r="L50" s="2" t="s">
        <v>119</v>
      </c>
      <c r="M50" s="2" t="s">
        <v>83</v>
      </c>
      <c r="N50" s="2" t="s">
        <v>558</v>
      </c>
      <c r="O50" s="2">
        <v>0.374</v>
      </c>
      <c r="P50" s="2">
        <v>0.503</v>
      </c>
      <c r="Q50" s="2">
        <v>0.17</v>
      </c>
      <c r="R50" s="2">
        <v>6.2039999999999997</v>
      </c>
      <c r="S50" s="2">
        <v>2.2160000000000002</v>
      </c>
      <c r="T50" s="2">
        <v>2.9830000000000001</v>
      </c>
      <c r="U50" s="2">
        <v>1.095</v>
      </c>
      <c r="V50" s="2">
        <v>1.325</v>
      </c>
      <c r="W50" s="2">
        <v>0.48799999999999999</v>
      </c>
      <c r="X50" s="2">
        <v>0.39600000000000002</v>
      </c>
      <c r="Y50" s="2">
        <v>238.2</v>
      </c>
      <c r="Z50" s="2">
        <v>24.8</v>
      </c>
      <c r="AA50" s="2">
        <v>99.6</v>
      </c>
      <c r="AB50" s="2">
        <v>100.6</v>
      </c>
      <c r="AC50" s="2">
        <v>36.799999999999997</v>
      </c>
      <c r="AD50" s="2">
        <v>12593119.03125</v>
      </c>
      <c r="AE50" s="2">
        <v>9604608.3125</v>
      </c>
      <c r="AF50" s="2">
        <v>9272808.8671875</v>
      </c>
      <c r="AG50" s="2">
        <v>8987334.5234375</v>
      </c>
      <c r="AH50" s="2">
        <v>7648628.109375</v>
      </c>
      <c r="AI50" s="2">
        <v>14649.365234375</v>
      </c>
      <c r="AJ50" s="2">
        <v>23068.848144531301</v>
      </c>
      <c r="AK50" s="2">
        <v>15808.8173828125</v>
      </c>
      <c r="AL50" s="2">
        <v>36535.632080078103</v>
      </c>
      <c r="AM50" s="2">
        <v>19218.6298828125</v>
      </c>
      <c r="AN50" s="2">
        <v>70419.609863281294</v>
      </c>
      <c r="AO50" s="2">
        <v>81470.585205078096</v>
      </c>
      <c r="AP50" s="2">
        <v>103427.432128906</v>
      </c>
      <c r="AQ50" s="2">
        <v>60093.157958984397</v>
      </c>
      <c r="AR50" s="2">
        <v>93332.276123046904</v>
      </c>
      <c r="AS50" s="2">
        <v>577354.39453125</v>
      </c>
      <c r="AT50" s="2">
        <v>1042137.78320313</v>
      </c>
      <c r="AU50" s="2">
        <v>592857.9609375</v>
      </c>
      <c r="AV50" s="2">
        <v>665690.126953125</v>
      </c>
      <c r="AW50" s="2">
        <v>664257.99902343797</v>
      </c>
      <c r="AX50" s="2">
        <v>78563.845703125</v>
      </c>
      <c r="AY50" s="2">
        <v>83040.245605468794</v>
      </c>
      <c r="AZ50" s="2">
        <v>96676.7021484375</v>
      </c>
      <c r="BA50" s="2">
        <v>130871.152832031</v>
      </c>
      <c r="BB50" s="2">
        <v>48649.3251953125</v>
      </c>
      <c r="BC50" s="2" t="s">
        <v>79</v>
      </c>
      <c r="BD50" s="2" t="s">
        <v>79</v>
      </c>
      <c r="BE50" s="2" t="s">
        <v>79</v>
      </c>
      <c r="BF50" s="2" t="s">
        <v>79</v>
      </c>
      <c r="BG50" s="2" t="s">
        <v>79</v>
      </c>
      <c r="BH50" s="2" t="s">
        <v>91</v>
      </c>
      <c r="BI50" s="2" t="s">
        <v>91</v>
      </c>
      <c r="BJ50" s="2" t="s">
        <v>91</v>
      </c>
      <c r="BK50" s="2" t="s">
        <v>91</v>
      </c>
      <c r="BL50" s="2" t="s">
        <v>91</v>
      </c>
      <c r="BM50" s="2" t="s">
        <v>79</v>
      </c>
      <c r="BN50" s="2" t="s">
        <v>79</v>
      </c>
      <c r="BO50" s="2" t="s">
        <v>79</v>
      </c>
      <c r="BP50" s="2" t="s">
        <v>79</v>
      </c>
      <c r="BQ50" s="2" t="s">
        <v>79</v>
      </c>
      <c r="BR50" s="2" t="s">
        <v>79</v>
      </c>
      <c r="BS50" s="2" t="s">
        <v>79</v>
      </c>
      <c r="BT50" s="2" t="s">
        <v>79</v>
      </c>
      <c r="BU50" s="2" t="s">
        <v>79</v>
      </c>
      <c r="BV50" s="2" t="s">
        <v>79</v>
      </c>
      <c r="BW50" s="2" t="s">
        <v>79</v>
      </c>
      <c r="BX50" s="2" t="s">
        <v>79</v>
      </c>
      <c r="BY50" s="2" t="s">
        <v>79</v>
      </c>
      <c r="BZ50" s="2" t="s">
        <v>79</v>
      </c>
      <c r="CA50" s="2" t="s">
        <v>79</v>
      </c>
      <c r="CB50">
        <f>TTEST(AS50:AW50,AI50:AM50,2,2)</f>
        <v>4.2264032573009889E-5</v>
      </c>
      <c r="CC50">
        <f>TTEST(AD50:AH50,AI50:AM50,2,2)</f>
        <v>2.4443164531722788E-6</v>
      </c>
      <c r="CD50">
        <f>TTEST(AN50:AR50,AI50:AM50,2,2)</f>
        <v>1.2657955953562466E-4</v>
      </c>
      <c r="CE50">
        <f>TTEST(AX50:BB50,AI50:AM50,2,2)</f>
        <v>1.5155027463154005E-3</v>
      </c>
      <c r="CF50">
        <v>46</v>
      </c>
      <c r="CG50">
        <v>68</v>
      </c>
      <c r="CH50">
        <v>50</v>
      </c>
      <c r="CI50">
        <v>58</v>
      </c>
      <c r="CJ50">
        <f>0.05*CF50/464</f>
        <v>4.9568965517241383E-3</v>
      </c>
      <c r="CK50">
        <f>0.05*CG50/464</f>
        <v>7.3275862068965525E-3</v>
      </c>
      <c r="CL50">
        <f>0.05*CH50/464</f>
        <v>5.387931034482759E-3</v>
      </c>
      <c r="CM50">
        <f>0.05*CI50/464</f>
        <v>6.2500000000000003E-3</v>
      </c>
      <c r="CN50" t="str">
        <f>IF(CB50&lt;CJ50,"yes","no")</f>
        <v>yes</v>
      </c>
      <c r="CO50" t="str">
        <f>IF(CC50&lt;CK50,"yes","no")</f>
        <v>yes</v>
      </c>
      <c r="CP50" t="str">
        <f>IF(CD50&lt;CL50,"yes","no")</f>
        <v>yes</v>
      </c>
      <c r="CQ50" t="str">
        <f>IF(CE50&lt;CM50,"yes","no")</f>
        <v>yes</v>
      </c>
      <c r="CR50">
        <f>TTEST(AS50:AW50,AD50:AH50,2,2)</f>
        <v>4.4701733331443697E-6</v>
      </c>
      <c r="CS50">
        <f>TTEST(AS50:AW50,AN50:AR50,2,2)</f>
        <v>8.2829278246279115E-5</v>
      </c>
      <c r="CT50">
        <f>TTEST(AS50:AW50,AX50:BB50,2,2)</f>
        <v>9.35874016369896E-5</v>
      </c>
      <c r="CU50">
        <v>78</v>
      </c>
      <c r="CV50">
        <v>40</v>
      </c>
      <c r="CW50">
        <v>49</v>
      </c>
      <c r="CX50">
        <f t="shared" si="0"/>
        <v>8.4051724137931046E-3</v>
      </c>
      <c r="CY50">
        <f t="shared" si="1"/>
        <v>4.3103448275862068E-3</v>
      </c>
      <c r="CZ50">
        <f t="shared" si="2"/>
        <v>5.2801724137931036E-3</v>
      </c>
      <c r="DA50" t="str">
        <f>IF(CR50&lt;CX50,"yes","no")</f>
        <v>yes</v>
      </c>
      <c r="DB50" t="str">
        <f>IF(CS50&lt;CY50,"yes","no")</f>
        <v>yes</v>
      </c>
      <c r="DC50" t="str">
        <f>IF(CT50&lt;CZ50,"yes","no")</f>
        <v>yes</v>
      </c>
    </row>
    <row r="51" spans="1:107" x14ac:dyDescent="0.2">
      <c r="A51" s="2" t="b">
        <v>0</v>
      </c>
      <c r="B51" s="2" t="s">
        <v>79</v>
      </c>
      <c r="C51" s="2" t="s">
        <v>80</v>
      </c>
      <c r="D51" s="2" t="s">
        <v>434</v>
      </c>
      <c r="E51" s="2" t="s">
        <v>435</v>
      </c>
      <c r="F51" s="2">
        <v>4</v>
      </c>
      <c r="G51" s="2">
        <v>3</v>
      </c>
      <c r="H51" s="2">
        <v>13.1</v>
      </c>
      <c r="I51" s="2">
        <v>8.27</v>
      </c>
      <c r="J51" s="2" t="s">
        <v>254</v>
      </c>
      <c r="K51" s="2" t="s">
        <v>319</v>
      </c>
      <c r="L51" s="2" t="s">
        <v>83</v>
      </c>
      <c r="M51" s="2" t="s">
        <v>83</v>
      </c>
      <c r="N51" s="2" t="s">
        <v>434</v>
      </c>
      <c r="O51" s="2">
        <v>3.4140000000000001</v>
      </c>
      <c r="P51" s="2">
        <v>1.603</v>
      </c>
      <c r="Q51" s="2">
        <v>1.5229999999999999</v>
      </c>
      <c r="R51" s="2">
        <v>0.44900000000000001</v>
      </c>
      <c r="S51" s="2">
        <v>1.6240000000000001</v>
      </c>
      <c r="T51" s="2">
        <v>0.748</v>
      </c>
      <c r="U51" s="2">
        <v>0.61399999999999999</v>
      </c>
      <c r="V51" s="2">
        <v>0.42099999999999999</v>
      </c>
      <c r="W51" s="2">
        <v>0.48599999999999999</v>
      </c>
      <c r="X51" s="2">
        <v>0.90400000000000003</v>
      </c>
      <c r="Y51" s="2">
        <v>37.9</v>
      </c>
      <c r="Z51" s="2">
        <v>131.4</v>
      </c>
      <c r="AA51" s="2">
        <v>203.3</v>
      </c>
      <c r="AB51" s="2">
        <v>61.3</v>
      </c>
      <c r="AC51" s="2">
        <v>66.099999999999994</v>
      </c>
      <c r="AD51" s="2">
        <v>13675709.515625</v>
      </c>
      <c r="AE51" s="2">
        <v>11366181.375</v>
      </c>
      <c r="AF51" s="2">
        <v>10918457.625</v>
      </c>
      <c r="AG51" s="2">
        <v>13508591.3125</v>
      </c>
      <c r="AH51" s="2">
        <v>14033584.375</v>
      </c>
      <c r="AI51" s="2">
        <v>936299.39453125</v>
      </c>
      <c r="AJ51" s="2">
        <v>852667.71777343797</v>
      </c>
      <c r="AK51" s="2">
        <v>837916.5703125</v>
      </c>
      <c r="AL51" s="2">
        <v>972263.98828125</v>
      </c>
      <c r="AM51" s="2">
        <v>855847.1171875</v>
      </c>
      <c r="AN51" s="2">
        <v>1230838.7724609401</v>
      </c>
      <c r="AO51" s="2">
        <v>1198155.32958984</v>
      </c>
      <c r="AP51" s="2">
        <v>1571932.2021484401</v>
      </c>
      <c r="AQ51" s="2">
        <v>1188627.5830078099</v>
      </c>
      <c r="AR51" s="2">
        <v>1649861.3671875</v>
      </c>
      <c r="AS51" s="2">
        <v>2952126.46875</v>
      </c>
      <c r="AT51" s="2">
        <v>4184628.59375</v>
      </c>
      <c r="AU51" s="2">
        <v>2686060.625</v>
      </c>
      <c r="AV51" s="2">
        <v>2893566.25</v>
      </c>
      <c r="AW51" s="2">
        <v>3881289.0625</v>
      </c>
      <c r="AX51" s="2">
        <v>904866.578125</v>
      </c>
      <c r="AY51" s="2">
        <v>1061007.4902343799</v>
      </c>
      <c r="AZ51" s="2">
        <v>1386133.3066406299</v>
      </c>
      <c r="BA51" s="2">
        <v>1076615.6904296901</v>
      </c>
      <c r="BB51" s="2">
        <v>1091674.09375</v>
      </c>
      <c r="BC51" s="2" t="s">
        <v>79</v>
      </c>
      <c r="BD51" s="2" t="s">
        <v>79</v>
      </c>
      <c r="BE51" s="2" t="s">
        <v>79</v>
      </c>
      <c r="BF51" s="2" t="s">
        <v>79</v>
      </c>
      <c r="BG51" s="2" t="s">
        <v>79</v>
      </c>
      <c r="BH51" s="2" t="s">
        <v>79</v>
      </c>
      <c r="BI51" s="2" t="s">
        <v>79</v>
      </c>
      <c r="BJ51" s="2" t="s">
        <v>79</v>
      </c>
      <c r="BK51" s="2" t="s">
        <v>79</v>
      </c>
      <c r="BL51" s="2" t="s">
        <v>79</v>
      </c>
      <c r="BM51" s="2" t="s">
        <v>79</v>
      </c>
      <c r="BN51" s="2" t="s">
        <v>79</v>
      </c>
      <c r="BO51" s="2" t="s">
        <v>79</v>
      </c>
      <c r="BP51" s="2" t="s">
        <v>79</v>
      </c>
      <c r="BQ51" s="2" t="s">
        <v>79</v>
      </c>
      <c r="BR51" s="2" t="s">
        <v>79</v>
      </c>
      <c r="BS51" s="2" t="s">
        <v>79</v>
      </c>
      <c r="BT51" s="2" t="s">
        <v>79</v>
      </c>
      <c r="BU51" s="2" t="s">
        <v>79</v>
      </c>
      <c r="BV51" s="2" t="s">
        <v>79</v>
      </c>
      <c r="BW51" s="2" t="s">
        <v>79</v>
      </c>
      <c r="BX51" s="2" t="s">
        <v>79</v>
      </c>
      <c r="BY51" s="2" t="s">
        <v>79</v>
      </c>
      <c r="BZ51" s="2" t="s">
        <v>79</v>
      </c>
      <c r="CA51" s="2" t="s">
        <v>79</v>
      </c>
      <c r="CB51">
        <f>TTEST(AS51:AW51,AI51:AM51,2,2)</f>
        <v>3.977091015845611E-5</v>
      </c>
      <c r="CC51">
        <f>TTEST(AD51:AH51,AI51:AM51,2,2)</f>
        <v>8.2655205229866845E-8</v>
      </c>
      <c r="CD51">
        <f>TTEST(AN51:AR51,AI51:AM51,2,2)</f>
        <v>1.7578240401376012E-3</v>
      </c>
      <c r="CE51">
        <f>TTEST(AX51:BB51,AI51:AM51,2,2)</f>
        <v>3.2514641898507203E-2</v>
      </c>
      <c r="CF51">
        <v>45</v>
      </c>
      <c r="CG51">
        <v>17</v>
      </c>
      <c r="CH51">
        <v>79</v>
      </c>
      <c r="CI51">
        <v>100</v>
      </c>
      <c r="CJ51">
        <f>0.05*CF51/464</f>
        <v>4.8491379310344829E-3</v>
      </c>
      <c r="CK51">
        <f>0.05*CG51/464</f>
        <v>1.8318965517241381E-3</v>
      </c>
      <c r="CL51">
        <f>0.05*CH51/464</f>
        <v>8.5129310344827583E-3</v>
      </c>
      <c r="CM51">
        <f>0.05*CI51/464</f>
        <v>1.0775862068965518E-2</v>
      </c>
      <c r="CN51" t="str">
        <f>IF(CB51&lt;CJ51,"yes","no")</f>
        <v>yes</v>
      </c>
      <c r="CO51" t="str">
        <f>IF(CC51&lt;CK51,"yes","no")</f>
        <v>yes</v>
      </c>
      <c r="CP51" t="str">
        <f>IF(CD51&lt;CL51,"yes","no")</f>
        <v>yes</v>
      </c>
      <c r="CQ51" t="str">
        <f>IF(CE51&lt;CM51,"yes","no")</f>
        <v>no</v>
      </c>
      <c r="CR51">
        <f>TTEST(AS51:AW51,AD51:AH51,2,2)</f>
        <v>1.0406910407171385E-6</v>
      </c>
      <c r="CS51">
        <f>TTEST(AS51:AW51,AN51:AR51,2,2)</f>
        <v>2.5977851560960553E-4</v>
      </c>
      <c r="CT51">
        <f>TTEST(AS51:AW51,AX51:BB51,2,2)</f>
        <v>9.4185920815666033E-5</v>
      </c>
      <c r="CU51">
        <v>55</v>
      </c>
      <c r="CV51">
        <v>69</v>
      </c>
      <c r="CW51">
        <v>50</v>
      </c>
      <c r="CX51">
        <f t="shared" si="0"/>
        <v>5.9267241379310342E-3</v>
      </c>
      <c r="CY51">
        <f t="shared" si="1"/>
        <v>7.435344827586207E-3</v>
      </c>
      <c r="CZ51">
        <f t="shared" si="2"/>
        <v>5.387931034482759E-3</v>
      </c>
      <c r="DA51" t="str">
        <f>IF(CR51&lt;CX51,"yes","no")</f>
        <v>yes</v>
      </c>
      <c r="DB51" t="str">
        <f>IF(CS51&lt;CY51,"yes","no")</f>
        <v>yes</v>
      </c>
      <c r="DC51" t="str">
        <f>IF(CT51&lt;CZ51,"yes","no")</f>
        <v>yes</v>
      </c>
    </row>
    <row r="52" spans="1:107" x14ac:dyDescent="0.2">
      <c r="A52" s="2" t="b">
        <v>0</v>
      </c>
      <c r="B52" s="2" t="s">
        <v>79</v>
      </c>
      <c r="C52" s="2" t="s">
        <v>80</v>
      </c>
      <c r="D52" s="2" t="s">
        <v>870</v>
      </c>
      <c r="E52" s="2" t="s">
        <v>871</v>
      </c>
      <c r="F52" s="2">
        <v>6</v>
      </c>
      <c r="G52" s="2">
        <v>6</v>
      </c>
      <c r="H52" s="2">
        <v>85.7</v>
      </c>
      <c r="I52" s="2">
        <v>6.18</v>
      </c>
      <c r="J52" s="2" t="s">
        <v>362</v>
      </c>
      <c r="K52" s="2" t="s">
        <v>540</v>
      </c>
      <c r="L52" s="2" t="s">
        <v>119</v>
      </c>
      <c r="M52" s="2" t="s">
        <v>872</v>
      </c>
      <c r="N52" s="2" t="s">
        <v>870</v>
      </c>
      <c r="O52" s="2">
        <v>1.8939999999999999</v>
      </c>
      <c r="P52" s="2">
        <v>0.49199999999999999</v>
      </c>
      <c r="Q52" s="2">
        <v>15.311999999999999</v>
      </c>
      <c r="R52" s="2">
        <v>0.34599999999999997</v>
      </c>
      <c r="S52" s="2">
        <v>3.1150000000000002</v>
      </c>
      <c r="T52" s="2">
        <v>0.92600000000000005</v>
      </c>
      <c r="U52" s="2" t="s">
        <v>83</v>
      </c>
      <c r="V52" s="2">
        <v>0.17699999999999999</v>
      </c>
      <c r="W52" s="2">
        <v>2.008</v>
      </c>
      <c r="X52" s="2">
        <v>18.154</v>
      </c>
      <c r="Y52" s="2">
        <v>121.6</v>
      </c>
      <c r="Z52" s="2">
        <v>46.9</v>
      </c>
      <c r="AA52" s="2">
        <v>151.30000000000001</v>
      </c>
      <c r="AB52" s="2">
        <v>9.4</v>
      </c>
      <c r="AC52" s="2">
        <v>170.8</v>
      </c>
      <c r="AD52" s="2">
        <v>989952.98046875</v>
      </c>
      <c r="AE52" s="2">
        <v>774341.31640625</v>
      </c>
      <c r="AF52" s="2">
        <v>639063.20703125</v>
      </c>
      <c r="AG52" s="2">
        <v>602054.86328125</v>
      </c>
      <c r="AH52" s="2">
        <v>515818.00390625</v>
      </c>
      <c r="AI52" s="2">
        <v>2592.42895507813</v>
      </c>
      <c r="AJ52" s="2" t="s">
        <v>83</v>
      </c>
      <c r="AK52" s="2" t="s">
        <v>83</v>
      </c>
      <c r="AL52" s="2">
        <v>20161.798828125</v>
      </c>
      <c r="AM52" s="2" t="s">
        <v>83</v>
      </c>
      <c r="AN52" s="2">
        <v>22902.3146972656</v>
      </c>
      <c r="AO52" s="2">
        <v>17179.045410156301</v>
      </c>
      <c r="AP52" s="2">
        <v>8006.4140625</v>
      </c>
      <c r="AQ52" s="2">
        <v>20018.5615234375</v>
      </c>
      <c r="AR52" s="2">
        <v>22036.28125</v>
      </c>
      <c r="AS52" s="2" t="s">
        <v>83</v>
      </c>
      <c r="AT52" s="2">
        <v>26355.4733886719</v>
      </c>
      <c r="AU52" s="2">
        <v>7697.470703125</v>
      </c>
      <c r="AV52" s="2">
        <v>8191.28515625</v>
      </c>
      <c r="AW52" s="2">
        <v>3698.0419921875</v>
      </c>
      <c r="AX52" s="2">
        <v>56657.109375</v>
      </c>
      <c r="AY52" s="2">
        <v>60174.890625</v>
      </c>
      <c r="AZ52" s="2">
        <v>66449.25</v>
      </c>
      <c r="BA52" s="2">
        <v>51432.24609375</v>
      </c>
      <c r="BB52" s="2">
        <v>48584.671875</v>
      </c>
      <c r="BC52" s="2" t="s">
        <v>79</v>
      </c>
      <c r="BD52" s="2" t="s">
        <v>79</v>
      </c>
      <c r="BE52" s="2" t="s">
        <v>79</v>
      </c>
      <c r="BF52" s="2" t="s">
        <v>79</v>
      </c>
      <c r="BG52" s="2" t="s">
        <v>79</v>
      </c>
      <c r="BH52" s="2" t="s">
        <v>91</v>
      </c>
      <c r="BI52" s="2" t="s">
        <v>98</v>
      </c>
      <c r="BJ52" s="2" t="s">
        <v>98</v>
      </c>
      <c r="BK52" s="2" t="s">
        <v>91</v>
      </c>
      <c r="BL52" s="2" t="s">
        <v>98</v>
      </c>
      <c r="BM52" s="2" t="s">
        <v>91</v>
      </c>
      <c r="BN52" s="2" t="s">
        <v>91</v>
      </c>
      <c r="BO52" s="2" t="s">
        <v>91</v>
      </c>
      <c r="BP52" s="2" t="s">
        <v>91</v>
      </c>
      <c r="BQ52" s="2" t="s">
        <v>91</v>
      </c>
      <c r="BR52" s="2" t="s">
        <v>98</v>
      </c>
      <c r="BS52" s="2" t="s">
        <v>91</v>
      </c>
      <c r="BT52" s="2" t="s">
        <v>91</v>
      </c>
      <c r="BU52" s="2" t="s">
        <v>91</v>
      </c>
      <c r="BV52" s="2" t="s">
        <v>91</v>
      </c>
      <c r="BW52" s="2" t="s">
        <v>91</v>
      </c>
      <c r="BX52" s="2" t="s">
        <v>91</v>
      </c>
      <c r="BY52" s="2" t="s">
        <v>91</v>
      </c>
      <c r="BZ52" s="2" t="s">
        <v>91</v>
      </c>
      <c r="CA52" s="2" t="s">
        <v>91</v>
      </c>
      <c r="CB52">
        <f>TTEST(AS52:AW52,AI52:AM52,2,2)</f>
        <v>0.99125418213824745</v>
      </c>
      <c r="CC52">
        <f>TTEST(AD52:AH52,AI52:AM52,2,2)</f>
        <v>4.0874992656089858E-3</v>
      </c>
      <c r="CD52">
        <f>TTEST(AN52:AR52,AI52:AM52,2,2)</f>
        <v>0.35127275736812374</v>
      </c>
      <c r="CE52">
        <f>TTEST(AX52:BB52,AI52:AM52,2,2)</f>
        <v>1.3585450800324102E-3</v>
      </c>
      <c r="CF52">
        <v>227</v>
      </c>
      <c r="CG52">
        <v>152</v>
      </c>
      <c r="CH52">
        <v>164</v>
      </c>
      <c r="CI52">
        <v>56</v>
      </c>
      <c r="CJ52">
        <f>0.05*CF52/464</f>
        <v>2.4461206896551728E-2</v>
      </c>
      <c r="CK52">
        <f>0.05*CG52/464</f>
        <v>1.6379310344827588E-2</v>
      </c>
      <c r="CL52">
        <f>0.05*CH52/464</f>
        <v>1.7672413793103449E-2</v>
      </c>
      <c r="CM52">
        <f>0.05*CI52/464</f>
        <v>6.0344827586206904E-3</v>
      </c>
      <c r="CN52" t="str">
        <f>IF(CB52&lt;CJ52,"yes","no")</f>
        <v>no</v>
      </c>
      <c r="CO52" t="str">
        <f>IF(CC52&lt;CK52,"yes","no")</f>
        <v>yes</v>
      </c>
      <c r="CP52" t="str">
        <f>IF(CD52&lt;CL52,"yes","no")</f>
        <v>no</v>
      </c>
      <c r="CQ52" t="str">
        <f>IF(CE52&lt;CM52,"yes","no")</f>
        <v>yes</v>
      </c>
      <c r="CR52">
        <f>TTEST(AS52:AW52,AD52:AH52,2,2)</f>
        <v>1.5190783761422644E-4</v>
      </c>
      <c r="CS52">
        <f>TTEST(AS52:AW52,AN52:AR52,2,2)</f>
        <v>0.26413591993245528</v>
      </c>
      <c r="CT52">
        <f>TTEST(AS52:AW52,AX52:BB52,2,2)</f>
        <v>9.817502759725288E-5</v>
      </c>
      <c r="CU52">
        <v>136</v>
      </c>
      <c r="CV52">
        <v>207</v>
      </c>
      <c r="CW52">
        <v>51</v>
      </c>
      <c r="CX52">
        <f t="shared" si="0"/>
        <v>1.4655172413793105E-2</v>
      </c>
      <c r="CY52">
        <f t="shared" si="1"/>
        <v>2.2306034482758624E-2</v>
      </c>
      <c r="CZ52">
        <f t="shared" si="2"/>
        <v>5.4956896551724144E-3</v>
      </c>
      <c r="DA52" t="str">
        <f>IF(CR52&lt;CX52,"yes","no")</f>
        <v>yes</v>
      </c>
      <c r="DB52" t="str">
        <f>IF(CS52&lt;CY52,"yes","no")</f>
        <v>no</v>
      </c>
      <c r="DC52" t="str">
        <f>IF(CT52&lt;CZ52,"yes","no")</f>
        <v>yes</v>
      </c>
    </row>
    <row r="53" spans="1:107" x14ac:dyDescent="0.2">
      <c r="A53" s="2" t="b">
        <v>0</v>
      </c>
      <c r="B53" s="2" t="s">
        <v>79</v>
      </c>
      <c r="C53" s="2" t="s">
        <v>80</v>
      </c>
      <c r="D53" s="2" t="s">
        <v>1449</v>
      </c>
      <c r="E53" s="2" t="s">
        <v>1450</v>
      </c>
      <c r="F53" s="2">
        <v>1</v>
      </c>
      <c r="G53" s="2">
        <v>1</v>
      </c>
      <c r="H53" s="2">
        <v>107.8</v>
      </c>
      <c r="I53" s="2">
        <v>7.14</v>
      </c>
      <c r="J53" s="2" t="s">
        <v>228</v>
      </c>
      <c r="K53" s="2" t="s">
        <v>302</v>
      </c>
      <c r="L53" s="2" t="s">
        <v>303</v>
      </c>
      <c r="M53" s="2" t="s">
        <v>1451</v>
      </c>
      <c r="N53" s="2" t="s">
        <v>1452</v>
      </c>
      <c r="O53" s="2">
        <v>8.5079999999999991</v>
      </c>
      <c r="P53" s="2">
        <v>10.573</v>
      </c>
      <c r="Q53" s="2">
        <v>7.2679999999999998</v>
      </c>
      <c r="R53" s="2">
        <v>0.16200000000000001</v>
      </c>
      <c r="S53" s="2">
        <v>1.536</v>
      </c>
      <c r="T53" s="2">
        <v>1.665</v>
      </c>
      <c r="U53" s="2">
        <v>1.1759999999999999</v>
      </c>
      <c r="V53" s="2">
        <v>1.2989999999999999</v>
      </c>
      <c r="W53" s="2">
        <v>0.93700000000000006</v>
      </c>
      <c r="X53" s="2">
        <v>0.71</v>
      </c>
      <c r="Y53" s="2">
        <v>14.8</v>
      </c>
      <c r="Z53" s="2">
        <v>103.9</v>
      </c>
      <c r="AA53" s="2">
        <v>115.6</v>
      </c>
      <c r="AB53" s="2">
        <v>151.19999999999999</v>
      </c>
      <c r="AC53" s="2">
        <v>114.4</v>
      </c>
      <c r="AD53" s="2">
        <v>564611.25</v>
      </c>
      <c r="AE53" s="2">
        <v>242052.84375</v>
      </c>
      <c r="AF53" s="2">
        <v>581032.609375</v>
      </c>
      <c r="AG53" s="2">
        <v>1881771.5</v>
      </c>
      <c r="AH53" s="2" t="s">
        <v>83</v>
      </c>
      <c r="AI53" s="2">
        <v>62915.6484375</v>
      </c>
      <c r="AJ53" s="2">
        <v>94031.927734375</v>
      </c>
      <c r="AK53" s="2">
        <v>84999.11328125</v>
      </c>
      <c r="AL53" s="2">
        <v>119933.26953125</v>
      </c>
      <c r="AM53" s="2">
        <v>27807.38671875</v>
      </c>
      <c r="AN53" s="2">
        <v>149141.171875</v>
      </c>
      <c r="AO53" s="2">
        <v>103702.8125</v>
      </c>
      <c r="AP53" s="2">
        <v>105623.0078125</v>
      </c>
      <c r="AQ53" s="2">
        <v>78286.359375</v>
      </c>
      <c r="AR53" s="2">
        <v>100002.7265625</v>
      </c>
      <c r="AS53" s="2">
        <v>815264.5078125</v>
      </c>
      <c r="AT53" s="2">
        <v>1115757.0078125</v>
      </c>
      <c r="AU53" s="2">
        <v>951435.125</v>
      </c>
      <c r="AV53" s="2">
        <v>1069841.875</v>
      </c>
      <c r="AW53" s="2">
        <v>823495.953125</v>
      </c>
      <c r="AX53" s="2">
        <v>179203.25390625</v>
      </c>
      <c r="AY53" s="2">
        <v>406243.7734375</v>
      </c>
      <c r="AZ53" s="2">
        <v>137838.01953125</v>
      </c>
      <c r="BA53" s="2">
        <v>235053.40625</v>
      </c>
      <c r="BB53" s="2">
        <v>520747.09375</v>
      </c>
      <c r="BC53" s="2" t="s">
        <v>91</v>
      </c>
      <c r="BD53" s="2" t="s">
        <v>91</v>
      </c>
      <c r="BE53" s="2" t="s">
        <v>91</v>
      </c>
      <c r="BF53" s="2" t="s">
        <v>91</v>
      </c>
      <c r="BG53" s="2" t="s">
        <v>98</v>
      </c>
      <c r="BH53" s="2" t="s">
        <v>91</v>
      </c>
      <c r="BI53" s="2" t="s">
        <v>79</v>
      </c>
      <c r="BJ53" s="2" t="s">
        <v>91</v>
      </c>
      <c r="BK53" s="2" t="s">
        <v>79</v>
      </c>
      <c r="BL53" s="2" t="s">
        <v>91</v>
      </c>
      <c r="BM53" s="2" t="s">
        <v>91</v>
      </c>
      <c r="BN53" s="2" t="s">
        <v>91</v>
      </c>
      <c r="BO53" s="2" t="s">
        <v>91</v>
      </c>
      <c r="BP53" s="2" t="s">
        <v>91</v>
      </c>
      <c r="BQ53" s="2" t="s">
        <v>91</v>
      </c>
      <c r="BR53" s="2" t="s">
        <v>91</v>
      </c>
      <c r="BS53" s="2" t="s">
        <v>91</v>
      </c>
      <c r="BT53" s="2" t="s">
        <v>79</v>
      </c>
      <c r="BU53" s="2" t="s">
        <v>91</v>
      </c>
      <c r="BV53" s="2" t="s">
        <v>91</v>
      </c>
      <c r="BW53" s="2" t="s">
        <v>91</v>
      </c>
      <c r="BX53" s="2" t="s">
        <v>79</v>
      </c>
      <c r="BY53" s="2" t="s">
        <v>91</v>
      </c>
      <c r="BZ53" s="2" t="s">
        <v>91</v>
      </c>
      <c r="CA53" s="2" t="s">
        <v>91</v>
      </c>
      <c r="CB53">
        <f>TTEST(AS53:AW53,AI53:AM53,2,2)</f>
        <v>7.2932807281765755E-7</v>
      </c>
      <c r="CC53">
        <f>TTEST(AD53:AH53,AI53:AM53,2,2)</f>
        <v>5.3875432703111667E-2</v>
      </c>
      <c r="CD53">
        <f>TTEST(AN53:AR53,AI53:AM53,2,2)</f>
        <v>0.16658139256998666</v>
      </c>
      <c r="CE53">
        <f>TTEST(AX53:BB53,AI53:AM53,2,2)</f>
        <v>1.8711609627573369E-2</v>
      </c>
      <c r="CF53">
        <v>6</v>
      </c>
      <c r="CG53">
        <v>181</v>
      </c>
      <c r="CH53">
        <v>143</v>
      </c>
      <c r="CI53">
        <v>91</v>
      </c>
      <c r="CJ53">
        <f>0.05*CF53/464</f>
        <v>6.4655172413793113E-4</v>
      </c>
      <c r="CK53">
        <f>0.05*CG53/464</f>
        <v>1.9504310344827587E-2</v>
      </c>
      <c r="CL53">
        <f>0.05*CH53/464</f>
        <v>1.5409482758620691E-2</v>
      </c>
      <c r="CM53">
        <f>0.05*CI53/464</f>
        <v>9.8060344827586195E-3</v>
      </c>
      <c r="CN53" t="str">
        <f>IF(CB53&lt;CJ53,"yes","no")</f>
        <v>yes</v>
      </c>
      <c r="CO53" t="str">
        <f>IF(CC53&lt;CK53,"yes","no")</f>
        <v>no</v>
      </c>
      <c r="CP53" t="str">
        <f>IF(CD53&lt;CL53,"yes","no")</f>
        <v>no</v>
      </c>
      <c r="CQ53" t="str">
        <f>IF(CE53&lt;CM53,"yes","no")</f>
        <v>no</v>
      </c>
      <c r="CR53">
        <f>TTEST(AS53:AW53,AD53:AH53,2,2)</f>
        <v>0.68577863756021451</v>
      </c>
      <c r="CS53">
        <f>TTEST(AS53:AW53,AN53:AR53,2,2)</f>
        <v>8.5477631177314689E-7</v>
      </c>
      <c r="CT53">
        <f>TTEST(AS53:AW53,AX53:BB53,2,2)</f>
        <v>1.2048500099991647E-4</v>
      </c>
      <c r="CU53">
        <v>296</v>
      </c>
      <c r="CV53">
        <v>3</v>
      </c>
      <c r="CW53">
        <v>52</v>
      </c>
      <c r="CX53">
        <f t="shared" si="0"/>
        <v>3.1896551724137932E-2</v>
      </c>
      <c r="CY53">
        <f t="shared" si="1"/>
        <v>3.2327586206896557E-4</v>
      </c>
      <c r="CZ53">
        <f t="shared" si="2"/>
        <v>5.6034482758620689E-3</v>
      </c>
      <c r="DA53" t="str">
        <f>IF(CR53&lt;CX53,"yes","no")</f>
        <v>no</v>
      </c>
      <c r="DB53" t="str">
        <f>IF(CS53&lt;CY53,"yes","no")</f>
        <v>yes</v>
      </c>
      <c r="DC53" t="str">
        <f>IF(CT53&lt;CZ53,"yes","no")</f>
        <v>yes</v>
      </c>
    </row>
    <row r="54" spans="1:107" x14ac:dyDescent="0.2">
      <c r="A54" s="2" t="b">
        <v>0</v>
      </c>
      <c r="B54" s="2" t="s">
        <v>79</v>
      </c>
      <c r="C54" s="2" t="s">
        <v>80</v>
      </c>
      <c r="D54" s="2" t="s">
        <v>704</v>
      </c>
      <c r="E54" s="2" t="s">
        <v>705</v>
      </c>
      <c r="F54" s="2">
        <v>5</v>
      </c>
      <c r="G54" s="2">
        <v>5</v>
      </c>
      <c r="H54" s="2">
        <v>43.8</v>
      </c>
      <c r="I54" s="2">
        <v>7.69</v>
      </c>
      <c r="J54" s="2" t="s">
        <v>83</v>
      </c>
      <c r="K54" s="2" t="s">
        <v>84</v>
      </c>
      <c r="L54" s="2" t="s">
        <v>85</v>
      </c>
      <c r="M54" s="2" t="s">
        <v>706</v>
      </c>
      <c r="N54" s="2" t="s">
        <v>704</v>
      </c>
      <c r="O54" s="2">
        <v>1.9690000000000001</v>
      </c>
      <c r="P54" s="2">
        <v>0.14799999999999999</v>
      </c>
      <c r="Q54" s="2">
        <v>0.2</v>
      </c>
      <c r="R54" s="2">
        <v>5.0229999999999997</v>
      </c>
      <c r="S54" s="2">
        <v>8.2750000000000004</v>
      </c>
      <c r="T54" s="2">
        <v>0.41299999999999998</v>
      </c>
      <c r="U54" s="2">
        <v>1.0569999999999999</v>
      </c>
      <c r="V54" s="2">
        <v>6.5000000000000002E-2</v>
      </c>
      <c r="W54" s="2">
        <v>0.13200000000000001</v>
      </c>
      <c r="X54" s="2">
        <v>2.6019999999999999</v>
      </c>
      <c r="Y54" s="2">
        <v>158.30000000000001</v>
      </c>
      <c r="Z54" s="2">
        <v>21.9</v>
      </c>
      <c r="AA54" s="2">
        <v>284.3</v>
      </c>
      <c r="AB54" s="2">
        <v>14.9</v>
      </c>
      <c r="AC54" s="2">
        <v>20.5</v>
      </c>
      <c r="AD54" s="2">
        <v>2761858.09375</v>
      </c>
      <c r="AE54" s="2">
        <v>2377762.15625</v>
      </c>
      <c r="AF54" s="2">
        <v>2503912.5625</v>
      </c>
      <c r="AG54" s="2">
        <v>1883891.16015625</v>
      </c>
      <c r="AH54" s="2">
        <v>1944816.31640625</v>
      </c>
      <c r="AI54" s="2">
        <v>8548.8623046875</v>
      </c>
      <c r="AJ54" s="2">
        <v>4899.31005859375</v>
      </c>
      <c r="AK54" s="2">
        <v>5029.1806640625</v>
      </c>
      <c r="AL54" s="2">
        <v>9956.412109375</v>
      </c>
      <c r="AM54" s="2">
        <v>5651.70654296875</v>
      </c>
      <c r="AN54" s="2">
        <v>78276.87109375</v>
      </c>
      <c r="AO54" s="2">
        <v>80870.666015625</v>
      </c>
      <c r="AP54" s="2">
        <v>99917.80859375</v>
      </c>
      <c r="AQ54" s="2">
        <v>79409.28125</v>
      </c>
      <c r="AR54" s="2">
        <v>110094.455078125</v>
      </c>
      <c r="AS54" s="2">
        <v>34609.39453125</v>
      </c>
      <c r="AT54" s="2">
        <v>38717.837890625</v>
      </c>
      <c r="AU54" s="2">
        <v>27784.4921875</v>
      </c>
      <c r="AV54" s="2">
        <v>32807.310546875</v>
      </c>
      <c r="AW54" s="2">
        <v>39291.025390625</v>
      </c>
      <c r="AX54" s="2">
        <v>17384.166015625</v>
      </c>
      <c r="AY54" s="2">
        <v>21896.775390625</v>
      </c>
      <c r="AZ54" s="2">
        <v>19347.26171875</v>
      </c>
      <c r="BA54" s="2">
        <v>15545.0830078125</v>
      </c>
      <c r="BB54" s="2">
        <v>14583.9599609375</v>
      </c>
      <c r="BC54" s="2" t="s">
        <v>79</v>
      </c>
      <c r="BD54" s="2" t="s">
        <v>79</v>
      </c>
      <c r="BE54" s="2" t="s">
        <v>79</v>
      </c>
      <c r="BF54" s="2" t="s">
        <v>79</v>
      </c>
      <c r="BG54" s="2" t="s">
        <v>79</v>
      </c>
      <c r="BH54" s="2" t="s">
        <v>91</v>
      </c>
      <c r="BI54" s="2" t="s">
        <v>91</v>
      </c>
      <c r="BJ54" s="2" t="s">
        <v>91</v>
      </c>
      <c r="BK54" s="2" t="s">
        <v>91</v>
      </c>
      <c r="BL54" s="2" t="s">
        <v>91</v>
      </c>
      <c r="BM54" s="2" t="s">
        <v>79</v>
      </c>
      <c r="BN54" s="2" t="s">
        <v>79</v>
      </c>
      <c r="BO54" s="2" t="s">
        <v>79</v>
      </c>
      <c r="BP54" s="2" t="s">
        <v>91</v>
      </c>
      <c r="BQ54" s="2" t="s">
        <v>79</v>
      </c>
      <c r="BR54" s="2" t="s">
        <v>91</v>
      </c>
      <c r="BS54" s="2" t="s">
        <v>91</v>
      </c>
      <c r="BT54" s="2" t="s">
        <v>91</v>
      </c>
      <c r="BU54" s="2" t="s">
        <v>91</v>
      </c>
      <c r="BV54" s="2" t="s">
        <v>91</v>
      </c>
      <c r="BW54" s="2" t="s">
        <v>91</v>
      </c>
      <c r="BX54" s="2" t="s">
        <v>91</v>
      </c>
      <c r="BY54" s="2" t="s">
        <v>91</v>
      </c>
      <c r="BZ54" s="2" t="s">
        <v>91</v>
      </c>
      <c r="CA54" s="2" t="s">
        <v>91</v>
      </c>
      <c r="CB54">
        <f>TTEST(AS54:AW54,AI54:AM54,2,2)</f>
        <v>2.3136899450995325E-6</v>
      </c>
      <c r="CC54">
        <f>TTEST(AD54:AH54,AI54:AM54,2,2)</f>
        <v>7.898362502415587E-7</v>
      </c>
      <c r="CD54">
        <f>TTEST(AN54:AR54,AI54:AM54,2,2)</f>
        <v>1.413150347975032E-6</v>
      </c>
      <c r="CE54">
        <f>TTEST(AX54:BB54,AI54:AM54,2,2)</f>
        <v>1.7976955287594225E-4</v>
      </c>
      <c r="CF54">
        <v>12</v>
      </c>
      <c r="CG54">
        <v>52</v>
      </c>
      <c r="CH54">
        <v>8</v>
      </c>
      <c r="CI54">
        <v>42</v>
      </c>
      <c r="CJ54">
        <f>0.05*CF54/464</f>
        <v>1.2931034482758623E-3</v>
      </c>
      <c r="CK54">
        <f>0.05*CG54/464</f>
        <v>5.6034482758620689E-3</v>
      </c>
      <c r="CL54">
        <f>0.05*CH54/464</f>
        <v>8.6206896551724148E-4</v>
      </c>
      <c r="CM54">
        <f>0.05*CI54/464</f>
        <v>4.5258620689655176E-3</v>
      </c>
      <c r="CN54" t="str">
        <f>IF(CB54&lt;CJ54,"yes","no")</f>
        <v>yes</v>
      </c>
      <c r="CO54" t="str">
        <f>IF(CC54&lt;CK54,"yes","no")</f>
        <v>yes</v>
      </c>
      <c r="CP54" t="str">
        <f>IF(CD54&lt;CL54,"yes","no")</f>
        <v>yes</v>
      </c>
      <c r="CQ54" t="str">
        <f>IF(CE54&lt;CM54,"yes","no")</f>
        <v>yes</v>
      </c>
      <c r="CR54">
        <f>TTEST(AS54:AW54,AD54:AH54,2,2)</f>
        <v>8.6829293926163039E-7</v>
      </c>
      <c r="CS54">
        <f>TTEST(AS54:AW54,AN54:AR54,2,2)</f>
        <v>3.973775908992082E-5</v>
      </c>
      <c r="CT54">
        <f>TTEST(AS54:AW54,AX54:BB54,2,2)</f>
        <v>1.3778031062393789E-4</v>
      </c>
      <c r="CU54">
        <v>51</v>
      </c>
      <c r="CV54">
        <v>27</v>
      </c>
      <c r="CW54">
        <v>53</v>
      </c>
      <c r="CX54">
        <f t="shared" si="0"/>
        <v>5.4956896551724144E-3</v>
      </c>
      <c r="CY54">
        <f t="shared" si="1"/>
        <v>2.9094827586206898E-3</v>
      </c>
      <c r="CZ54">
        <f t="shared" si="2"/>
        <v>5.7112068965517251E-3</v>
      </c>
      <c r="DA54" t="str">
        <f>IF(CR54&lt;CX54,"yes","no")</f>
        <v>yes</v>
      </c>
      <c r="DB54" t="str">
        <f>IF(CS54&lt;CY54,"yes","no")</f>
        <v>yes</v>
      </c>
      <c r="DC54" t="str">
        <f>IF(CT54&lt;CZ54,"yes","no")</f>
        <v>yes</v>
      </c>
    </row>
    <row r="55" spans="1:107" x14ac:dyDescent="0.2">
      <c r="A55" s="2" t="b">
        <v>0</v>
      </c>
      <c r="B55" s="2" t="s">
        <v>79</v>
      </c>
      <c r="C55" s="2" t="s">
        <v>80</v>
      </c>
      <c r="D55" s="2" t="s">
        <v>389</v>
      </c>
      <c r="E55" s="2" t="s">
        <v>390</v>
      </c>
      <c r="F55" s="2">
        <v>9</v>
      </c>
      <c r="G55" s="2">
        <v>9</v>
      </c>
      <c r="H55" s="2">
        <v>66.599999999999994</v>
      </c>
      <c r="I55" s="2">
        <v>8.0500000000000007</v>
      </c>
      <c r="J55" s="2" t="s">
        <v>89</v>
      </c>
      <c r="K55" s="2" t="s">
        <v>391</v>
      </c>
      <c r="L55" s="2" t="s">
        <v>119</v>
      </c>
      <c r="M55" s="2" t="s">
        <v>392</v>
      </c>
      <c r="N55" s="2" t="s">
        <v>393</v>
      </c>
      <c r="O55" s="2">
        <v>1.4990000000000001</v>
      </c>
      <c r="P55" s="2">
        <v>0.08</v>
      </c>
      <c r="Q55" s="2">
        <v>1.724</v>
      </c>
      <c r="R55" s="2">
        <v>2.2269999999999999</v>
      </c>
      <c r="S55" s="2">
        <v>7.9260000000000002</v>
      </c>
      <c r="T55" s="2">
        <v>0.16600000000000001</v>
      </c>
      <c r="U55" s="2">
        <v>3.8380000000000001</v>
      </c>
      <c r="V55" s="2">
        <v>2.3E-2</v>
      </c>
      <c r="W55" s="2" t="s">
        <v>83</v>
      </c>
      <c r="X55" s="2" t="s">
        <v>83</v>
      </c>
      <c r="Y55" s="2">
        <v>190.6</v>
      </c>
      <c r="Z55" s="2">
        <v>24.1</v>
      </c>
      <c r="AA55" s="2">
        <v>212.4</v>
      </c>
      <c r="AB55" s="2">
        <v>3.6</v>
      </c>
      <c r="AC55" s="2">
        <v>69.3</v>
      </c>
      <c r="AD55" s="2">
        <v>3653200.9375</v>
      </c>
      <c r="AE55" s="2">
        <v>2891753.515625</v>
      </c>
      <c r="AF55" s="2">
        <v>2673855.390625</v>
      </c>
      <c r="AG55" s="2">
        <v>3187565.125</v>
      </c>
      <c r="AH55" s="2">
        <v>3036059.1875</v>
      </c>
      <c r="AI55" s="2">
        <v>6554.6220703125</v>
      </c>
      <c r="AJ55" s="2">
        <v>9471.369140625</v>
      </c>
      <c r="AK55" s="2" t="s">
        <v>83</v>
      </c>
      <c r="AL55" s="2">
        <v>17188.587890625</v>
      </c>
      <c r="AM55" s="2">
        <v>5879.87548828125</v>
      </c>
      <c r="AN55" s="2">
        <v>78008.0966796875</v>
      </c>
      <c r="AO55" s="2">
        <v>48394.211425781301</v>
      </c>
      <c r="AP55" s="2">
        <v>32098.8056640625</v>
      </c>
      <c r="AQ55" s="2">
        <v>76765.359375</v>
      </c>
      <c r="AR55" s="2">
        <v>124342.46875</v>
      </c>
      <c r="AS55" s="2">
        <v>10354.3251953125</v>
      </c>
      <c r="AT55" s="2">
        <v>7703.92138671875</v>
      </c>
      <c r="AU55" s="2">
        <v>9654.58203125</v>
      </c>
      <c r="AV55" s="2">
        <v>7210.7880859375</v>
      </c>
      <c r="AW55" s="2" t="s">
        <v>83</v>
      </c>
      <c r="AX55" s="2">
        <v>55972.58984375</v>
      </c>
      <c r="AY55" s="2">
        <v>57791.76171875</v>
      </c>
      <c r="AZ55" s="2">
        <v>65501.34765625</v>
      </c>
      <c r="BA55" s="2">
        <v>62707.984375</v>
      </c>
      <c r="BB55" s="2">
        <v>34491.7890625</v>
      </c>
      <c r="BC55" s="2" t="s">
        <v>79</v>
      </c>
      <c r="BD55" s="2" t="s">
        <v>79</v>
      </c>
      <c r="BE55" s="2" t="s">
        <v>79</v>
      </c>
      <c r="BF55" s="2" t="s">
        <v>79</v>
      </c>
      <c r="BG55" s="2" t="s">
        <v>79</v>
      </c>
      <c r="BH55" s="2" t="s">
        <v>91</v>
      </c>
      <c r="BI55" s="2" t="s">
        <v>91</v>
      </c>
      <c r="BJ55" s="2" t="s">
        <v>98</v>
      </c>
      <c r="BK55" s="2" t="s">
        <v>91</v>
      </c>
      <c r="BL55" s="2" t="s">
        <v>91</v>
      </c>
      <c r="BM55" s="2" t="s">
        <v>91</v>
      </c>
      <c r="BN55" s="2" t="s">
        <v>91</v>
      </c>
      <c r="BO55" s="2" t="s">
        <v>91</v>
      </c>
      <c r="BP55" s="2" t="s">
        <v>79</v>
      </c>
      <c r="BQ55" s="2" t="s">
        <v>79</v>
      </c>
      <c r="BR55" s="2" t="s">
        <v>91</v>
      </c>
      <c r="BS55" s="2" t="s">
        <v>91</v>
      </c>
      <c r="BT55" s="2" t="s">
        <v>91</v>
      </c>
      <c r="BU55" s="2" t="s">
        <v>91</v>
      </c>
      <c r="BV55" s="2" t="s">
        <v>98</v>
      </c>
      <c r="BW55" s="2" t="s">
        <v>91</v>
      </c>
      <c r="BX55" s="2" t="s">
        <v>91</v>
      </c>
      <c r="BY55" s="2" t="s">
        <v>91</v>
      </c>
      <c r="BZ55" s="2" t="s">
        <v>91</v>
      </c>
      <c r="CA55" s="2" t="s">
        <v>91</v>
      </c>
      <c r="CB55">
        <f>TTEST(AS55:AW55,AI55:AM55,2,2)</f>
        <v>0.71263413760378636</v>
      </c>
      <c r="CC55">
        <f>TTEST(AD55:AH55,AI55:AM55,2,2)</f>
        <v>7.3573432658458816E-7</v>
      </c>
      <c r="CD55">
        <f>TTEST(AN55:AR55,AI55:AM55,2,2)</f>
        <v>1.0595611808459506E-2</v>
      </c>
      <c r="CE55">
        <f>TTEST(AX55:BB55,AI55:AM55,2,2)</f>
        <v>2.3366179571741001E-4</v>
      </c>
      <c r="CF55">
        <v>210</v>
      </c>
      <c r="CG55">
        <v>50</v>
      </c>
      <c r="CH55">
        <v>96</v>
      </c>
      <c r="CI55">
        <v>44</v>
      </c>
      <c r="CJ55">
        <f>0.05*CF55/464</f>
        <v>2.2629310344827586E-2</v>
      </c>
      <c r="CK55">
        <f>0.05*CG55/464</f>
        <v>5.387931034482759E-3</v>
      </c>
      <c r="CL55">
        <f>0.05*CH55/464</f>
        <v>1.0344827586206898E-2</v>
      </c>
      <c r="CM55">
        <f>0.05*CI55/464</f>
        <v>4.7413793103448284E-3</v>
      </c>
      <c r="CN55" t="str">
        <f>IF(CB55&lt;CJ55,"yes","no")</f>
        <v>no</v>
      </c>
      <c r="CO55" t="str">
        <f>IF(CC55&lt;CK55,"yes","no")</f>
        <v>yes</v>
      </c>
      <c r="CP55" t="str">
        <f>IF(CD55&lt;CL55,"yes","no")</f>
        <v>no</v>
      </c>
      <c r="CQ55" t="str">
        <f>IF(CE55&lt;CM55,"yes","no")</f>
        <v>yes</v>
      </c>
      <c r="CR55">
        <f>TTEST(AS55:AW55,AD55:AH55,2,2)</f>
        <v>7.336896539049698E-7</v>
      </c>
      <c r="CS55">
        <f>TTEST(AS55:AW55,AN55:AR55,2,2)</f>
        <v>9.4610466855303745E-3</v>
      </c>
      <c r="CT55">
        <f>TTEST(AS55:AW55,AX55:BB55,2,2)</f>
        <v>1.4159980376598862E-4</v>
      </c>
      <c r="CU55">
        <v>46</v>
      </c>
      <c r="CV55">
        <v>131</v>
      </c>
      <c r="CW55">
        <v>54</v>
      </c>
      <c r="CX55">
        <f t="shared" si="0"/>
        <v>4.9568965517241383E-3</v>
      </c>
      <c r="CY55">
        <f t="shared" si="1"/>
        <v>1.411637931034483E-2</v>
      </c>
      <c r="CZ55">
        <f t="shared" si="2"/>
        <v>5.8189655172413797E-3</v>
      </c>
      <c r="DA55" t="str">
        <f>IF(CR55&lt;CX55,"yes","no")</f>
        <v>yes</v>
      </c>
      <c r="DB55" t="str">
        <f>IF(CS55&lt;CY55,"yes","no")</f>
        <v>yes</v>
      </c>
      <c r="DC55" t="str">
        <f>IF(CT55&lt;CZ55,"yes","no")</f>
        <v>yes</v>
      </c>
    </row>
    <row r="56" spans="1:107" x14ac:dyDescent="0.2">
      <c r="A56" s="2" t="b">
        <v>0</v>
      </c>
      <c r="B56" s="2" t="s">
        <v>79</v>
      </c>
      <c r="C56" s="2" t="s">
        <v>80</v>
      </c>
      <c r="D56" s="2" t="s">
        <v>750</v>
      </c>
      <c r="E56" s="2" t="s">
        <v>751</v>
      </c>
      <c r="F56" s="2">
        <v>2</v>
      </c>
      <c r="G56" s="2">
        <v>1</v>
      </c>
      <c r="H56" s="2">
        <v>12.9</v>
      </c>
      <c r="I56" s="2">
        <v>5.25</v>
      </c>
      <c r="J56" s="2" t="s">
        <v>254</v>
      </c>
      <c r="K56" s="2" t="s">
        <v>84</v>
      </c>
      <c r="L56" s="2" t="s">
        <v>83</v>
      </c>
      <c r="M56" s="2" t="s">
        <v>83</v>
      </c>
      <c r="N56" s="2" t="s">
        <v>750</v>
      </c>
      <c r="O56" s="2">
        <v>2.6960000000000002</v>
      </c>
      <c r="P56" s="2">
        <v>0.78800000000000003</v>
      </c>
      <c r="Q56" s="2">
        <v>1.4019999999999999</v>
      </c>
      <c r="R56" s="2">
        <v>0.42199999999999999</v>
      </c>
      <c r="S56" s="2">
        <v>2.1840000000000002</v>
      </c>
      <c r="T56" s="2">
        <v>0.54800000000000004</v>
      </c>
      <c r="U56" s="2">
        <v>0.47499999999999998</v>
      </c>
      <c r="V56" s="2">
        <v>0.25900000000000001</v>
      </c>
      <c r="W56" s="2">
        <v>0.251</v>
      </c>
      <c r="X56" s="2">
        <v>1.081</v>
      </c>
      <c r="Y56" s="2">
        <v>79.099999999999994</v>
      </c>
      <c r="Z56" s="2">
        <v>91.6</v>
      </c>
      <c r="AA56" s="2">
        <v>230.4</v>
      </c>
      <c r="AB56" s="2">
        <v>55.4</v>
      </c>
      <c r="AC56" s="2">
        <v>43.4</v>
      </c>
      <c r="AD56" s="2">
        <v>5739736.625</v>
      </c>
      <c r="AE56" s="2">
        <v>5201074.625</v>
      </c>
      <c r="AF56" s="2">
        <v>4625104.5625</v>
      </c>
      <c r="AG56" s="2">
        <v>4508732.875</v>
      </c>
      <c r="AH56" s="2">
        <v>4135504.25</v>
      </c>
      <c r="AI56" s="2">
        <v>126377.04003906299</v>
      </c>
      <c r="AJ56" s="2">
        <v>116482.52832031299</v>
      </c>
      <c r="AK56" s="2">
        <v>114930.583496094</v>
      </c>
      <c r="AL56" s="2">
        <v>129095.0546875</v>
      </c>
      <c r="AM56" s="2">
        <v>103689.328125</v>
      </c>
      <c r="AN56" s="2">
        <v>235302.076171875</v>
      </c>
      <c r="AO56" s="2">
        <v>233019.359375</v>
      </c>
      <c r="AP56" s="2">
        <v>264054.6875</v>
      </c>
      <c r="AQ56" s="2">
        <v>249788.2734375</v>
      </c>
      <c r="AR56" s="2">
        <v>371130.40625</v>
      </c>
      <c r="AS56" s="2">
        <v>494885.5234375</v>
      </c>
      <c r="AT56" s="2">
        <v>813655.7890625</v>
      </c>
      <c r="AU56" s="2">
        <v>470440.306640625</v>
      </c>
      <c r="AV56" s="2">
        <v>479897.73828125</v>
      </c>
      <c r="AW56" s="2">
        <v>563406.3515625</v>
      </c>
      <c r="AX56" s="2">
        <v>144413.703125</v>
      </c>
      <c r="AY56" s="2">
        <v>134207.015625</v>
      </c>
      <c r="AZ56" s="2">
        <v>153454.21875</v>
      </c>
      <c r="BA56" s="2">
        <v>139765.796875</v>
      </c>
      <c r="BB56" s="2">
        <v>130152.65625</v>
      </c>
      <c r="BC56" s="2" t="s">
        <v>79</v>
      </c>
      <c r="BD56" s="2" t="s">
        <v>79</v>
      </c>
      <c r="BE56" s="2" t="s">
        <v>79</v>
      </c>
      <c r="BF56" s="2" t="s">
        <v>79</v>
      </c>
      <c r="BG56" s="2" t="s">
        <v>79</v>
      </c>
      <c r="BH56" s="2" t="s">
        <v>91</v>
      </c>
      <c r="BI56" s="2" t="s">
        <v>91</v>
      </c>
      <c r="BJ56" s="2" t="s">
        <v>91</v>
      </c>
      <c r="BK56" s="2" t="s">
        <v>98</v>
      </c>
      <c r="BL56" s="2" t="s">
        <v>98</v>
      </c>
      <c r="BM56" s="2" t="s">
        <v>79</v>
      </c>
      <c r="BN56" s="2" t="s">
        <v>79</v>
      </c>
      <c r="BO56" s="2" t="s">
        <v>79</v>
      </c>
      <c r="BP56" s="2" t="s">
        <v>79</v>
      </c>
      <c r="BQ56" s="2" t="s">
        <v>79</v>
      </c>
      <c r="BR56" s="2" t="s">
        <v>79</v>
      </c>
      <c r="BS56" s="2" t="s">
        <v>79</v>
      </c>
      <c r="BT56" s="2" t="s">
        <v>79</v>
      </c>
      <c r="BU56" s="2" t="s">
        <v>79</v>
      </c>
      <c r="BV56" s="2" t="s">
        <v>79</v>
      </c>
      <c r="BW56" s="2" t="s">
        <v>98</v>
      </c>
      <c r="BX56" s="2" t="s">
        <v>98</v>
      </c>
      <c r="BY56" s="2" t="s">
        <v>98</v>
      </c>
      <c r="BZ56" s="2" t="s">
        <v>98</v>
      </c>
      <c r="CA56" s="2" t="s">
        <v>98</v>
      </c>
      <c r="CB56">
        <f>TTEST(AS56:AW56,AI56:AM56,2,2)</f>
        <v>1.2273268851583567E-4</v>
      </c>
      <c r="CC56">
        <f>TTEST(AD56:AH56,AI56:AM56,2,2)</f>
        <v>1.6406184624157406E-7</v>
      </c>
      <c r="CD56">
        <f>TTEST(AN56:AR56,AI56:AM56,2,2)</f>
        <v>3.875781084400335E-4</v>
      </c>
      <c r="CE56">
        <f>TTEST(AX56:BB56,AI56:AM56,2,2)</f>
        <v>6.3699171200449689E-3</v>
      </c>
      <c r="CF56">
        <v>68</v>
      </c>
      <c r="CG56">
        <v>25</v>
      </c>
      <c r="CH56">
        <v>62</v>
      </c>
      <c r="CI56">
        <v>77</v>
      </c>
      <c r="CJ56">
        <f>0.05*CF56/464</f>
        <v>7.3275862068965525E-3</v>
      </c>
      <c r="CK56">
        <f>0.05*CG56/464</f>
        <v>2.6939655172413795E-3</v>
      </c>
      <c r="CL56">
        <f>0.05*CH56/464</f>
        <v>6.681034482758621E-3</v>
      </c>
      <c r="CM56">
        <f>0.05*CI56/464</f>
        <v>8.2974137931034492E-3</v>
      </c>
      <c r="CN56" t="str">
        <f>IF(CB56&lt;CJ56,"yes","no")</f>
        <v>yes</v>
      </c>
      <c r="CO56" t="str">
        <f>IF(CC56&lt;CK56,"yes","no")</f>
        <v>yes</v>
      </c>
      <c r="CP56" t="str">
        <f>IF(CD56&lt;CL56,"yes","no")</f>
        <v>yes</v>
      </c>
      <c r="CQ56" t="str">
        <f>IF(CE56&lt;CM56,"yes","no")</f>
        <v>yes</v>
      </c>
      <c r="CR56">
        <f>TTEST(AS56:AW56,AD56:AH56,2,2)</f>
        <v>4.3189517945295349E-7</v>
      </c>
      <c r="CS56">
        <f>TTEST(AS56:AW56,AN56:AR56,2,2)</f>
        <v>2.8497258966263738E-3</v>
      </c>
      <c r="CT56">
        <f>TTEST(AS56:AW56,AX56:BB56,2,2)</f>
        <v>1.7434947863807874E-4</v>
      </c>
      <c r="CU56">
        <v>36</v>
      </c>
      <c r="CV56">
        <v>109</v>
      </c>
      <c r="CW56">
        <v>55</v>
      </c>
      <c r="CX56">
        <f t="shared" si="0"/>
        <v>3.8793103448275862E-3</v>
      </c>
      <c r="CY56">
        <f t="shared" si="1"/>
        <v>1.1745689655172415E-2</v>
      </c>
      <c r="CZ56">
        <f t="shared" si="2"/>
        <v>5.9267241379310342E-3</v>
      </c>
      <c r="DA56" t="str">
        <f>IF(CR56&lt;CX56,"yes","no")</f>
        <v>yes</v>
      </c>
      <c r="DB56" t="str">
        <f>IF(CS56&lt;CY56,"yes","no")</f>
        <v>yes</v>
      </c>
      <c r="DC56" t="str">
        <f>IF(CT56&lt;CZ56,"yes","no")</f>
        <v>yes</v>
      </c>
    </row>
    <row r="57" spans="1:107" x14ac:dyDescent="0.2">
      <c r="A57" s="2" t="b">
        <v>0</v>
      </c>
      <c r="B57" s="2" t="s">
        <v>79</v>
      </c>
      <c r="C57" s="2" t="s">
        <v>80</v>
      </c>
      <c r="D57" s="2" t="s">
        <v>492</v>
      </c>
      <c r="E57" s="2" t="s">
        <v>493</v>
      </c>
      <c r="F57" s="2">
        <v>9</v>
      </c>
      <c r="G57" s="2">
        <v>1</v>
      </c>
      <c r="H57" s="2">
        <v>78.099999999999994</v>
      </c>
      <c r="I57" s="2">
        <v>4.97</v>
      </c>
      <c r="J57" s="2" t="s">
        <v>494</v>
      </c>
      <c r="K57" s="2" t="s">
        <v>84</v>
      </c>
      <c r="L57" s="2" t="s">
        <v>119</v>
      </c>
      <c r="M57" s="2" t="s">
        <v>495</v>
      </c>
      <c r="N57" s="2" t="s">
        <v>492</v>
      </c>
      <c r="O57" s="2">
        <v>9.0549999999999997</v>
      </c>
      <c r="P57" s="2">
        <v>0.90500000000000003</v>
      </c>
      <c r="Q57" s="2">
        <v>0.86899999999999999</v>
      </c>
      <c r="R57" s="2">
        <v>0.77700000000000002</v>
      </c>
      <c r="S57" s="2">
        <v>8.9930000000000003</v>
      </c>
      <c r="T57" s="2">
        <v>0.71599999999999997</v>
      </c>
      <c r="U57" s="2">
        <v>0.251</v>
      </c>
      <c r="V57" s="2">
        <v>9.4E-2</v>
      </c>
      <c r="W57" s="2">
        <v>0.08</v>
      </c>
      <c r="X57" s="2">
        <v>0.315</v>
      </c>
      <c r="Y57" s="2">
        <v>43.4</v>
      </c>
      <c r="Z57" s="2">
        <v>28.8</v>
      </c>
      <c r="AA57" s="2">
        <v>383.2</v>
      </c>
      <c r="AB57" s="2">
        <v>39.4</v>
      </c>
      <c r="AC57" s="2">
        <v>5.2</v>
      </c>
      <c r="AD57" s="2">
        <v>2109974.1484375</v>
      </c>
      <c r="AE57" s="2">
        <v>1769453.4375</v>
      </c>
      <c r="AF57" s="2">
        <v>1690724.9921875</v>
      </c>
      <c r="AG57" s="2">
        <v>1700712.0703125</v>
      </c>
      <c r="AH57" s="2">
        <v>1760468.21875</v>
      </c>
      <c r="AI57" s="2">
        <v>44473.055908203103</v>
      </c>
      <c r="AJ57" s="2">
        <v>25814.0205078125</v>
      </c>
      <c r="AK57" s="2">
        <v>26428.981323242198</v>
      </c>
      <c r="AL57" s="2">
        <v>36257.4931640625</v>
      </c>
      <c r="AM57" s="2">
        <v>8439.4599609375</v>
      </c>
      <c r="AN57" s="2">
        <v>282529.638671875</v>
      </c>
      <c r="AO57" s="2">
        <v>312768.306640625</v>
      </c>
      <c r="AP57" s="2">
        <v>342978.46875</v>
      </c>
      <c r="AQ57" s="2">
        <v>334320.880859375</v>
      </c>
      <c r="AR57" s="2">
        <v>413893.154296875</v>
      </c>
      <c r="AS57" s="2">
        <v>204326.3984375</v>
      </c>
      <c r="AT57" s="2">
        <v>359817.283203125</v>
      </c>
      <c r="AU57" s="2">
        <v>225108.53125</v>
      </c>
      <c r="AV57" s="2">
        <v>209445.14111328099</v>
      </c>
      <c r="AW57" s="2">
        <v>317784.76171875</v>
      </c>
      <c r="AX57" s="2">
        <v>11679.9052734375</v>
      </c>
      <c r="AY57" s="2" t="s">
        <v>83</v>
      </c>
      <c r="AZ57" s="2">
        <v>12929.4169921875</v>
      </c>
      <c r="BA57" s="2">
        <v>8158.62939453125</v>
      </c>
      <c r="BB57" s="2">
        <v>10373.431640625</v>
      </c>
      <c r="BC57" s="2" t="s">
        <v>79</v>
      </c>
      <c r="BD57" s="2" t="s">
        <v>91</v>
      </c>
      <c r="BE57" s="2" t="s">
        <v>79</v>
      </c>
      <c r="BF57" s="2" t="s">
        <v>79</v>
      </c>
      <c r="BG57" s="2" t="s">
        <v>79</v>
      </c>
      <c r="BH57" s="2" t="s">
        <v>91</v>
      </c>
      <c r="BI57" s="2" t="s">
        <v>98</v>
      </c>
      <c r="BJ57" s="2" t="s">
        <v>98</v>
      </c>
      <c r="BK57" s="2" t="s">
        <v>98</v>
      </c>
      <c r="BL57" s="2" t="s">
        <v>98</v>
      </c>
      <c r="BM57" s="2" t="s">
        <v>79</v>
      </c>
      <c r="BN57" s="2" t="s">
        <v>91</v>
      </c>
      <c r="BO57" s="2" t="s">
        <v>79</v>
      </c>
      <c r="BP57" s="2" t="s">
        <v>91</v>
      </c>
      <c r="BQ57" s="2" t="s">
        <v>91</v>
      </c>
      <c r="BR57" s="2" t="s">
        <v>98</v>
      </c>
      <c r="BS57" s="2" t="s">
        <v>79</v>
      </c>
      <c r="BT57" s="2" t="s">
        <v>98</v>
      </c>
      <c r="BU57" s="2" t="s">
        <v>98</v>
      </c>
      <c r="BV57" s="2" t="s">
        <v>91</v>
      </c>
      <c r="BW57" s="2" t="s">
        <v>98</v>
      </c>
      <c r="BX57" s="2" t="s">
        <v>98</v>
      </c>
      <c r="BY57" s="2" t="s">
        <v>91</v>
      </c>
      <c r="BZ57" s="2" t="s">
        <v>98</v>
      </c>
      <c r="CA57" s="2" t="s">
        <v>91</v>
      </c>
      <c r="CB57">
        <f>TTEST(AS57:AW57,AI57:AM57,2,2)</f>
        <v>8.5633043571356604E-5</v>
      </c>
      <c r="CC57">
        <f>TTEST(AD57:AH57,AI57:AM57,2,2)</f>
        <v>1.4184222146342184E-8</v>
      </c>
      <c r="CD57">
        <f>TTEST(AN57:AR57,AI57:AM57,2,2)</f>
        <v>7.9520634776996891E-7</v>
      </c>
      <c r="CE57">
        <f>TTEST(AX57:BB57,AI57:AM57,2,2)</f>
        <v>3.8985245402028489E-2</v>
      </c>
      <c r="CF57">
        <v>61</v>
      </c>
      <c r="CG57">
        <v>6</v>
      </c>
      <c r="CH57">
        <v>6</v>
      </c>
      <c r="CI57">
        <v>103</v>
      </c>
      <c r="CJ57">
        <f>0.05*CF57/464</f>
        <v>6.5732758620689665E-3</v>
      </c>
      <c r="CK57">
        <f>0.05*CG57/464</f>
        <v>6.4655172413793113E-4</v>
      </c>
      <c r="CL57">
        <f>0.05*CH57/464</f>
        <v>6.4655172413793113E-4</v>
      </c>
      <c r="CM57">
        <f>0.05*CI57/464</f>
        <v>1.1099137931034484E-2</v>
      </c>
      <c r="CN57" t="str">
        <f>IF(CB57&lt;CJ57,"yes","no")</f>
        <v>yes</v>
      </c>
      <c r="CO57" t="str">
        <f>IF(CC57&lt;CK57,"yes","no")</f>
        <v>yes</v>
      </c>
      <c r="CP57" t="str">
        <f>IF(CD57&lt;CL57,"yes","no")</f>
        <v>yes</v>
      </c>
      <c r="CQ57" t="str">
        <f>IF(CE57&lt;CM57,"yes","no")</f>
        <v>no</v>
      </c>
      <c r="CR57">
        <f>TTEST(AS57:AW57,AD57:AH57,2,2)</f>
        <v>7.7638699748305372E-8</v>
      </c>
      <c r="CS57">
        <f>TTEST(AS57:AW57,AN57:AR57,2,2)</f>
        <v>9.0750820760983078E-2</v>
      </c>
      <c r="CT57">
        <f>TTEST(AS57:AW57,AX57:BB57,2,2)</f>
        <v>2.0805044502829448E-4</v>
      </c>
      <c r="CU57">
        <v>13</v>
      </c>
      <c r="CV57">
        <v>176</v>
      </c>
      <c r="CW57">
        <v>56</v>
      </c>
      <c r="CX57">
        <f t="shared" si="0"/>
        <v>1.4008620689655172E-3</v>
      </c>
      <c r="CY57">
        <f t="shared" si="1"/>
        <v>1.8965517241379314E-2</v>
      </c>
      <c r="CZ57">
        <f t="shared" si="2"/>
        <v>6.0344827586206904E-3</v>
      </c>
      <c r="DA57" t="str">
        <f>IF(CR57&lt;CX57,"yes","no")</f>
        <v>yes</v>
      </c>
      <c r="DB57" t="str">
        <f>IF(CS57&lt;CY57,"yes","no")</f>
        <v>no</v>
      </c>
      <c r="DC57" t="str">
        <f>IF(CT57&lt;CZ57,"yes","no")</f>
        <v>yes</v>
      </c>
    </row>
    <row r="58" spans="1:107" x14ac:dyDescent="0.2">
      <c r="A58" s="2" t="b">
        <v>0</v>
      </c>
      <c r="B58" s="2" t="s">
        <v>79</v>
      </c>
      <c r="C58" s="2" t="s">
        <v>80</v>
      </c>
      <c r="D58" s="2" t="s">
        <v>1110</v>
      </c>
      <c r="E58" s="2" t="s">
        <v>1111</v>
      </c>
      <c r="F58" s="2">
        <v>2</v>
      </c>
      <c r="G58" s="2">
        <v>2</v>
      </c>
      <c r="H58" s="2">
        <v>29.5</v>
      </c>
      <c r="I58" s="2">
        <v>7.72</v>
      </c>
      <c r="J58" s="2" t="s">
        <v>380</v>
      </c>
      <c r="K58" s="2" t="s">
        <v>669</v>
      </c>
      <c r="L58" s="2" t="s">
        <v>83</v>
      </c>
      <c r="M58" s="2" t="s">
        <v>83</v>
      </c>
      <c r="N58" s="2" t="s">
        <v>1112</v>
      </c>
      <c r="O58" s="2">
        <v>1.556</v>
      </c>
      <c r="P58" s="2">
        <v>0.79700000000000004</v>
      </c>
      <c r="Q58" s="2">
        <v>0.92200000000000004</v>
      </c>
      <c r="R58" s="2">
        <v>0.59699999999999998</v>
      </c>
      <c r="S58" s="2">
        <v>0.85899999999999999</v>
      </c>
      <c r="T58" s="2">
        <v>0.44600000000000001</v>
      </c>
      <c r="U58" s="2">
        <v>0.80100000000000005</v>
      </c>
      <c r="V58" s="2">
        <v>0.432</v>
      </c>
      <c r="W58" s="2">
        <v>0.73</v>
      </c>
      <c r="X58" s="2">
        <v>1.381</v>
      </c>
      <c r="Y58" s="2">
        <v>88.8</v>
      </c>
      <c r="Z58" s="2">
        <v>159.9</v>
      </c>
      <c r="AA58" s="2">
        <v>123.1</v>
      </c>
      <c r="AB58" s="2">
        <v>60.4</v>
      </c>
      <c r="AC58" s="2">
        <v>67.7</v>
      </c>
      <c r="AD58" s="2">
        <v>632339.7109375</v>
      </c>
      <c r="AE58" s="2">
        <v>531516.0546875</v>
      </c>
      <c r="AF58" s="2">
        <v>557884.125</v>
      </c>
      <c r="AG58" s="2">
        <v>547456.3125</v>
      </c>
      <c r="AH58" s="2">
        <v>561885.6875</v>
      </c>
      <c r="AI58" s="2">
        <v>30393.201171875</v>
      </c>
      <c r="AJ58" s="2">
        <v>11678.71875</v>
      </c>
      <c r="AK58" s="2">
        <v>18040.296875</v>
      </c>
      <c r="AL58" s="2">
        <v>52671.189453125</v>
      </c>
      <c r="AM58" s="2">
        <v>5777.71435546875</v>
      </c>
      <c r="AN58" s="2">
        <v>6834.7705078125</v>
      </c>
      <c r="AO58" s="2">
        <v>20124.9931640625</v>
      </c>
      <c r="AP58" s="2">
        <v>14315.373046875</v>
      </c>
      <c r="AQ58" s="2">
        <v>26345.96484375</v>
      </c>
      <c r="AR58" s="2">
        <v>20443.406738281301</v>
      </c>
      <c r="AS58" s="2">
        <v>55147.65234375</v>
      </c>
      <c r="AT58" s="2">
        <v>81094.4921875</v>
      </c>
      <c r="AU58" s="2">
        <v>63516.4765625</v>
      </c>
      <c r="AV58" s="2">
        <v>57010.634765625</v>
      </c>
      <c r="AW58" s="2">
        <v>60641.896484375</v>
      </c>
      <c r="AX58" s="2">
        <v>21504.9609375</v>
      </c>
      <c r="AY58" s="2">
        <v>39741.546875</v>
      </c>
      <c r="AZ58" s="2">
        <v>27832.869140625</v>
      </c>
      <c r="BA58" s="2">
        <v>20961.162109375</v>
      </c>
      <c r="BB58" s="2">
        <v>23383.416015625</v>
      </c>
      <c r="BC58" s="2" t="s">
        <v>79</v>
      </c>
      <c r="BD58" s="2" t="s">
        <v>79</v>
      </c>
      <c r="BE58" s="2" t="s">
        <v>79</v>
      </c>
      <c r="BF58" s="2" t="s">
        <v>79</v>
      </c>
      <c r="BG58" s="2" t="s">
        <v>79</v>
      </c>
      <c r="BH58" s="2" t="s">
        <v>91</v>
      </c>
      <c r="BI58" s="2" t="s">
        <v>91</v>
      </c>
      <c r="BJ58" s="2" t="s">
        <v>91</v>
      </c>
      <c r="BK58" s="2" t="s">
        <v>91</v>
      </c>
      <c r="BL58" s="2" t="s">
        <v>91</v>
      </c>
      <c r="BM58" s="2" t="s">
        <v>91</v>
      </c>
      <c r="BN58" s="2" t="s">
        <v>91</v>
      </c>
      <c r="BO58" s="2" t="s">
        <v>91</v>
      </c>
      <c r="BP58" s="2" t="s">
        <v>91</v>
      </c>
      <c r="BQ58" s="2" t="s">
        <v>91</v>
      </c>
      <c r="BR58" s="2" t="s">
        <v>91</v>
      </c>
      <c r="BS58" s="2" t="s">
        <v>79</v>
      </c>
      <c r="BT58" s="2" t="s">
        <v>91</v>
      </c>
      <c r="BU58" s="2" t="s">
        <v>79</v>
      </c>
      <c r="BV58" s="2" t="s">
        <v>91</v>
      </c>
      <c r="BW58" s="2" t="s">
        <v>91</v>
      </c>
      <c r="BX58" s="2" t="s">
        <v>91</v>
      </c>
      <c r="BY58" s="2" t="s">
        <v>91</v>
      </c>
      <c r="BZ58" s="2" t="s">
        <v>91</v>
      </c>
      <c r="CA58" s="2" t="s">
        <v>91</v>
      </c>
      <c r="CB58">
        <f>TTEST(AS58:AW58,AI58:AM58,2,2)</f>
        <v>3.0846242293881962E-3</v>
      </c>
      <c r="CC58">
        <f>TTEST(AD58:AH58,AI58:AM58,2,2)</f>
        <v>2.6963920239374169E-9</v>
      </c>
      <c r="CD58">
        <f>TTEST(AN58:AR58,AI58:AM58,2,2)</f>
        <v>0.51447795743441016</v>
      </c>
      <c r="CE58">
        <f>TTEST(AX58:BB58,AI58:AM58,2,2)</f>
        <v>0.74997625108957244</v>
      </c>
      <c r="CF58">
        <v>119</v>
      </c>
      <c r="CG58">
        <v>2</v>
      </c>
      <c r="CH58">
        <v>188</v>
      </c>
      <c r="CI58">
        <v>181</v>
      </c>
      <c r="CJ58">
        <f>0.05*CF58/464</f>
        <v>1.2823275862068965E-2</v>
      </c>
      <c r="CK58">
        <f>0.05*CG58/464</f>
        <v>2.1551724137931037E-4</v>
      </c>
      <c r="CL58">
        <f>0.05*CH58/464</f>
        <v>2.0258620689655175E-2</v>
      </c>
      <c r="CM58">
        <f>0.05*CI58/464</f>
        <v>1.9504310344827587E-2</v>
      </c>
      <c r="CN58" t="str">
        <f>IF(CB58&lt;CJ58,"yes","no")</f>
        <v>yes</v>
      </c>
      <c r="CO58" t="str">
        <f>IF(CC58&lt;CK58,"yes","no")</f>
        <v>yes</v>
      </c>
      <c r="CP58" t="str">
        <f>IF(CD58&lt;CL58,"yes","no")</f>
        <v>no</v>
      </c>
      <c r="CQ58" t="str">
        <f>IF(CE58&lt;CM58,"yes","no")</f>
        <v>no</v>
      </c>
      <c r="CR58">
        <f>TTEST(AS58:AW58,AD58:AH58,2,2)</f>
        <v>2.8557356301351974E-9</v>
      </c>
      <c r="CS58">
        <f>TTEST(AS58:AW58,AN58:AR58,2,2)</f>
        <v>4.1262999929465867E-5</v>
      </c>
      <c r="CT58">
        <f>TTEST(AS58:AW58,AX58:BB58,2,2)</f>
        <v>2.2092654689369884E-4</v>
      </c>
      <c r="CU58">
        <v>2</v>
      </c>
      <c r="CV58">
        <v>29</v>
      </c>
      <c r="CW58">
        <v>57</v>
      </c>
      <c r="CX58">
        <f t="shared" si="0"/>
        <v>2.1551724137931037E-4</v>
      </c>
      <c r="CY58">
        <f t="shared" si="1"/>
        <v>3.1250000000000002E-3</v>
      </c>
      <c r="CZ58">
        <f t="shared" si="2"/>
        <v>6.142241379310345E-3</v>
      </c>
      <c r="DA58" t="str">
        <f>IF(CR58&lt;CX58,"yes","no")</f>
        <v>yes</v>
      </c>
      <c r="DB58" t="str">
        <f>IF(CS58&lt;CY58,"yes","no")</f>
        <v>yes</v>
      </c>
      <c r="DC58" t="str">
        <f>IF(CT58&lt;CZ58,"yes","no")</f>
        <v>yes</v>
      </c>
    </row>
    <row r="59" spans="1:107" x14ac:dyDescent="0.2">
      <c r="A59" s="2" t="b">
        <v>0</v>
      </c>
      <c r="B59" s="2" t="s">
        <v>79</v>
      </c>
      <c r="C59" s="2" t="s">
        <v>80</v>
      </c>
      <c r="D59" s="2" t="s">
        <v>419</v>
      </c>
      <c r="E59" s="2" t="s">
        <v>420</v>
      </c>
      <c r="F59" s="2">
        <v>14</v>
      </c>
      <c r="G59" s="2">
        <v>12</v>
      </c>
      <c r="H59" s="2">
        <v>276</v>
      </c>
      <c r="I59" s="2">
        <v>5.08</v>
      </c>
      <c r="J59" s="2" t="s">
        <v>83</v>
      </c>
      <c r="K59" s="2" t="s">
        <v>128</v>
      </c>
      <c r="L59" s="2" t="s">
        <v>83</v>
      </c>
      <c r="M59" s="2" t="s">
        <v>421</v>
      </c>
      <c r="N59" s="2" t="s">
        <v>419</v>
      </c>
      <c r="O59" s="2">
        <v>1.236</v>
      </c>
      <c r="P59" s="2">
        <v>0.79400000000000004</v>
      </c>
      <c r="Q59" s="2">
        <v>0.997</v>
      </c>
      <c r="R59" s="2">
        <v>0.60699999999999998</v>
      </c>
      <c r="S59" s="2">
        <v>0.54100000000000004</v>
      </c>
      <c r="T59" s="2">
        <v>0.53900000000000003</v>
      </c>
      <c r="U59" s="2">
        <v>1.34</v>
      </c>
      <c r="V59" s="2">
        <v>0.65300000000000002</v>
      </c>
      <c r="W59" s="2">
        <v>0.89300000000000002</v>
      </c>
      <c r="X59" s="2">
        <v>1.26</v>
      </c>
      <c r="Y59" s="2">
        <v>182.7</v>
      </c>
      <c r="Z59" s="2">
        <v>135</v>
      </c>
      <c r="AA59" s="2">
        <v>22.5</v>
      </c>
      <c r="AB59" s="2">
        <v>101.4</v>
      </c>
      <c r="AC59" s="2">
        <v>58.5</v>
      </c>
      <c r="AD59" s="2">
        <v>3531311.125</v>
      </c>
      <c r="AE59" s="2">
        <v>2811150.7421875</v>
      </c>
      <c r="AF59" s="2">
        <v>3561020.42578125</v>
      </c>
      <c r="AG59" s="2">
        <v>2279295.7167968801</v>
      </c>
      <c r="AH59" s="2">
        <v>2157527.5546875</v>
      </c>
      <c r="AI59" s="2">
        <v>44485.3193359375</v>
      </c>
      <c r="AJ59" s="2">
        <v>47891.859375</v>
      </c>
      <c r="AK59" s="2">
        <v>63077.240722656301</v>
      </c>
      <c r="AL59" s="2">
        <v>64192.230957031301</v>
      </c>
      <c r="AM59" s="2">
        <v>44603.109375</v>
      </c>
      <c r="AN59" s="2">
        <v>22601.702636718801</v>
      </c>
      <c r="AO59" s="2">
        <v>5721.15625</v>
      </c>
      <c r="AP59" s="2">
        <v>8624.34765625</v>
      </c>
      <c r="AQ59" s="2">
        <v>7758.22607421875</v>
      </c>
      <c r="AR59" s="2">
        <v>40480.544189453103</v>
      </c>
      <c r="AS59" s="2">
        <v>237175.64160156299</v>
      </c>
      <c r="AT59" s="2">
        <v>386975.26953125</v>
      </c>
      <c r="AU59" s="2">
        <v>223013.40625</v>
      </c>
      <c r="AV59" s="2">
        <v>197238.2109375</v>
      </c>
      <c r="AW59" s="2">
        <v>300803.95410156302</v>
      </c>
      <c r="AX59" s="2">
        <v>64396.599121093801</v>
      </c>
      <c r="AY59" s="2">
        <v>22490.025390625</v>
      </c>
      <c r="AZ59" s="2">
        <v>56104.533691406301</v>
      </c>
      <c r="BA59" s="2">
        <v>53194.232421875</v>
      </c>
      <c r="BB59" s="2">
        <v>46251.865234375</v>
      </c>
      <c r="BC59" s="2" t="s">
        <v>79</v>
      </c>
      <c r="BD59" s="2" t="s">
        <v>79</v>
      </c>
      <c r="BE59" s="2" t="s">
        <v>79</v>
      </c>
      <c r="BF59" s="2" t="s">
        <v>79</v>
      </c>
      <c r="BG59" s="2" t="s">
        <v>79</v>
      </c>
      <c r="BH59" s="2" t="s">
        <v>91</v>
      </c>
      <c r="BI59" s="2" t="s">
        <v>91</v>
      </c>
      <c r="BJ59" s="2" t="s">
        <v>91</v>
      </c>
      <c r="BK59" s="2" t="s">
        <v>91</v>
      </c>
      <c r="BL59" s="2" t="s">
        <v>91</v>
      </c>
      <c r="BM59" s="2" t="s">
        <v>91</v>
      </c>
      <c r="BN59" s="2" t="s">
        <v>91</v>
      </c>
      <c r="BO59" s="2" t="s">
        <v>91</v>
      </c>
      <c r="BP59" s="2" t="s">
        <v>91</v>
      </c>
      <c r="BQ59" s="2" t="s">
        <v>91</v>
      </c>
      <c r="BR59" s="2" t="s">
        <v>79</v>
      </c>
      <c r="BS59" s="2" t="s">
        <v>79</v>
      </c>
      <c r="BT59" s="2" t="s">
        <v>79</v>
      </c>
      <c r="BU59" s="2" t="s">
        <v>79</v>
      </c>
      <c r="BV59" s="2" t="s">
        <v>79</v>
      </c>
      <c r="BW59" s="2" t="s">
        <v>91</v>
      </c>
      <c r="BX59" s="2" t="s">
        <v>91</v>
      </c>
      <c r="BY59" s="2" t="s">
        <v>91</v>
      </c>
      <c r="BZ59" s="2" t="s">
        <v>91</v>
      </c>
      <c r="CA59" s="2" t="s">
        <v>91</v>
      </c>
      <c r="CB59">
        <f>TTEST(AS59:AW59,AI59:AM59,2,2)</f>
        <v>2.3449839521978526E-4</v>
      </c>
      <c r="CC59">
        <f>TTEST(AD59:AH59,AI59:AM59,2,2)</f>
        <v>1.293526286861343E-5</v>
      </c>
      <c r="CD59">
        <f>TTEST(AN59:AR59,AI59:AM59,2,2)</f>
        <v>1.9766474657818118E-3</v>
      </c>
      <c r="CE59">
        <f>TTEST(AX59:BB59,AI59:AM59,2,2)</f>
        <v>0.61742437275864814</v>
      </c>
      <c r="CF59">
        <v>80</v>
      </c>
      <c r="CG59">
        <v>83</v>
      </c>
      <c r="CH59">
        <v>80</v>
      </c>
      <c r="CI59">
        <v>169</v>
      </c>
      <c r="CJ59">
        <f>0.05*CF59/464</f>
        <v>8.6206896551724137E-3</v>
      </c>
      <c r="CK59">
        <f>0.05*CG59/464</f>
        <v>8.9439655172413798E-3</v>
      </c>
      <c r="CL59">
        <f>0.05*CH59/464</f>
        <v>8.6206896551724137E-3</v>
      </c>
      <c r="CM59">
        <f>0.05*CI59/464</f>
        <v>1.8211206896551726E-2</v>
      </c>
      <c r="CN59" t="str">
        <f>IF(CB59&lt;CJ59,"yes","no")</f>
        <v>yes</v>
      </c>
      <c r="CO59" t="str">
        <f>IF(CC59&lt;CK59,"yes","no")</f>
        <v>yes</v>
      </c>
      <c r="CP59" t="str">
        <f>IF(CD59&lt;CL59,"yes","no")</f>
        <v>yes</v>
      </c>
      <c r="CQ59" t="str">
        <f>IF(CE59&lt;CM59,"yes","no")</f>
        <v>no</v>
      </c>
      <c r="CR59">
        <f>TTEST(AS59:AW59,AD59:AH59,2,2)</f>
        <v>2.4406078313356203E-5</v>
      </c>
      <c r="CS59">
        <f>TTEST(AS59:AW59,AN59:AR59,2,2)</f>
        <v>8.6883391381660277E-5</v>
      </c>
      <c r="CT59">
        <f>TTEST(AS59:AW59,AX59:BB59,2,2)</f>
        <v>2.2353550812370362E-4</v>
      </c>
      <c r="CU59">
        <v>107</v>
      </c>
      <c r="CV59">
        <v>43</v>
      </c>
      <c r="CW59">
        <v>58</v>
      </c>
      <c r="CX59">
        <f t="shared" si="0"/>
        <v>1.1530172413793104E-2</v>
      </c>
      <c r="CY59">
        <f t="shared" si="1"/>
        <v>4.6336206896551721E-3</v>
      </c>
      <c r="CZ59">
        <f t="shared" si="2"/>
        <v>6.2500000000000003E-3</v>
      </c>
      <c r="DA59" t="str">
        <f>IF(CR59&lt;CX59,"yes","no")</f>
        <v>yes</v>
      </c>
      <c r="DB59" t="str">
        <f>IF(CS59&lt;CY59,"yes","no")</f>
        <v>yes</v>
      </c>
      <c r="DC59" t="str">
        <f>IF(CT59&lt;CZ59,"yes","no")</f>
        <v>yes</v>
      </c>
    </row>
    <row r="60" spans="1:107" x14ac:dyDescent="0.2">
      <c r="A60" s="2" t="b">
        <v>0</v>
      </c>
      <c r="B60" s="2" t="s">
        <v>79</v>
      </c>
      <c r="C60" s="2" t="s">
        <v>80</v>
      </c>
      <c r="D60" s="2" t="s">
        <v>747</v>
      </c>
      <c r="E60" s="2" t="s">
        <v>748</v>
      </c>
      <c r="F60" s="2">
        <v>4</v>
      </c>
      <c r="G60" s="2">
        <v>4</v>
      </c>
      <c r="H60" s="2">
        <v>13.5</v>
      </c>
      <c r="I60" s="2">
        <v>9.06</v>
      </c>
      <c r="J60" s="2" t="s">
        <v>254</v>
      </c>
      <c r="K60" s="2" t="s">
        <v>319</v>
      </c>
      <c r="L60" s="2" t="s">
        <v>119</v>
      </c>
      <c r="M60" s="2" t="s">
        <v>749</v>
      </c>
      <c r="N60" s="2" t="s">
        <v>747</v>
      </c>
      <c r="O60" s="2">
        <v>2.7480000000000002</v>
      </c>
      <c r="P60" s="2">
        <v>0.84</v>
      </c>
      <c r="Q60" s="2">
        <v>0.94699999999999995</v>
      </c>
      <c r="R60" s="2">
        <v>0.73399999999999999</v>
      </c>
      <c r="S60" s="2">
        <v>2.637</v>
      </c>
      <c r="T60" s="2">
        <v>1.3109999999999999</v>
      </c>
      <c r="U60" s="2">
        <v>0.99</v>
      </c>
      <c r="V60" s="2">
        <v>0.503</v>
      </c>
      <c r="W60" s="2">
        <v>0.39700000000000002</v>
      </c>
      <c r="X60" s="2">
        <v>0.70499999999999996</v>
      </c>
      <c r="Y60" s="2">
        <v>36.299999999999997</v>
      </c>
      <c r="Z60" s="2">
        <v>29</v>
      </c>
      <c r="AA60" s="2">
        <v>76.599999999999994</v>
      </c>
      <c r="AB60" s="2">
        <v>217.5</v>
      </c>
      <c r="AC60" s="2">
        <v>140.6</v>
      </c>
      <c r="AD60" s="2">
        <v>747251.296875</v>
      </c>
      <c r="AE60" s="2">
        <v>578625.8203125</v>
      </c>
      <c r="AF60" s="2">
        <v>613868.609375</v>
      </c>
      <c r="AG60" s="2">
        <v>5076475.390625</v>
      </c>
      <c r="AH60" s="2">
        <v>4194295.8984375</v>
      </c>
      <c r="AI60" s="2" t="s">
        <v>83</v>
      </c>
      <c r="AJ60" s="2" t="s">
        <v>83</v>
      </c>
      <c r="AK60" s="2" t="s">
        <v>83</v>
      </c>
      <c r="AL60" s="2">
        <v>16883.068359375</v>
      </c>
      <c r="AM60" s="2" t="s">
        <v>83</v>
      </c>
      <c r="AN60" s="2" t="s">
        <v>83</v>
      </c>
      <c r="AO60" s="2">
        <v>24741.3515625</v>
      </c>
      <c r="AP60" s="2">
        <v>24129.42578125</v>
      </c>
      <c r="AQ60" s="2">
        <v>33648.39453125</v>
      </c>
      <c r="AR60" s="2">
        <v>36728.26171875</v>
      </c>
      <c r="AS60" s="2">
        <v>536891.443359375</v>
      </c>
      <c r="AT60" s="2">
        <v>910845.35546875</v>
      </c>
      <c r="AU60" s="2">
        <v>477783.15771484398</v>
      </c>
      <c r="AV60" s="2">
        <v>679447.82324218797</v>
      </c>
      <c r="AW60" s="2">
        <v>737671.65136718797</v>
      </c>
      <c r="AX60" s="2">
        <v>250656.9140625</v>
      </c>
      <c r="AY60" s="2">
        <v>131728.96875</v>
      </c>
      <c r="AZ60" s="2">
        <v>156569.482421875</v>
      </c>
      <c r="BA60" s="2">
        <v>150814.005859375</v>
      </c>
      <c r="BB60" s="2">
        <v>99704.3896484375</v>
      </c>
      <c r="BC60" s="2" t="s">
        <v>79</v>
      </c>
      <c r="BD60" s="2" t="s">
        <v>79</v>
      </c>
      <c r="BE60" s="2" t="s">
        <v>79</v>
      </c>
      <c r="BF60" s="2" t="s">
        <v>79</v>
      </c>
      <c r="BG60" s="2" t="s">
        <v>79</v>
      </c>
      <c r="BH60" s="2" t="s">
        <v>98</v>
      </c>
      <c r="BI60" s="2" t="s">
        <v>98</v>
      </c>
      <c r="BJ60" s="2" t="s">
        <v>98</v>
      </c>
      <c r="BK60" s="2" t="s">
        <v>91</v>
      </c>
      <c r="BL60" s="2" t="s">
        <v>98</v>
      </c>
      <c r="BM60" s="2" t="s">
        <v>98</v>
      </c>
      <c r="BN60" s="2" t="s">
        <v>91</v>
      </c>
      <c r="BO60" s="2" t="s">
        <v>91</v>
      </c>
      <c r="BP60" s="2" t="s">
        <v>91</v>
      </c>
      <c r="BQ60" s="2" t="s">
        <v>79</v>
      </c>
      <c r="BR60" s="2" t="s">
        <v>79</v>
      </c>
      <c r="BS60" s="2" t="s">
        <v>79</v>
      </c>
      <c r="BT60" s="2" t="s">
        <v>79</v>
      </c>
      <c r="BU60" s="2" t="s">
        <v>79</v>
      </c>
      <c r="BV60" s="2" t="s">
        <v>79</v>
      </c>
      <c r="BW60" s="2" t="s">
        <v>79</v>
      </c>
      <c r="BX60" s="2" t="s">
        <v>91</v>
      </c>
      <c r="BY60" s="2" t="s">
        <v>91</v>
      </c>
      <c r="BZ60" s="2" t="s">
        <v>91</v>
      </c>
      <c r="CA60" s="2" t="s">
        <v>91</v>
      </c>
      <c r="CB60" t="e">
        <f>TTEST(AS60:AW60,AI60:AM60,2,2)</f>
        <v>#DIV/0!</v>
      </c>
      <c r="CC60" t="e">
        <f>TTEST(AD60:AH60,AI60:AM60,2,2)</f>
        <v>#DIV/0!</v>
      </c>
      <c r="CD60" t="e">
        <f>TTEST(AN60:AR60,AI60:AM60,2,2)</f>
        <v>#DIV/0!</v>
      </c>
      <c r="CE60" t="e">
        <f>TTEST(AX60:BB60,AI60:AM60,2,2)</f>
        <v>#DIV/0!</v>
      </c>
      <c r="CF60">
        <v>301</v>
      </c>
      <c r="CG60">
        <v>315</v>
      </c>
      <c r="CH60">
        <v>319</v>
      </c>
      <c r="CI60">
        <v>206</v>
      </c>
      <c r="CJ60">
        <f>0.05*CF60/464</f>
        <v>3.2435344827586206E-2</v>
      </c>
      <c r="CK60">
        <f>0.05*CG60/464</f>
        <v>3.3943965517241381E-2</v>
      </c>
      <c r="CL60">
        <f>0.05*CH60/464</f>
        <v>3.4375000000000003E-2</v>
      </c>
      <c r="CM60">
        <f>0.05*CI60/464</f>
        <v>2.2198275862068968E-2</v>
      </c>
      <c r="CN60" t="e">
        <f>IF(CB60&lt;CJ60,"yes","no")</f>
        <v>#DIV/0!</v>
      </c>
      <c r="CO60" t="e">
        <f>IF(CC60&lt;CK60,"yes","no")</f>
        <v>#DIV/0!</v>
      </c>
      <c r="CP60" t="e">
        <f>IF(CD60&lt;CL60,"yes","no")</f>
        <v>#DIV/0!</v>
      </c>
      <c r="CQ60" t="e">
        <f>IF(CE60&lt;CM60,"yes","no")</f>
        <v>#DIV/0!</v>
      </c>
      <c r="CR60">
        <f>TTEST(AS60:AW60,AD60:AH60,2,2)</f>
        <v>0.15073565115585749</v>
      </c>
      <c r="CS60">
        <f>TTEST(AS60:AW60,AN60:AR60,2,2)</f>
        <v>1.5584897587113961E-4</v>
      </c>
      <c r="CT60">
        <f>TTEST(AS60:AW60,AX60:BB60,2,2)</f>
        <v>2.2485418029076105E-4</v>
      </c>
      <c r="CU60">
        <v>264</v>
      </c>
      <c r="CV60">
        <v>52</v>
      </c>
      <c r="CW60">
        <v>59</v>
      </c>
      <c r="CX60">
        <f t="shared" si="0"/>
        <v>2.8448275862068967E-2</v>
      </c>
      <c r="CY60">
        <f t="shared" si="1"/>
        <v>5.6034482758620689E-3</v>
      </c>
      <c r="CZ60">
        <f t="shared" si="2"/>
        <v>6.3577586206896557E-3</v>
      </c>
      <c r="DA60" t="str">
        <f>IF(CR60&lt;CX60,"yes","no")</f>
        <v>no</v>
      </c>
      <c r="DB60" t="str">
        <f>IF(CS60&lt;CY60,"yes","no")</f>
        <v>yes</v>
      </c>
      <c r="DC60" t="str">
        <f>IF(CT60&lt;CZ60,"yes","no")</f>
        <v>yes</v>
      </c>
    </row>
    <row r="61" spans="1:107" x14ac:dyDescent="0.2">
      <c r="A61" s="2" t="b">
        <v>0</v>
      </c>
      <c r="B61" s="2" t="s">
        <v>79</v>
      </c>
      <c r="C61" s="2" t="s">
        <v>80</v>
      </c>
      <c r="D61" s="2" t="s">
        <v>372</v>
      </c>
      <c r="E61" s="2" t="s">
        <v>373</v>
      </c>
      <c r="F61" s="2">
        <v>13</v>
      </c>
      <c r="G61" s="2">
        <v>13</v>
      </c>
      <c r="H61" s="2">
        <v>51.3</v>
      </c>
      <c r="I61" s="2">
        <v>7.65</v>
      </c>
      <c r="J61" s="2" t="s">
        <v>374</v>
      </c>
      <c r="K61" s="2" t="s">
        <v>84</v>
      </c>
      <c r="L61" s="2" t="s">
        <v>375</v>
      </c>
      <c r="M61" s="2" t="s">
        <v>376</v>
      </c>
      <c r="N61" s="2" t="s">
        <v>377</v>
      </c>
      <c r="O61" s="2">
        <v>2.9260000000000002</v>
      </c>
      <c r="P61" s="2">
        <v>0.64900000000000002</v>
      </c>
      <c r="Q61" s="2">
        <v>0.32200000000000001</v>
      </c>
      <c r="R61" s="2">
        <v>1.611</v>
      </c>
      <c r="S61" s="2">
        <v>5.8719999999999999</v>
      </c>
      <c r="T61" s="2">
        <v>1.3939999999999999</v>
      </c>
      <c r="U61" s="2">
        <v>0.76300000000000001</v>
      </c>
      <c r="V61" s="2">
        <v>0.193</v>
      </c>
      <c r="W61" s="2">
        <v>0.10199999999999999</v>
      </c>
      <c r="X61" s="2">
        <v>0.72299999999999998</v>
      </c>
      <c r="Y61" s="2">
        <v>96.1</v>
      </c>
      <c r="Z61" s="2">
        <v>52.9</v>
      </c>
      <c r="AA61" s="2">
        <v>267.3</v>
      </c>
      <c r="AB61" s="2">
        <v>56</v>
      </c>
      <c r="AC61" s="2">
        <v>27.6</v>
      </c>
      <c r="AD61" s="2">
        <v>9095345.46875</v>
      </c>
      <c r="AE61" s="2">
        <v>6737823.75</v>
      </c>
      <c r="AF61" s="2">
        <v>6653258.8515625</v>
      </c>
      <c r="AG61" s="2">
        <v>7278490.25</v>
      </c>
      <c r="AH61" s="2">
        <v>5611238.29296875</v>
      </c>
      <c r="AI61" s="2">
        <v>135473.525024414</v>
      </c>
      <c r="AJ61" s="2">
        <v>85492.59765625</v>
      </c>
      <c r="AK61" s="2">
        <v>28400.9814453125</v>
      </c>
      <c r="AL61" s="2">
        <v>140239.01904296901</v>
      </c>
      <c r="AM61" s="2">
        <v>48644.787109375</v>
      </c>
      <c r="AN61" s="2">
        <v>364512.59765625</v>
      </c>
      <c r="AO61" s="2">
        <v>425441.07910156302</v>
      </c>
      <c r="AP61" s="2">
        <v>482790.52099609398</v>
      </c>
      <c r="AQ61" s="2">
        <v>245409.94042968799</v>
      </c>
      <c r="AR61" s="2">
        <v>371251.796875</v>
      </c>
      <c r="AS61" s="2">
        <v>597272.78173828102</v>
      </c>
      <c r="AT61" s="2">
        <v>979910.48315429699</v>
      </c>
      <c r="AU61" s="2">
        <v>466529.75683593802</v>
      </c>
      <c r="AV61" s="2">
        <v>669754.076171875</v>
      </c>
      <c r="AW61" s="2">
        <v>572228.01855468797</v>
      </c>
      <c r="AX61" s="2">
        <v>102688.416015625</v>
      </c>
      <c r="AY61" s="2">
        <v>76648.940917968794</v>
      </c>
      <c r="AZ61" s="2">
        <v>118206.53222656299</v>
      </c>
      <c r="BA61" s="2">
        <v>111287.91503906299</v>
      </c>
      <c r="BB61" s="2">
        <v>131411.39746093799</v>
      </c>
      <c r="BC61" s="2" t="s">
        <v>79</v>
      </c>
      <c r="BD61" s="2" t="s">
        <v>79</v>
      </c>
      <c r="BE61" s="2" t="s">
        <v>79</v>
      </c>
      <c r="BF61" s="2" t="s">
        <v>79</v>
      </c>
      <c r="BG61" s="2" t="s">
        <v>79</v>
      </c>
      <c r="BH61" s="2" t="s">
        <v>91</v>
      </c>
      <c r="BI61" s="2" t="s">
        <v>91</v>
      </c>
      <c r="BJ61" s="2" t="s">
        <v>91</v>
      </c>
      <c r="BK61" s="2" t="s">
        <v>91</v>
      </c>
      <c r="BL61" s="2" t="s">
        <v>91</v>
      </c>
      <c r="BM61" s="2" t="s">
        <v>79</v>
      </c>
      <c r="BN61" s="2" t="s">
        <v>79</v>
      </c>
      <c r="BO61" s="2" t="s">
        <v>79</v>
      </c>
      <c r="BP61" s="2" t="s">
        <v>79</v>
      </c>
      <c r="BQ61" s="2" t="s">
        <v>79</v>
      </c>
      <c r="BR61" s="2" t="s">
        <v>79</v>
      </c>
      <c r="BS61" s="2" t="s">
        <v>79</v>
      </c>
      <c r="BT61" s="2" t="s">
        <v>79</v>
      </c>
      <c r="BU61" s="2" t="s">
        <v>79</v>
      </c>
      <c r="BV61" s="2" t="s">
        <v>79</v>
      </c>
      <c r="BW61" s="2" t="s">
        <v>79</v>
      </c>
      <c r="BX61" s="2" t="s">
        <v>91</v>
      </c>
      <c r="BY61" s="2" t="s">
        <v>91</v>
      </c>
      <c r="BZ61" s="2" t="s">
        <v>91</v>
      </c>
      <c r="CA61" s="2" t="s">
        <v>91</v>
      </c>
      <c r="CB61">
        <f>TTEST(AS61:AW61,AI61:AM61,2,2)</f>
        <v>2.2386258440060906E-4</v>
      </c>
      <c r="CC61">
        <f>TTEST(AD61:AH61,AI61:AM61,2,2)</f>
        <v>1.897140966401807E-6</v>
      </c>
      <c r="CD61">
        <f>TTEST(AN61:AR61,AI61:AM61,2,2)</f>
        <v>2.0910690393860908E-4</v>
      </c>
      <c r="CE61">
        <f>TTEST(AX61:BB61,AI61:AM61,2,2)</f>
        <v>0.42471844045005125</v>
      </c>
      <c r="CF61">
        <v>78</v>
      </c>
      <c r="CG61">
        <v>62</v>
      </c>
      <c r="CH61">
        <v>55</v>
      </c>
      <c r="CI61">
        <v>150</v>
      </c>
      <c r="CJ61">
        <f>0.05*CF61/464</f>
        <v>8.4051724137931046E-3</v>
      </c>
      <c r="CK61">
        <f>0.05*CG61/464</f>
        <v>6.681034482758621E-3</v>
      </c>
      <c r="CL61">
        <f>0.05*CH61/464</f>
        <v>5.9267241379310342E-3</v>
      </c>
      <c r="CM61">
        <f>0.05*CI61/464</f>
        <v>1.6163793103448277E-2</v>
      </c>
      <c r="CN61" t="str">
        <f>IF(CB61&lt;CJ61,"yes","no")</f>
        <v>yes</v>
      </c>
      <c r="CO61" t="str">
        <f>IF(CC61&lt;CK61,"yes","no")</f>
        <v>yes</v>
      </c>
      <c r="CP61" t="str">
        <f>IF(CD61&lt;CL61,"yes","no")</f>
        <v>yes</v>
      </c>
      <c r="CQ61" t="str">
        <f>IF(CE61&lt;CM61,"yes","no")</f>
        <v>no</v>
      </c>
      <c r="CR61">
        <f>TTEST(AS61:AW61,AD61:AH61,2,2)</f>
        <v>3.9238174310614487E-6</v>
      </c>
      <c r="CS61">
        <f>TTEST(AS61:AW61,AN61:AR61,2,2)</f>
        <v>1.9192248051186699E-2</v>
      </c>
      <c r="CT61">
        <f>TTEST(AS61:AW61,AX61:BB61,2,2)</f>
        <v>2.3915162065498693E-4</v>
      </c>
      <c r="CU61">
        <v>75</v>
      </c>
      <c r="CV61">
        <v>147</v>
      </c>
      <c r="CW61">
        <v>60</v>
      </c>
      <c r="CX61">
        <f t="shared" si="0"/>
        <v>8.0818965517241385E-3</v>
      </c>
      <c r="CY61">
        <f t="shared" si="1"/>
        <v>1.5840517241379311E-2</v>
      </c>
      <c r="CZ61">
        <f t="shared" si="2"/>
        <v>6.4655172413793103E-3</v>
      </c>
      <c r="DA61" t="str">
        <f>IF(CR61&lt;CX61,"yes","no")</f>
        <v>yes</v>
      </c>
      <c r="DB61" t="str">
        <f>IF(CS61&lt;CY61,"yes","no")</f>
        <v>no</v>
      </c>
      <c r="DC61" t="str">
        <f>IF(CT61&lt;CZ61,"yes","no")</f>
        <v>yes</v>
      </c>
    </row>
    <row r="62" spans="1:107" x14ac:dyDescent="0.2">
      <c r="A62" s="2" t="b">
        <v>0</v>
      </c>
      <c r="B62" s="2" t="s">
        <v>79</v>
      </c>
      <c r="C62" s="2" t="s">
        <v>80</v>
      </c>
      <c r="D62" s="2" t="s">
        <v>105</v>
      </c>
      <c r="E62" s="2" t="s">
        <v>106</v>
      </c>
      <c r="F62" s="2">
        <v>44</v>
      </c>
      <c r="G62" s="2">
        <v>1</v>
      </c>
      <c r="H62" s="2">
        <v>163.69999999999999</v>
      </c>
      <c r="I62" s="2">
        <v>6.04</v>
      </c>
      <c r="J62" s="2" t="s">
        <v>83</v>
      </c>
      <c r="K62" s="2" t="s">
        <v>84</v>
      </c>
      <c r="L62" s="2" t="s">
        <v>102</v>
      </c>
      <c r="M62" s="2" t="s">
        <v>83</v>
      </c>
      <c r="N62" s="2" t="s">
        <v>107</v>
      </c>
      <c r="O62" s="2">
        <v>0.68100000000000005</v>
      </c>
      <c r="P62" s="2">
        <v>0.10199999999999999</v>
      </c>
      <c r="Q62" s="2">
        <v>0.12</v>
      </c>
      <c r="R62" s="2">
        <v>14.547000000000001</v>
      </c>
      <c r="S62" s="2">
        <v>15.265000000000001</v>
      </c>
      <c r="T62" s="2">
        <v>1.073</v>
      </c>
      <c r="U62" s="2">
        <v>1.7649999999999999</v>
      </c>
      <c r="V62" s="2">
        <v>0.182</v>
      </c>
      <c r="W62" s="2">
        <v>0.26400000000000001</v>
      </c>
      <c r="X62" s="2">
        <v>1.38</v>
      </c>
      <c r="Y62" s="2">
        <v>283.8</v>
      </c>
      <c r="Z62" s="2">
        <v>7.8</v>
      </c>
      <c r="AA62" s="2">
        <v>163.19999999999999</v>
      </c>
      <c r="AB62" s="2">
        <v>26.2</v>
      </c>
      <c r="AC62" s="2">
        <v>19</v>
      </c>
      <c r="AD62" s="2">
        <v>389939321.45605499</v>
      </c>
      <c r="AE62" s="2">
        <v>304159859.63281298</v>
      </c>
      <c r="AF62" s="2">
        <v>287360527.38964802</v>
      </c>
      <c r="AG62" s="2">
        <v>328759102.85546899</v>
      </c>
      <c r="AH62" s="2">
        <v>275699067.22656298</v>
      </c>
      <c r="AI62" s="2">
        <v>294973.96191406302</v>
      </c>
      <c r="AJ62" s="2">
        <v>158572.32958984401</v>
      </c>
      <c r="AK62" s="2">
        <v>170775.76098632801</v>
      </c>
      <c r="AL62" s="2">
        <v>195457.5859375</v>
      </c>
      <c r="AM62" s="2">
        <v>149912.33154296901</v>
      </c>
      <c r="AN62" s="2">
        <v>3695677.6584472698</v>
      </c>
      <c r="AO62" s="2">
        <v>3690271.98974609</v>
      </c>
      <c r="AP62" s="2">
        <v>4238997.19775391</v>
      </c>
      <c r="AQ62" s="2">
        <v>3735997.33520508</v>
      </c>
      <c r="AR62" s="2">
        <v>4837569.0456542997</v>
      </c>
      <c r="AS62" s="2">
        <v>4087009.9645996098</v>
      </c>
      <c r="AT62" s="2">
        <v>6983629.1552734403</v>
      </c>
      <c r="AU62" s="2">
        <v>3666130.05224609</v>
      </c>
      <c r="AV62" s="2">
        <v>4475369.4785156297</v>
      </c>
      <c r="AW62" s="2">
        <v>4932257.51416016</v>
      </c>
      <c r="AX62" s="2">
        <v>1247527.45703125</v>
      </c>
      <c r="AY62" s="2">
        <v>1268176.7817382801</v>
      </c>
      <c r="AZ62" s="2">
        <v>1431439.6035156299</v>
      </c>
      <c r="BA62" s="2">
        <v>1096768.5498046901</v>
      </c>
      <c r="BB62" s="2">
        <v>1050437.3942871101</v>
      </c>
      <c r="BC62" s="2" t="s">
        <v>79</v>
      </c>
      <c r="BD62" s="2" t="s">
        <v>79</v>
      </c>
      <c r="BE62" s="2" t="s">
        <v>79</v>
      </c>
      <c r="BF62" s="2" t="s">
        <v>79</v>
      </c>
      <c r="BG62" s="2" t="s">
        <v>79</v>
      </c>
      <c r="BH62" s="2" t="s">
        <v>98</v>
      </c>
      <c r="BI62" s="2" t="s">
        <v>98</v>
      </c>
      <c r="BJ62" s="2" t="s">
        <v>98</v>
      </c>
      <c r="BK62" s="2" t="s">
        <v>98</v>
      </c>
      <c r="BL62" s="2" t="s">
        <v>98</v>
      </c>
      <c r="BM62" s="2" t="s">
        <v>79</v>
      </c>
      <c r="BN62" s="2" t="s">
        <v>91</v>
      </c>
      <c r="BO62" s="2" t="s">
        <v>91</v>
      </c>
      <c r="BP62" s="2" t="s">
        <v>91</v>
      </c>
      <c r="BQ62" s="2" t="s">
        <v>98</v>
      </c>
      <c r="BR62" s="2" t="s">
        <v>98</v>
      </c>
      <c r="BS62" s="2" t="s">
        <v>98</v>
      </c>
      <c r="BT62" s="2" t="s">
        <v>98</v>
      </c>
      <c r="BU62" s="2" t="s">
        <v>98</v>
      </c>
      <c r="BV62" s="2" t="s">
        <v>98</v>
      </c>
      <c r="BW62" s="2" t="s">
        <v>98</v>
      </c>
      <c r="BX62" s="2" t="s">
        <v>98</v>
      </c>
      <c r="BY62" s="2" t="s">
        <v>98</v>
      </c>
      <c r="BZ62" s="2" t="s">
        <v>98</v>
      </c>
      <c r="CA62" s="2" t="s">
        <v>98</v>
      </c>
      <c r="CB62">
        <f>TTEST(AS62:AW62,AI62:AM62,2,2)</f>
        <v>4.3237999212586695E-5</v>
      </c>
      <c r="CC62">
        <f>TTEST(AD62:AH62,AI62:AM62,2,2)</f>
        <v>2.7751216268963009E-7</v>
      </c>
      <c r="CD62">
        <f>TTEST(AN62:AR62,AI62:AM62,2,2)</f>
        <v>1.4519638326639656E-7</v>
      </c>
      <c r="CE62">
        <f>TTEST(AX62:BB62,AI62:AM62,2,2)</f>
        <v>6.2140362608809875E-7</v>
      </c>
      <c r="CF62">
        <v>49</v>
      </c>
      <c r="CG62">
        <v>33</v>
      </c>
      <c r="CH62">
        <v>1</v>
      </c>
      <c r="CI62">
        <v>14</v>
      </c>
      <c r="CJ62">
        <f>0.05*CF62/464</f>
        <v>5.2801724137931036E-3</v>
      </c>
      <c r="CK62">
        <f>0.05*CG62/464</f>
        <v>3.5560344827586209E-3</v>
      </c>
      <c r="CL62">
        <f>0.05*CH62/464</f>
        <v>1.0775862068965518E-4</v>
      </c>
      <c r="CM62">
        <f>0.05*CI62/464</f>
        <v>1.5086206896551726E-3</v>
      </c>
      <c r="CN62" t="str">
        <f>IF(CB62&lt;CJ62,"yes","no")</f>
        <v>yes</v>
      </c>
      <c r="CO62" t="str">
        <f>IF(CC62&lt;CK62,"yes","no")</f>
        <v>yes</v>
      </c>
      <c r="CP62" t="str">
        <f>IF(CD62&lt;CL62,"yes","no")</f>
        <v>yes</v>
      </c>
      <c r="CQ62" t="str">
        <f>IF(CE62&lt;CM62,"yes","no")</f>
        <v>yes</v>
      </c>
      <c r="CR62">
        <f>TTEST(AS62:AW62,AD62:AH62,2,2)</f>
        <v>3.1213927788145659E-7</v>
      </c>
      <c r="CS62">
        <f>TTEST(AS62:AW62,AN62:AR62,2,2)</f>
        <v>0.23886315660017396</v>
      </c>
      <c r="CT62">
        <f>TTEST(AS62:AW62,AX62:BB62,2,2)</f>
        <v>2.5841516332866246E-4</v>
      </c>
      <c r="CU62">
        <v>27</v>
      </c>
      <c r="CV62">
        <v>204</v>
      </c>
      <c r="CW62">
        <v>61</v>
      </c>
      <c r="CX62">
        <f t="shared" si="0"/>
        <v>2.9094827586206898E-3</v>
      </c>
      <c r="CY62">
        <f t="shared" si="1"/>
        <v>2.1982758620689657E-2</v>
      </c>
      <c r="CZ62">
        <f t="shared" si="2"/>
        <v>6.5732758620689665E-3</v>
      </c>
      <c r="DA62" t="str">
        <f>IF(CR62&lt;CX62,"yes","no")</f>
        <v>yes</v>
      </c>
      <c r="DB62" t="str">
        <f>IF(CS62&lt;CY62,"yes","no")</f>
        <v>no</v>
      </c>
      <c r="DC62" t="str">
        <f>IF(CT62&lt;CZ62,"yes","no")</f>
        <v>yes</v>
      </c>
    </row>
    <row r="63" spans="1:107" x14ac:dyDescent="0.2">
      <c r="A63" s="2" t="b">
        <v>0</v>
      </c>
      <c r="B63" s="2" t="s">
        <v>79</v>
      </c>
      <c r="C63" s="2" t="s">
        <v>80</v>
      </c>
      <c r="D63" s="2" t="s">
        <v>383</v>
      </c>
      <c r="E63" s="2" t="s">
        <v>384</v>
      </c>
      <c r="F63" s="2">
        <v>11</v>
      </c>
      <c r="G63" s="2">
        <v>4</v>
      </c>
      <c r="H63" s="2">
        <v>49.9</v>
      </c>
      <c r="I63" s="2">
        <v>5.0599999999999996</v>
      </c>
      <c r="J63" s="2" t="s">
        <v>351</v>
      </c>
      <c r="K63" s="2" t="s">
        <v>271</v>
      </c>
      <c r="L63" s="2" t="s">
        <v>146</v>
      </c>
      <c r="M63" s="2" t="s">
        <v>83</v>
      </c>
      <c r="N63" s="2" t="s">
        <v>385</v>
      </c>
      <c r="O63" s="2">
        <v>8.4030000000000005</v>
      </c>
      <c r="P63" s="2">
        <v>0.71899999999999997</v>
      </c>
      <c r="Q63" s="2">
        <v>1.419</v>
      </c>
      <c r="R63" s="2">
        <v>0.71599999999999997</v>
      </c>
      <c r="S63" s="2">
        <v>7.3760000000000003</v>
      </c>
      <c r="T63" s="2">
        <v>0.78700000000000003</v>
      </c>
      <c r="U63" s="2" t="s">
        <v>83</v>
      </c>
      <c r="V63" s="2">
        <v>0.112</v>
      </c>
      <c r="W63" s="2">
        <v>0.26900000000000002</v>
      </c>
      <c r="X63" s="2">
        <v>2.3980000000000001</v>
      </c>
      <c r="Y63" s="2">
        <v>40.799999999999997</v>
      </c>
      <c r="Z63" s="2">
        <v>33.299999999999997</v>
      </c>
      <c r="AA63" s="2">
        <v>367.9</v>
      </c>
      <c r="AB63" s="2">
        <v>35.9</v>
      </c>
      <c r="AC63" s="2">
        <v>22.1</v>
      </c>
      <c r="AD63" s="2">
        <v>1375116.2109375</v>
      </c>
      <c r="AE63" s="2">
        <v>1237491.3828125</v>
      </c>
      <c r="AF63" s="2">
        <v>1107269.2109375</v>
      </c>
      <c r="AG63" s="2">
        <v>1420206.0859375</v>
      </c>
      <c r="AH63" s="2">
        <v>1063173.1796875</v>
      </c>
      <c r="AI63" s="2">
        <v>18286.271484375</v>
      </c>
      <c r="AJ63" s="2">
        <v>20633.4921875</v>
      </c>
      <c r="AK63" s="2">
        <v>19731.1015625</v>
      </c>
      <c r="AL63" s="2">
        <v>127773.609375</v>
      </c>
      <c r="AM63" s="2">
        <v>16703.548828125</v>
      </c>
      <c r="AN63" s="2">
        <v>176910.57421875</v>
      </c>
      <c r="AO63" s="2">
        <v>183866.646484375</v>
      </c>
      <c r="AP63" s="2">
        <v>220610.8671875</v>
      </c>
      <c r="AQ63" s="2">
        <v>207292.43652343799</v>
      </c>
      <c r="AR63" s="2">
        <v>332329.61669921898</v>
      </c>
      <c r="AS63" s="2">
        <v>164766.98046875</v>
      </c>
      <c r="AT63" s="2">
        <v>224011.4453125</v>
      </c>
      <c r="AU63" s="2">
        <v>112994.390625</v>
      </c>
      <c r="AV63" s="2">
        <v>181564.13818359401</v>
      </c>
      <c r="AW63" s="2">
        <v>175061.640625</v>
      </c>
      <c r="AX63" s="2">
        <v>32610.33984375</v>
      </c>
      <c r="AY63" s="2">
        <v>23969.1484375</v>
      </c>
      <c r="AZ63" s="2">
        <v>44048.109375</v>
      </c>
      <c r="BA63" s="2">
        <v>33280.484375</v>
      </c>
      <c r="BB63" s="2" t="s">
        <v>83</v>
      </c>
      <c r="BC63" s="2" t="s">
        <v>79</v>
      </c>
      <c r="BD63" s="2" t="s">
        <v>79</v>
      </c>
      <c r="BE63" s="2" t="s">
        <v>79</v>
      </c>
      <c r="BF63" s="2" t="s">
        <v>79</v>
      </c>
      <c r="BG63" s="2" t="s">
        <v>79</v>
      </c>
      <c r="BH63" s="2" t="s">
        <v>91</v>
      </c>
      <c r="BI63" s="2" t="s">
        <v>91</v>
      </c>
      <c r="BJ63" s="2" t="s">
        <v>91</v>
      </c>
      <c r="BK63" s="2" t="s">
        <v>79</v>
      </c>
      <c r="BL63" s="2" t="s">
        <v>91</v>
      </c>
      <c r="BM63" s="2" t="s">
        <v>79</v>
      </c>
      <c r="BN63" s="2" t="s">
        <v>79</v>
      </c>
      <c r="BO63" s="2" t="s">
        <v>79</v>
      </c>
      <c r="BP63" s="2" t="s">
        <v>79</v>
      </c>
      <c r="BQ63" s="2" t="s">
        <v>79</v>
      </c>
      <c r="BR63" s="2" t="s">
        <v>79</v>
      </c>
      <c r="BS63" s="2" t="s">
        <v>79</v>
      </c>
      <c r="BT63" s="2" t="s">
        <v>79</v>
      </c>
      <c r="BU63" s="2" t="s">
        <v>79</v>
      </c>
      <c r="BV63" s="2" t="s">
        <v>79</v>
      </c>
      <c r="BW63" s="2" t="s">
        <v>79</v>
      </c>
      <c r="BX63" s="2" t="s">
        <v>91</v>
      </c>
      <c r="BY63" s="2" t="s">
        <v>79</v>
      </c>
      <c r="BZ63" s="2" t="s">
        <v>91</v>
      </c>
      <c r="CA63" s="2" t="s">
        <v>91</v>
      </c>
      <c r="CB63">
        <f>TTEST(AS63:AW63,AI63:AM63,2,2)</f>
        <v>1.6307762499567159E-3</v>
      </c>
      <c r="CC63">
        <f>TTEST(AD63:AH63,AI63:AM63,2,2)</f>
        <v>2.0726770865576878E-7</v>
      </c>
      <c r="CD63">
        <f>TTEST(AN63:AR63,AI63:AM63,2,2)</f>
        <v>8.6819755307129213E-4</v>
      </c>
      <c r="CE63">
        <f>TTEST(AX63:BB63,AI63:AM63,2,2)</f>
        <v>0.78301507772986079</v>
      </c>
      <c r="CF63">
        <v>106</v>
      </c>
      <c r="CG63">
        <v>29</v>
      </c>
      <c r="CH63">
        <v>73</v>
      </c>
      <c r="CI63">
        <v>190</v>
      </c>
      <c r="CJ63">
        <f>0.05*CF63/464</f>
        <v>1.142241379310345E-2</v>
      </c>
      <c r="CK63">
        <f>0.05*CG63/464</f>
        <v>3.1250000000000002E-3</v>
      </c>
      <c r="CL63">
        <f>0.05*CH63/464</f>
        <v>7.8663793103448277E-3</v>
      </c>
      <c r="CM63">
        <f>0.05*CI63/464</f>
        <v>2.0474137931034482E-2</v>
      </c>
      <c r="CN63" t="str">
        <f>IF(CB63&lt;CJ63,"yes","no")</f>
        <v>yes</v>
      </c>
      <c r="CO63" t="str">
        <f>IF(CC63&lt;CK63,"yes","no")</f>
        <v>yes</v>
      </c>
      <c r="CP63" t="str">
        <f>IF(CD63&lt;CL63,"yes","no")</f>
        <v>yes</v>
      </c>
      <c r="CQ63" t="str">
        <f>IF(CE63&lt;CM63,"yes","no")</f>
        <v>no</v>
      </c>
      <c r="CR63">
        <f>TTEST(AS63:AW63,AD63:AH63,2,2)</f>
        <v>4.5391074861873314E-7</v>
      </c>
      <c r="CS63">
        <f>TTEST(AS63:AW63,AN63:AR63,2,2)</f>
        <v>0.15351636901282126</v>
      </c>
      <c r="CT63">
        <f>TTEST(AS63:AW63,AX63:BB63,2,2)</f>
        <v>2.6771342484779821E-4</v>
      </c>
      <c r="CU63">
        <v>38</v>
      </c>
      <c r="CV63">
        <v>191</v>
      </c>
      <c r="CW63">
        <v>62</v>
      </c>
      <c r="CX63">
        <f t="shared" si="0"/>
        <v>4.0948275862068969E-3</v>
      </c>
      <c r="CY63">
        <f t="shared" si="1"/>
        <v>2.0581896551724141E-2</v>
      </c>
      <c r="CZ63">
        <f t="shared" si="2"/>
        <v>6.681034482758621E-3</v>
      </c>
      <c r="DA63" t="str">
        <f>IF(CR63&lt;CX63,"yes","no")</f>
        <v>yes</v>
      </c>
      <c r="DB63" t="str">
        <f>IF(CS63&lt;CY63,"yes","no")</f>
        <v>no</v>
      </c>
      <c r="DC63" t="str">
        <f>IF(CT63&lt;CZ63,"yes","no")</f>
        <v>yes</v>
      </c>
    </row>
    <row r="64" spans="1:107" x14ac:dyDescent="0.2">
      <c r="A64" s="2" t="b">
        <v>0</v>
      </c>
      <c r="B64" s="2" t="s">
        <v>79</v>
      </c>
      <c r="C64" s="2" t="s">
        <v>80</v>
      </c>
      <c r="D64" s="2" t="s">
        <v>683</v>
      </c>
      <c r="E64" s="2" t="s">
        <v>684</v>
      </c>
      <c r="F64" s="2">
        <v>2</v>
      </c>
      <c r="G64" s="2">
        <v>1</v>
      </c>
      <c r="H64" s="2">
        <v>14</v>
      </c>
      <c r="I64" s="2">
        <v>7.24</v>
      </c>
      <c r="J64" s="2" t="s">
        <v>83</v>
      </c>
      <c r="K64" s="2" t="s">
        <v>83</v>
      </c>
      <c r="L64" s="2" t="s">
        <v>83</v>
      </c>
      <c r="M64" s="2" t="s">
        <v>83</v>
      </c>
      <c r="N64" s="2" t="s">
        <v>683</v>
      </c>
      <c r="O64" s="2">
        <v>1.1140000000000001</v>
      </c>
      <c r="P64" s="2">
        <v>0.60599999999999998</v>
      </c>
      <c r="Q64" s="2">
        <v>0.23799999999999999</v>
      </c>
      <c r="R64" s="2">
        <v>4.7140000000000004</v>
      </c>
      <c r="S64" s="2">
        <v>5.8410000000000002</v>
      </c>
      <c r="T64" s="2">
        <v>2.8980000000000001</v>
      </c>
      <c r="U64" s="2">
        <v>1.179</v>
      </c>
      <c r="V64" s="2">
        <v>0.53300000000000003</v>
      </c>
      <c r="W64" s="2">
        <v>0.21099999999999999</v>
      </c>
      <c r="X64" s="2">
        <v>0.38700000000000001</v>
      </c>
      <c r="Y64" s="2">
        <v>153.9</v>
      </c>
      <c r="Z64" s="2">
        <v>32.700000000000003</v>
      </c>
      <c r="AA64" s="2">
        <v>182.2</v>
      </c>
      <c r="AB64" s="2">
        <v>94.6</v>
      </c>
      <c r="AC64" s="2">
        <v>36.6</v>
      </c>
      <c r="AD64" s="2">
        <v>3790171.75</v>
      </c>
      <c r="AE64" s="2">
        <v>2755251.796875</v>
      </c>
      <c r="AF64" s="2">
        <v>2550345.9375</v>
      </c>
      <c r="AG64" s="2">
        <v>3494772.359375</v>
      </c>
      <c r="AH64" s="2">
        <v>3252702.8125</v>
      </c>
      <c r="AI64" s="2">
        <v>14029.5</v>
      </c>
      <c r="AJ64" s="2">
        <v>9583.517578125</v>
      </c>
      <c r="AK64" s="2">
        <v>13474.7802734375</v>
      </c>
      <c r="AL64" s="2">
        <v>15386.2685546875</v>
      </c>
      <c r="AM64" s="2">
        <v>13133.150390625</v>
      </c>
      <c r="AN64" s="2">
        <v>51979.4375</v>
      </c>
      <c r="AO64" s="2">
        <v>57136.1953125</v>
      </c>
      <c r="AP64" s="2">
        <v>84929.53125</v>
      </c>
      <c r="AQ64" s="2">
        <v>59980.0859375</v>
      </c>
      <c r="AR64" s="2">
        <v>122851.06738281299</v>
      </c>
      <c r="AS64" s="2">
        <v>248336.75390625</v>
      </c>
      <c r="AT64" s="2">
        <v>470866.16796875</v>
      </c>
      <c r="AU64" s="2">
        <v>231826.9296875</v>
      </c>
      <c r="AV64" s="2">
        <v>269732.41015625</v>
      </c>
      <c r="AW64" s="2">
        <v>323352.58203125</v>
      </c>
      <c r="AX64" s="2">
        <v>33529.72265625</v>
      </c>
      <c r="AY64" s="2">
        <v>49075.90625</v>
      </c>
      <c r="AZ64" s="2">
        <v>46355.90625</v>
      </c>
      <c r="BA64" s="2">
        <v>50807.625</v>
      </c>
      <c r="BB64" s="2">
        <v>34195.4609375</v>
      </c>
      <c r="BC64" s="2" t="s">
        <v>79</v>
      </c>
      <c r="BD64" s="2" t="s">
        <v>79</v>
      </c>
      <c r="BE64" s="2" t="s">
        <v>79</v>
      </c>
      <c r="BF64" s="2" t="s">
        <v>79</v>
      </c>
      <c r="BG64" s="2" t="s">
        <v>79</v>
      </c>
      <c r="BH64" s="2" t="s">
        <v>91</v>
      </c>
      <c r="BI64" s="2" t="s">
        <v>91</v>
      </c>
      <c r="BJ64" s="2" t="s">
        <v>79</v>
      </c>
      <c r="BK64" s="2" t="s">
        <v>79</v>
      </c>
      <c r="BL64" s="2" t="s">
        <v>91</v>
      </c>
      <c r="BM64" s="2" t="s">
        <v>79</v>
      </c>
      <c r="BN64" s="2" t="s">
        <v>79</v>
      </c>
      <c r="BO64" s="2" t="s">
        <v>79</v>
      </c>
      <c r="BP64" s="2" t="s">
        <v>79</v>
      </c>
      <c r="BQ64" s="2" t="s">
        <v>79</v>
      </c>
      <c r="BR64" s="2" t="s">
        <v>79</v>
      </c>
      <c r="BS64" s="2" t="s">
        <v>79</v>
      </c>
      <c r="BT64" s="2" t="s">
        <v>79</v>
      </c>
      <c r="BU64" s="2" t="s">
        <v>79</v>
      </c>
      <c r="BV64" s="2" t="s">
        <v>79</v>
      </c>
      <c r="BW64" s="2" t="s">
        <v>79</v>
      </c>
      <c r="BX64" s="2" t="s">
        <v>79</v>
      </c>
      <c r="BY64" s="2" t="s">
        <v>79</v>
      </c>
      <c r="BZ64" s="2" t="s">
        <v>79</v>
      </c>
      <c r="CA64" s="2" t="s">
        <v>79</v>
      </c>
      <c r="CB64">
        <f>TTEST(AS64:AW64,AI64:AM64,2,2)</f>
        <v>1.3509867371923353E-4</v>
      </c>
      <c r="CC64">
        <f>TTEST(AD64:AH64,AI64:AM64,2,2)</f>
        <v>7.5391450281534754E-7</v>
      </c>
      <c r="CD64">
        <f>TTEST(AN64:AR64,AI64:AM64,2,2)</f>
        <v>1.5043772440457889E-3</v>
      </c>
      <c r="CE64">
        <f>TTEST(AX64:BB64,AI64:AM64,2,2)</f>
        <v>5.5894412309556984E-5</v>
      </c>
      <c r="CF64">
        <v>69</v>
      </c>
      <c r="CG64">
        <v>51</v>
      </c>
      <c r="CH64">
        <v>78</v>
      </c>
      <c r="CI64">
        <v>35</v>
      </c>
      <c r="CJ64">
        <f>0.05*CF64/464</f>
        <v>7.435344827586207E-3</v>
      </c>
      <c r="CK64">
        <f>0.05*CG64/464</f>
        <v>5.4956896551724144E-3</v>
      </c>
      <c r="CL64">
        <f>0.05*CH64/464</f>
        <v>8.4051724137931046E-3</v>
      </c>
      <c r="CM64">
        <f>0.05*CI64/464</f>
        <v>3.7715517241379312E-3</v>
      </c>
      <c r="CN64" t="str">
        <f>IF(CB64&lt;CJ64,"yes","no")</f>
        <v>yes</v>
      </c>
      <c r="CO64" t="str">
        <f>IF(CC64&lt;CK64,"yes","no")</f>
        <v>yes</v>
      </c>
      <c r="CP64" t="str">
        <f>IF(CD64&lt;CL64,"yes","no")</f>
        <v>yes</v>
      </c>
      <c r="CQ64" t="str">
        <f>IF(CE64&lt;CM64,"yes","no")</f>
        <v>yes</v>
      </c>
      <c r="CR64">
        <f>TTEST(AS64:AW64,AD64:AH64,2,2)</f>
        <v>1.8348395430214672E-6</v>
      </c>
      <c r="CS64">
        <f>TTEST(AS64:AW64,AN64:AR64,2,2)</f>
        <v>8.7102304331405337E-4</v>
      </c>
      <c r="CT64">
        <f>TTEST(AS64:AW64,AX64:BB64,2,2)</f>
        <v>2.8491803385589378E-4</v>
      </c>
      <c r="CU64">
        <v>64</v>
      </c>
      <c r="CV64">
        <v>90</v>
      </c>
      <c r="CW64">
        <v>63</v>
      </c>
      <c r="CX64">
        <f t="shared" si="0"/>
        <v>6.8965517241379318E-3</v>
      </c>
      <c r="CY64">
        <f t="shared" si="1"/>
        <v>9.6982758620689658E-3</v>
      </c>
      <c r="CZ64">
        <f t="shared" si="2"/>
        <v>6.7887931034482764E-3</v>
      </c>
      <c r="DA64" t="str">
        <f>IF(CR64&lt;CX64,"yes","no")</f>
        <v>yes</v>
      </c>
      <c r="DB64" t="str">
        <f>IF(CS64&lt;CY64,"yes","no")</f>
        <v>yes</v>
      </c>
      <c r="DC64" t="str">
        <f>IF(CT64&lt;CZ64,"yes","no")</f>
        <v>yes</v>
      </c>
    </row>
    <row r="65" spans="1:107" x14ac:dyDescent="0.2">
      <c r="A65" s="2" t="b">
        <v>0</v>
      </c>
      <c r="B65" s="2" t="s">
        <v>79</v>
      </c>
      <c r="C65" s="2" t="s">
        <v>80</v>
      </c>
      <c r="D65" s="2" t="s">
        <v>360</v>
      </c>
      <c r="E65" s="2" t="s">
        <v>361</v>
      </c>
      <c r="F65" s="2">
        <v>9</v>
      </c>
      <c r="G65" s="2">
        <v>3</v>
      </c>
      <c r="H65" s="2">
        <v>16</v>
      </c>
      <c r="I65" s="2">
        <v>9</v>
      </c>
      <c r="J65" s="2" t="s">
        <v>362</v>
      </c>
      <c r="K65" s="2" t="s">
        <v>363</v>
      </c>
      <c r="L65" s="2" t="s">
        <v>119</v>
      </c>
      <c r="M65" s="2" t="s">
        <v>339</v>
      </c>
      <c r="N65" s="2" t="s">
        <v>360</v>
      </c>
      <c r="O65" s="2">
        <v>2.6389999999999998</v>
      </c>
      <c r="P65" s="2">
        <v>1.0609999999999999</v>
      </c>
      <c r="Q65" s="2">
        <v>0.92900000000000005</v>
      </c>
      <c r="R65" s="2">
        <v>1.5269999999999999</v>
      </c>
      <c r="S65" s="2">
        <v>5.3339999999999996</v>
      </c>
      <c r="T65" s="2">
        <v>2.0259999999999998</v>
      </c>
      <c r="U65" s="2">
        <v>1.645</v>
      </c>
      <c r="V65" s="2">
        <v>0.28199999999999997</v>
      </c>
      <c r="W65" s="2">
        <v>0.33800000000000002</v>
      </c>
      <c r="X65" s="2">
        <v>0.82499999999999996</v>
      </c>
      <c r="Y65" s="2">
        <v>85</v>
      </c>
      <c r="Z65" s="2">
        <v>83.3</v>
      </c>
      <c r="AA65" s="2">
        <v>207.6</v>
      </c>
      <c r="AB65" s="2">
        <v>64.099999999999994</v>
      </c>
      <c r="AC65" s="2">
        <v>60</v>
      </c>
      <c r="AD65" s="2">
        <v>11110488.001953101</v>
      </c>
      <c r="AE65" s="2">
        <v>5913804.2451171903</v>
      </c>
      <c r="AF65" s="2">
        <v>9940465.9296875</v>
      </c>
      <c r="AG65" s="2">
        <v>21685345.4375</v>
      </c>
      <c r="AH65" s="2">
        <v>5580640.2265625</v>
      </c>
      <c r="AI65" s="2">
        <v>407539.81982421898</v>
      </c>
      <c r="AJ65" s="2">
        <v>171563.142578125</v>
      </c>
      <c r="AK65" s="2">
        <v>216021.4765625</v>
      </c>
      <c r="AL65" s="2">
        <v>283761.71142578102</v>
      </c>
      <c r="AM65" s="2">
        <v>146110.304443359</v>
      </c>
      <c r="AN65" s="2">
        <v>376408.1328125</v>
      </c>
      <c r="AO65" s="2">
        <v>379610.40332031302</v>
      </c>
      <c r="AP65" s="2">
        <v>428234.28515625</v>
      </c>
      <c r="AQ65" s="2">
        <v>408523.568359375</v>
      </c>
      <c r="AR65" s="2">
        <v>788593.78515625</v>
      </c>
      <c r="AS65" s="2">
        <v>1019359.1220703101</v>
      </c>
      <c r="AT65" s="2">
        <v>1628211.125</v>
      </c>
      <c r="AU65" s="2">
        <v>904885.70703125</v>
      </c>
      <c r="AV65" s="2">
        <v>1079172.76171875</v>
      </c>
      <c r="AW65" s="2">
        <v>1132994.76171875</v>
      </c>
      <c r="AX65" s="2">
        <v>433216.3046875</v>
      </c>
      <c r="AY65" s="2">
        <v>302684.8671875</v>
      </c>
      <c r="AZ65" s="2">
        <v>391436.75390625</v>
      </c>
      <c r="BA65" s="2">
        <v>249178.359375</v>
      </c>
      <c r="BB65" s="2">
        <v>472959.77246093802</v>
      </c>
      <c r="BC65" s="2" t="s">
        <v>79</v>
      </c>
      <c r="BD65" s="2" t="s">
        <v>79</v>
      </c>
      <c r="BE65" s="2" t="s">
        <v>79</v>
      </c>
      <c r="BF65" s="2" t="s">
        <v>79</v>
      </c>
      <c r="BG65" s="2" t="s">
        <v>79</v>
      </c>
      <c r="BH65" s="2" t="s">
        <v>98</v>
      </c>
      <c r="BI65" s="2" t="s">
        <v>98</v>
      </c>
      <c r="BJ65" s="2" t="s">
        <v>98</v>
      </c>
      <c r="BK65" s="2" t="s">
        <v>98</v>
      </c>
      <c r="BL65" s="2" t="s">
        <v>98</v>
      </c>
      <c r="BM65" s="2" t="s">
        <v>91</v>
      </c>
      <c r="BN65" s="2" t="s">
        <v>91</v>
      </c>
      <c r="BO65" s="2" t="s">
        <v>91</v>
      </c>
      <c r="BP65" s="2" t="s">
        <v>91</v>
      </c>
      <c r="BQ65" s="2" t="s">
        <v>91</v>
      </c>
      <c r="BR65" s="2" t="s">
        <v>79</v>
      </c>
      <c r="BS65" s="2" t="s">
        <v>79</v>
      </c>
      <c r="BT65" s="2" t="s">
        <v>79</v>
      </c>
      <c r="BU65" s="2" t="s">
        <v>79</v>
      </c>
      <c r="BV65" s="2" t="s">
        <v>79</v>
      </c>
      <c r="BW65" s="2" t="s">
        <v>98</v>
      </c>
      <c r="BX65" s="2" t="s">
        <v>98</v>
      </c>
      <c r="BY65" s="2" t="s">
        <v>98</v>
      </c>
      <c r="BZ65" s="2" t="s">
        <v>98</v>
      </c>
      <c r="CA65" s="2" t="s">
        <v>98</v>
      </c>
      <c r="CB65">
        <f>TTEST(AS65:AW65,AI65:AM65,2,2)</f>
        <v>1.3580509168706107E-4</v>
      </c>
      <c r="CC65">
        <f>TTEST(AD65:AH65,AI65:AM65,2,2)</f>
        <v>6.6745298132969153E-3</v>
      </c>
      <c r="CD65">
        <f>TTEST(AN65:AR65,AI65:AM65,2,2)</f>
        <v>3.5490686064293897E-2</v>
      </c>
      <c r="CE65">
        <f>TTEST(AX65:BB65,AI65:AM65,2,2)</f>
        <v>8.0715026713808605E-2</v>
      </c>
      <c r="CF65">
        <v>70</v>
      </c>
      <c r="CG65">
        <v>159</v>
      </c>
      <c r="CH65">
        <v>115</v>
      </c>
      <c r="CI65">
        <v>118</v>
      </c>
      <c r="CJ65">
        <f>0.05*CF65/464</f>
        <v>7.5431034482758624E-3</v>
      </c>
      <c r="CK65">
        <f>0.05*CG65/464</f>
        <v>1.7133620689655172E-2</v>
      </c>
      <c r="CL65">
        <f>0.05*CH65/464</f>
        <v>1.2392241379310345E-2</v>
      </c>
      <c r="CM65">
        <f>0.05*CI65/464</f>
        <v>1.2715517241379311E-2</v>
      </c>
      <c r="CN65" t="str">
        <f>IF(CB65&lt;CJ65,"yes","no")</f>
        <v>yes</v>
      </c>
      <c r="CO65" t="str">
        <f>IF(CC65&lt;CK65,"yes","no")</f>
        <v>yes</v>
      </c>
      <c r="CP65" t="str">
        <f>IF(CD65&lt;CL65,"yes","no")</f>
        <v>no</v>
      </c>
      <c r="CQ65" t="str">
        <f>IF(CE65&lt;CM65,"yes","no")</f>
        <v>no</v>
      </c>
      <c r="CR65">
        <f>TTEST(AS65:AW65,AD65:AH65,2,2)</f>
        <v>1.0579275809117996E-2</v>
      </c>
      <c r="CS65">
        <f>TTEST(AS65:AW65,AN65:AR65,2,2)</f>
        <v>1.7811663068604813E-3</v>
      </c>
      <c r="CT65">
        <f>TTEST(AS65:AW65,AX65:BB65,2,2)</f>
        <v>3.3837919538855493E-4</v>
      </c>
      <c r="CU65">
        <v>194</v>
      </c>
      <c r="CV65">
        <v>100</v>
      </c>
      <c r="CW65">
        <v>64</v>
      </c>
      <c r="CX65">
        <f t="shared" si="0"/>
        <v>2.0905172413793107E-2</v>
      </c>
      <c r="CY65">
        <f t="shared" si="1"/>
        <v>1.0775862068965518E-2</v>
      </c>
      <c r="CZ65">
        <f t="shared" si="2"/>
        <v>6.8965517241379318E-3</v>
      </c>
      <c r="DA65" t="str">
        <f>IF(CR65&lt;CX65,"yes","no")</f>
        <v>yes</v>
      </c>
      <c r="DB65" t="str">
        <f>IF(CS65&lt;CY65,"yes","no")</f>
        <v>yes</v>
      </c>
      <c r="DC65" t="str">
        <f>IF(CT65&lt;CZ65,"yes","no")</f>
        <v>yes</v>
      </c>
    </row>
    <row r="66" spans="1:107" x14ac:dyDescent="0.2">
      <c r="A66" s="2" t="b">
        <v>0</v>
      </c>
      <c r="B66" s="2" t="s">
        <v>79</v>
      </c>
      <c r="C66" s="2" t="s">
        <v>80</v>
      </c>
      <c r="D66" s="2" t="s">
        <v>837</v>
      </c>
      <c r="E66" s="2" t="s">
        <v>838</v>
      </c>
      <c r="F66" s="2">
        <v>4</v>
      </c>
      <c r="G66" s="2">
        <v>2</v>
      </c>
      <c r="H66" s="2">
        <v>28.6</v>
      </c>
      <c r="I66" s="2">
        <v>4.8600000000000003</v>
      </c>
      <c r="J66" s="2" t="s">
        <v>839</v>
      </c>
      <c r="K66" s="2" t="s">
        <v>669</v>
      </c>
      <c r="L66" s="2" t="s">
        <v>119</v>
      </c>
      <c r="M66" s="2" t="s">
        <v>840</v>
      </c>
      <c r="N66" s="2" t="s">
        <v>837</v>
      </c>
      <c r="O66" s="2">
        <v>11.57</v>
      </c>
      <c r="P66" s="2">
        <v>1.657</v>
      </c>
      <c r="Q66" s="2">
        <v>1.2470000000000001</v>
      </c>
      <c r="R66" s="2">
        <v>0.45900000000000002</v>
      </c>
      <c r="S66" s="2">
        <v>4.3860000000000001</v>
      </c>
      <c r="T66" s="2">
        <v>0.75700000000000001</v>
      </c>
      <c r="U66" s="2">
        <v>0.64</v>
      </c>
      <c r="V66" s="2">
        <v>0.14899999999999999</v>
      </c>
      <c r="W66" s="2">
        <v>0.129</v>
      </c>
      <c r="X66" s="2">
        <v>0.86199999999999999</v>
      </c>
      <c r="Y66" s="2">
        <v>21.1</v>
      </c>
      <c r="Z66" s="2">
        <v>48.9</v>
      </c>
      <c r="AA66" s="2">
        <v>341.7</v>
      </c>
      <c r="AB66" s="2">
        <v>46.4</v>
      </c>
      <c r="AC66" s="2">
        <v>41.9</v>
      </c>
      <c r="AD66" s="2">
        <v>827639.4453125</v>
      </c>
      <c r="AE66" s="2">
        <v>517811.1875</v>
      </c>
      <c r="AF66" s="2">
        <v>674978.546875</v>
      </c>
      <c r="AG66" s="2">
        <v>1220679.5703125</v>
      </c>
      <c r="AH66" s="2">
        <v>310341.1640625</v>
      </c>
      <c r="AI66" s="2">
        <v>33665.3349609375</v>
      </c>
      <c r="AJ66" s="2">
        <v>27833.154296875</v>
      </c>
      <c r="AK66" s="2">
        <v>31863.939819335901</v>
      </c>
      <c r="AL66" s="2">
        <v>554767.38122558605</v>
      </c>
      <c r="AM66" s="2">
        <v>27711.5290527344</v>
      </c>
      <c r="AN66" s="2">
        <v>185456.046875</v>
      </c>
      <c r="AO66" s="2">
        <v>176981.3203125</v>
      </c>
      <c r="AP66" s="2">
        <v>300335.54296875</v>
      </c>
      <c r="AQ66" s="2">
        <v>186293.962890625</v>
      </c>
      <c r="AR66" s="2">
        <v>296978.96582031302</v>
      </c>
      <c r="AS66" s="2">
        <v>200522.517578125</v>
      </c>
      <c r="AT66" s="2">
        <v>351346.78125</v>
      </c>
      <c r="AU66" s="2">
        <v>212205.22753906299</v>
      </c>
      <c r="AV66" s="2">
        <v>284140.47265625</v>
      </c>
      <c r="AW66" s="2">
        <v>226088.19140625</v>
      </c>
      <c r="AX66" s="2">
        <v>92588.3955078125</v>
      </c>
      <c r="AY66" s="2">
        <v>18910.919433593801</v>
      </c>
      <c r="AZ66" s="2">
        <v>104009.513427734</v>
      </c>
      <c r="BA66" s="2">
        <v>52684.54296875</v>
      </c>
      <c r="BB66" s="2">
        <v>67920.957519531294</v>
      </c>
      <c r="BC66" s="2" t="s">
        <v>79</v>
      </c>
      <c r="BD66" s="2" t="s">
        <v>79</v>
      </c>
      <c r="BE66" s="2" t="s">
        <v>79</v>
      </c>
      <c r="BF66" s="2" t="s">
        <v>79</v>
      </c>
      <c r="BG66" s="2" t="s">
        <v>98</v>
      </c>
      <c r="BH66" s="2" t="s">
        <v>98</v>
      </c>
      <c r="BI66" s="2" t="s">
        <v>91</v>
      </c>
      <c r="BJ66" s="2" t="s">
        <v>98</v>
      </c>
      <c r="BK66" s="2" t="s">
        <v>79</v>
      </c>
      <c r="BL66" s="2" t="s">
        <v>98</v>
      </c>
      <c r="BM66" s="2" t="s">
        <v>79</v>
      </c>
      <c r="BN66" s="2" t="s">
        <v>79</v>
      </c>
      <c r="BO66" s="2" t="s">
        <v>79</v>
      </c>
      <c r="BP66" s="2" t="s">
        <v>79</v>
      </c>
      <c r="BQ66" s="2" t="s">
        <v>79</v>
      </c>
      <c r="BR66" s="2" t="s">
        <v>91</v>
      </c>
      <c r="BS66" s="2" t="s">
        <v>79</v>
      </c>
      <c r="BT66" s="2" t="s">
        <v>91</v>
      </c>
      <c r="BU66" s="2" t="s">
        <v>79</v>
      </c>
      <c r="BV66" s="2" t="s">
        <v>91</v>
      </c>
      <c r="BW66" s="2" t="s">
        <v>91</v>
      </c>
      <c r="BX66" s="2" t="s">
        <v>98</v>
      </c>
      <c r="BY66" s="2" t="s">
        <v>91</v>
      </c>
      <c r="BZ66" s="2" t="s">
        <v>91</v>
      </c>
      <c r="CA66" s="2" t="s">
        <v>98</v>
      </c>
      <c r="CB66">
        <f>TTEST(AS66:AW66,AI66:AM66,2,2)</f>
        <v>0.30244453182054676</v>
      </c>
      <c r="CC66">
        <f>TTEST(AD66:AH66,AI66:AM66,2,2)</f>
        <v>1.4878935785331344E-2</v>
      </c>
      <c r="CD66">
        <f>TTEST(AN66:AR66,AI66:AM66,2,2)</f>
        <v>0.41208265399375665</v>
      </c>
      <c r="CE66">
        <f>TTEST(AX66:BB66,AI66:AM66,2,2)</f>
        <v>0.53938748737311859</v>
      </c>
      <c r="CF66">
        <v>180</v>
      </c>
      <c r="CG66">
        <v>167</v>
      </c>
      <c r="CH66">
        <v>174</v>
      </c>
      <c r="CI66">
        <v>163</v>
      </c>
      <c r="CJ66">
        <f>0.05*CF66/464</f>
        <v>1.9396551724137932E-2</v>
      </c>
      <c r="CK66">
        <f>0.05*CG66/464</f>
        <v>1.7995689655172412E-2</v>
      </c>
      <c r="CL66">
        <f>0.05*CH66/464</f>
        <v>1.8750000000000003E-2</v>
      </c>
      <c r="CM66">
        <f>0.05*CI66/464</f>
        <v>1.7564655172413794E-2</v>
      </c>
      <c r="CN66" t="str">
        <f>IF(CB66&lt;CJ66,"yes","no")</f>
        <v>no</v>
      </c>
      <c r="CO66" t="str">
        <f>IF(CC66&lt;CK66,"yes","no")</f>
        <v>yes</v>
      </c>
      <c r="CP66" t="str">
        <f>IF(CD66&lt;CL66,"yes","no")</f>
        <v>no</v>
      </c>
      <c r="CQ66" t="str">
        <f>IF(CE66&lt;CM66,"yes","no")</f>
        <v>no</v>
      </c>
      <c r="CR66">
        <f>TTEST(AS66:AW66,AD66:AH66,2,2)</f>
        <v>1.9447827615693698E-2</v>
      </c>
      <c r="CS66">
        <f>TTEST(AS66:AW66,AN66:AR66,2,2)</f>
        <v>0.53866501499700947</v>
      </c>
      <c r="CT66">
        <f>TTEST(AS66:AW66,AX66:BB66,2,2)</f>
        <v>3.6656943139492057E-4</v>
      </c>
      <c r="CU66">
        <v>206</v>
      </c>
      <c r="CV66">
        <v>231</v>
      </c>
      <c r="CW66">
        <v>65</v>
      </c>
      <c r="CX66">
        <f t="shared" si="0"/>
        <v>2.2198275862068968E-2</v>
      </c>
      <c r="CY66">
        <f t="shared" si="1"/>
        <v>2.4892241379310346E-2</v>
      </c>
      <c r="CZ66">
        <f t="shared" si="2"/>
        <v>7.0043103448275863E-3</v>
      </c>
      <c r="DA66" t="str">
        <f>IF(CR66&lt;CX66,"yes","no")</f>
        <v>yes</v>
      </c>
      <c r="DB66" t="str">
        <f>IF(CS66&lt;CY66,"yes","no")</f>
        <v>no</v>
      </c>
      <c r="DC66" t="str">
        <f>IF(CT66&lt;CZ66,"yes","no")</f>
        <v>yes</v>
      </c>
    </row>
    <row r="67" spans="1:107" x14ac:dyDescent="0.2">
      <c r="A67" s="2" t="b">
        <v>0</v>
      </c>
      <c r="B67" s="2" t="s">
        <v>79</v>
      </c>
      <c r="C67" s="2" t="s">
        <v>80</v>
      </c>
      <c r="D67" s="2" t="s">
        <v>1267</v>
      </c>
      <c r="E67" s="2" t="s">
        <v>1268</v>
      </c>
      <c r="F67" s="2">
        <v>2</v>
      </c>
      <c r="G67" s="2">
        <v>2</v>
      </c>
      <c r="H67" s="2">
        <v>58.9</v>
      </c>
      <c r="I67" s="2">
        <v>4.88</v>
      </c>
      <c r="J67" s="2" t="s">
        <v>1269</v>
      </c>
      <c r="K67" s="2" t="s">
        <v>169</v>
      </c>
      <c r="L67" s="2" t="s">
        <v>119</v>
      </c>
      <c r="M67" s="2" t="s">
        <v>1270</v>
      </c>
      <c r="N67" s="2" t="s">
        <v>1267</v>
      </c>
      <c r="O67" s="2">
        <v>5.8010000000000002</v>
      </c>
      <c r="P67" s="2">
        <v>0.94599999999999995</v>
      </c>
      <c r="Q67" s="2">
        <v>7.1749999999999998</v>
      </c>
      <c r="R67" s="2">
        <v>4.3999999999999997E-2</v>
      </c>
      <c r="S67" s="2">
        <v>0.2</v>
      </c>
      <c r="T67" s="2">
        <v>3.7999999999999999E-2</v>
      </c>
      <c r="U67" s="2">
        <v>0.311</v>
      </c>
      <c r="V67" s="2">
        <v>0.189</v>
      </c>
      <c r="W67" s="2">
        <v>1.5129999999999999</v>
      </c>
      <c r="X67" s="2">
        <v>7.9720000000000004</v>
      </c>
      <c r="Y67" s="2">
        <v>13.9</v>
      </c>
      <c r="Z67" s="2">
        <v>313.7</v>
      </c>
      <c r="AA67" s="2">
        <v>62.9</v>
      </c>
      <c r="AB67" s="2">
        <v>12</v>
      </c>
      <c r="AC67" s="2">
        <v>97.6</v>
      </c>
      <c r="AD67" s="2">
        <v>95031.265625</v>
      </c>
      <c r="AE67" s="2">
        <v>37051.75</v>
      </c>
      <c r="AF67" s="2">
        <v>43478.0234375</v>
      </c>
      <c r="AG67" s="2">
        <v>102287.484375</v>
      </c>
      <c r="AH67" s="2">
        <v>75118.9609375</v>
      </c>
      <c r="AI67" s="2" t="s">
        <v>83</v>
      </c>
      <c r="AJ67" s="2" t="s">
        <v>83</v>
      </c>
      <c r="AK67" s="2" t="s">
        <v>83</v>
      </c>
      <c r="AL67" s="2">
        <v>52962.7890625</v>
      </c>
      <c r="AM67" s="2" t="s">
        <v>83</v>
      </c>
      <c r="AN67" s="2">
        <v>5626.75341796875</v>
      </c>
      <c r="AO67" s="2">
        <v>8190.02001953125</v>
      </c>
      <c r="AP67" s="2">
        <v>6859.3896484375</v>
      </c>
      <c r="AQ67" s="2">
        <v>7772.4658203125</v>
      </c>
      <c r="AR67" s="2">
        <v>9552.544921875</v>
      </c>
      <c r="AS67" s="2">
        <v>9442.818359375</v>
      </c>
      <c r="AT67" s="2">
        <v>16866.986328125</v>
      </c>
      <c r="AU67" s="2">
        <v>7335.8515625</v>
      </c>
      <c r="AV67" s="2">
        <v>8284.8603515625</v>
      </c>
      <c r="AW67" s="2">
        <v>12446.080078125</v>
      </c>
      <c r="AX67" s="2">
        <v>28722.93359375</v>
      </c>
      <c r="AY67" s="2" t="s">
        <v>83</v>
      </c>
      <c r="AZ67" s="2">
        <v>30687.173828125</v>
      </c>
      <c r="BA67" s="2">
        <v>28237.71875</v>
      </c>
      <c r="BB67" s="2">
        <v>21795.5234375</v>
      </c>
      <c r="BC67" s="2" t="s">
        <v>79</v>
      </c>
      <c r="BD67" s="2" t="s">
        <v>91</v>
      </c>
      <c r="BE67" s="2" t="s">
        <v>91</v>
      </c>
      <c r="BF67" s="2" t="s">
        <v>79</v>
      </c>
      <c r="BG67" s="2" t="s">
        <v>79</v>
      </c>
      <c r="BH67" s="2" t="s">
        <v>98</v>
      </c>
      <c r="BI67" s="2" t="s">
        <v>98</v>
      </c>
      <c r="BJ67" s="2" t="s">
        <v>98</v>
      </c>
      <c r="BK67" s="2" t="s">
        <v>91</v>
      </c>
      <c r="BL67" s="2" t="s">
        <v>98</v>
      </c>
      <c r="BM67" s="2" t="s">
        <v>91</v>
      </c>
      <c r="BN67" s="2" t="s">
        <v>91</v>
      </c>
      <c r="BO67" s="2" t="s">
        <v>91</v>
      </c>
      <c r="BP67" s="2" t="s">
        <v>91</v>
      </c>
      <c r="BQ67" s="2" t="s">
        <v>91</v>
      </c>
      <c r="BR67" s="2" t="s">
        <v>91</v>
      </c>
      <c r="BS67" s="2" t="s">
        <v>91</v>
      </c>
      <c r="BT67" s="2" t="s">
        <v>91</v>
      </c>
      <c r="BU67" s="2" t="s">
        <v>91</v>
      </c>
      <c r="BV67" s="2" t="s">
        <v>91</v>
      </c>
      <c r="BW67" s="2" t="s">
        <v>91</v>
      </c>
      <c r="BX67" s="2" t="s">
        <v>98</v>
      </c>
      <c r="BY67" s="2" t="s">
        <v>91</v>
      </c>
      <c r="BZ67" s="2" t="s">
        <v>91</v>
      </c>
      <c r="CA67" s="2" t="s">
        <v>91</v>
      </c>
      <c r="CB67" t="e">
        <f>TTEST(AS67:AW67,AI67:AM67,2,2)</f>
        <v>#DIV/0!</v>
      </c>
      <c r="CC67" t="e">
        <f>TTEST(AD67:AH67,AI67:AM67,2,2)</f>
        <v>#DIV/0!</v>
      </c>
      <c r="CD67" t="e">
        <f>TTEST(AN67:AR67,AI67:AM67,2,2)</f>
        <v>#DIV/0!</v>
      </c>
      <c r="CE67" t="e">
        <f>TTEST(AX67:BB67,AI67:AM67,2,2)</f>
        <v>#DIV/0!</v>
      </c>
      <c r="CF67">
        <v>262</v>
      </c>
      <c r="CG67">
        <v>276</v>
      </c>
      <c r="CH67">
        <v>280</v>
      </c>
      <c r="CI67">
        <v>258</v>
      </c>
      <c r="CJ67">
        <f>0.05*CF67/464</f>
        <v>2.823275862068966E-2</v>
      </c>
      <c r="CK67">
        <f>0.05*CG67/464</f>
        <v>2.9741379310344828E-2</v>
      </c>
      <c r="CL67">
        <f>0.05*CH67/464</f>
        <v>3.017241379310345E-2</v>
      </c>
      <c r="CM67">
        <f>0.05*CI67/464</f>
        <v>2.7801724137931035E-2</v>
      </c>
      <c r="CN67" t="e">
        <f>IF(CB67&lt;CJ67,"yes","no")</f>
        <v>#DIV/0!</v>
      </c>
      <c r="CO67" t="e">
        <f>IF(CC67&lt;CK67,"yes","no")</f>
        <v>#DIV/0!</v>
      </c>
      <c r="CP67" t="e">
        <f>IF(CD67&lt;CL67,"yes","no")</f>
        <v>#DIV/0!</v>
      </c>
      <c r="CQ67" t="e">
        <f>IF(CE67&lt;CM67,"yes","no")</f>
        <v>#DIV/0!</v>
      </c>
      <c r="CR67">
        <f>TTEST(AS67:AW67,AD67:AH67,2,2)</f>
        <v>2.0359300469829818E-3</v>
      </c>
      <c r="CS67">
        <f>TTEST(AS67:AW67,AN67:AR67,2,2)</f>
        <v>0.11426981059753477</v>
      </c>
      <c r="CT67">
        <f>TTEST(AS67:AW67,AX67:BB67,2,2)</f>
        <v>3.7939886149074541E-4</v>
      </c>
      <c r="CU67">
        <v>172</v>
      </c>
      <c r="CV67">
        <v>183</v>
      </c>
      <c r="CW67">
        <v>66</v>
      </c>
      <c r="CX67">
        <f t="shared" ref="CX67:CX130" si="3">0.05*CU67/464</f>
        <v>1.8534482758620689E-2</v>
      </c>
      <c r="CY67">
        <f t="shared" ref="CY67:CY130" si="4">0.05*CV67/464</f>
        <v>1.9719827586206898E-2</v>
      </c>
      <c r="CZ67">
        <f t="shared" ref="CZ67:CZ130" si="5">0.05*CW67/464</f>
        <v>7.1120689655172417E-3</v>
      </c>
      <c r="DA67" t="str">
        <f>IF(CR67&lt;CX67,"yes","no")</f>
        <v>yes</v>
      </c>
      <c r="DB67" t="str">
        <f>IF(CS67&lt;CY67,"yes","no")</f>
        <v>no</v>
      </c>
      <c r="DC67" t="str">
        <f>IF(CT67&lt;CZ67,"yes","no")</f>
        <v>yes</v>
      </c>
    </row>
    <row r="68" spans="1:107" x14ac:dyDescent="0.2">
      <c r="A68" s="2" t="b">
        <v>0</v>
      </c>
      <c r="B68" s="2" t="s">
        <v>79</v>
      </c>
      <c r="C68" s="2" t="s">
        <v>80</v>
      </c>
      <c r="D68" s="2" t="s">
        <v>1376</v>
      </c>
      <c r="E68" s="2" t="s">
        <v>1377</v>
      </c>
      <c r="F68" s="2">
        <v>2</v>
      </c>
      <c r="G68" s="2">
        <v>2</v>
      </c>
      <c r="H68" s="2">
        <v>42.4</v>
      </c>
      <c r="I68" s="2">
        <v>5.34</v>
      </c>
      <c r="J68" s="2" t="s">
        <v>254</v>
      </c>
      <c r="K68" s="2" t="s">
        <v>1378</v>
      </c>
      <c r="L68" s="2" t="s">
        <v>218</v>
      </c>
      <c r="M68" s="2" t="s">
        <v>83</v>
      </c>
      <c r="N68" s="2" t="s">
        <v>1376</v>
      </c>
      <c r="O68" s="2">
        <v>10.250999999999999</v>
      </c>
      <c r="P68" s="2">
        <v>0.96499999999999997</v>
      </c>
      <c r="Q68" s="2">
        <v>0.68</v>
      </c>
      <c r="R68" s="2">
        <v>1.512</v>
      </c>
      <c r="S68" s="2">
        <v>14.273</v>
      </c>
      <c r="T68" s="2">
        <v>1.405</v>
      </c>
      <c r="U68" s="2">
        <v>0.97399999999999998</v>
      </c>
      <c r="V68" s="2">
        <v>9.5000000000000001E-2</v>
      </c>
      <c r="W68" s="2">
        <v>6.9000000000000006E-2</v>
      </c>
      <c r="X68" s="2">
        <v>0.70899999999999996</v>
      </c>
      <c r="Y68" s="2">
        <v>37.799999999999997</v>
      </c>
      <c r="Z68" s="2">
        <v>24.7</v>
      </c>
      <c r="AA68" s="2">
        <v>378.9</v>
      </c>
      <c r="AB68" s="2">
        <v>34.9</v>
      </c>
      <c r="AC68" s="2">
        <v>23.8</v>
      </c>
      <c r="AD68" s="2">
        <v>185103.078125</v>
      </c>
      <c r="AE68" s="2">
        <v>168885.015625</v>
      </c>
      <c r="AF68" s="2">
        <v>159386.640625</v>
      </c>
      <c r="AG68" s="2" t="s">
        <v>83</v>
      </c>
      <c r="AH68" s="2" t="s">
        <v>83</v>
      </c>
      <c r="AI68" s="2">
        <v>2607.93994140625</v>
      </c>
      <c r="AJ68" s="2" t="s">
        <v>83</v>
      </c>
      <c r="AK68" s="2" t="s">
        <v>83</v>
      </c>
      <c r="AL68" s="2">
        <v>3190.07983398438</v>
      </c>
      <c r="AM68" s="2">
        <v>2531.67553710938</v>
      </c>
      <c r="AN68" s="2">
        <v>32713.978515625</v>
      </c>
      <c r="AO68" s="2">
        <v>27930.087890625</v>
      </c>
      <c r="AP68" s="2">
        <v>40382.5</v>
      </c>
      <c r="AQ68" s="2">
        <v>31417.43359375</v>
      </c>
      <c r="AR68" s="2">
        <v>48012.0625</v>
      </c>
      <c r="AS68" s="2">
        <v>22594.78515625</v>
      </c>
      <c r="AT68" s="2">
        <v>38072.6171875</v>
      </c>
      <c r="AU68" s="2" t="s">
        <v>83</v>
      </c>
      <c r="AV68" s="2">
        <v>22519.02734375</v>
      </c>
      <c r="AW68" s="2">
        <v>31453.5703125</v>
      </c>
      <c r="AX68" s="2">
        <v>5336.2509765625</v>
      </c>
      <c r="AY68" s="2">
        <v>10094.76171875</v>
      </c>
      <c r="AZ68" s="2">
        <v>6605.3359375</v>
      </c>
      <c r="BA68" s="2">
        <v>7096.5908203125</v>
      </c>
      <c r="BB68" s="2">
        <v>7042.0009765625</v>
      </c>
      <c r="BC68" s="2" t="s">
        <v>91</v>
      </c>
      <c r="BD68" s="2" t="s">
        <v>79</v>
      </c>
      <c r="BE68" s="2" t="s">
        <v>91</v>
      </c>
      <c r="BF68" s="2" t="s">
        <v>79</v>
      </c>
      <c r="BG68" s="2" t="s">
        <v>79</v>
      </c>
      <c r="BH68" s="2" t="s">
        <v>91</v>
      </c>
      <c r="BI68" s="2" t="s">
        <v>98</v>
      </c>
      <c r="BJ68" s="2" t="s">
        <v>98</v>
      </c>
      <c r="BK68" s="2" t="s">
        <v>91</v>
      </c>
      <c r="BL68" s="2" t="s">
        <v>91</v>
      </c>
      <c r="BM68" s="2" t="s">
        <v>79</v>
      </c>
      <c r="BN68" s="2" t="s">
        <v>79</v>
      </c>
      <c r="BO68" s="2" t="s">
        <v>79</v>
      </c>
      <c r="BP68" s="2" t="s">
        <v>79</v>
      </c>
      <c r="BQ68" s="2" t="s">
        <v>79</v>
      </c>
      <c r="BR68" s="2" t="s">
        <v>91</v>
      </c>
      <c r="BS68" s="2" t="s">
        <v>91</v>
      </c>
      <c r="BT68" s="2" t="s">
        <v>98</v>
      </c>
      <c r="BU68" s="2" t="s">
        <v>91</v>
      </c>
      <c r="BV68" s="2" t="s">
        <v>91</v>
      </c>
      <c r="BW68" s="2" t="s">
        <v>91</v>
      </c>
      <c r="BX68" s="2" t="s">
        <v>91</v>
      </c>
      <c r="BY68" s="2" t="s">
        <v>91</v>
      </c>
      <c r="BZ68" s="2" t="s">
        <v>91</v>
      </c>
      <c r="CA68" s="2" t="s">
        <v>91</v>
      </c>
      <c r="CB68">
        <f>TTEST(AS68:AW68,AI68:AM68,2,2)</f>
        <v>2.1601943207354198E-3</v>
      </c>
      <c r="CC68">
        <f>TTEST(AD68:AH68,AI68:AM68,2,2)</f>
        <v>2.3456783749914717E-5</v>
      </c>
      <c r="CD68">
        <f>TTEST(AN68:AR68,AI68:AM68,2,2)</f>
        <v>4.5020398733513188E-4</v>
      </c>
      <c r="CE68">
        <f>TTEST(AX68:BB68,AI68:AM68,2,2)</f>
        <v>5.4980270286152794E-3</v>
      </c>
      <c r="CF68">
        <v>109</v>
      </c>
      <c r="CG68">
        <v>89</v>
      </c>
      <c r="CH68">
        <v>65</v>
      </c>
      <c r="CI68">
        <v>75</v>
      </c>
      <c r="CJ68">
        <f>0.05*CF68/464</f>
        <v>1.1745689655172415E-2</v>
      </c>
      <c r="CK68">
        <f>0.05*CG68/464</f>
        <v>9.5905172413793104E-3</v>
      </c>
      <c r="CL68">
        <f>0.05*CH68/464</f>
        <v>7.0043103448275863E-3</v>
      </c>
      <c r="CM68">
        <f>0.05*CI68/464</f>
        <v>8.0818965517241385E-3</v>
      </c>
      <c r="CN68" t="str">
        <f>IF(CB68&lt;CJ68,"yes","no")</f>
        <v>yes</v>
      </c>
      <c r="CO68" t="str">
        <f>IF(CC68&lt;CK68,"yes","no")</f>
        <v>yes</v>
      </c>
      <c r="CP68" t="str">
        <f>IF(CD68&lt;CL68,"yes","no")</f>
        <v>yes</v>
      </c>
      <c r="CQ68" t="str">
        <f>IF(CE68&lt;CM68,"yes","no")</f>
        <v>yes</v>
      </c>
      <c r="CR68">
        <f>TTEST(AS68:AW68,AD68:AH68,2,2)</f>
        <v>8.5232046903134334E-6</v>
      </c>
      <c r="CS68">
        <f>TTEST(AS68:AW68,AN68:AR68,2,2)</f>
        <v>0.20101728489763565</v>
      </c>
      <c r="CT68">
        <f>TTEST(AS68:AW68,AX68:BB68,2,2)</f>
        <v>4.2654152014268148E-4</v>
      </c>
      <c r="CU68">
        <v>92</v>
      </c>
      <c r="CV68">
        <v>198</v>
      </c>
      <c r="CW68">
        <v>67</v>
      </c>
      <c r="CX68">
        <f t="shared" si="3"/>
        <v>9.9137931034482766E-3</v>
      </c>
      <c r="CY68">
        <f t="shared" si="4"/>
        <v>2.1336206896551725E-2</v>
      </c>
      <c r="CZ68">
        <f t="shared" si="5"/>
        <v>7.2198275862068971E-3</v>
      </c>
      <c r="DA68" t="str">
        <f>IF(CR68&lt;CX68,"yes","no")</f>
        <v>yes</v>
      </c>
      <c r="DB68" t="str">
        <f>IF(CS68&lt;CY68,"yes","no")</f>
        <v>no</v>
      </c>
      <c r="DC68" t="str">
        <f>IF(CT68&lt;CZ68,"yes","no")</f>
        <v>yes</v>
      </c>
    </row>
    <row r="69" spans="1:107" x14ac:dyDescent="0.2">
      <c r="A69" s="2" t="b">
        <v>0</v>
      </c>
      <c r="B69" s="2" t="s">
        <v>79</v>
      </c>
      <c r="C69" s="2" t="s">
        <v>80</v>
      </c>
      <c r="D69" s="2" t="s">
        <v>959</v>
      </c>
      <c r="E69" s="2" t="s">
        <v>960</v>
      </c>
      <c r="F69" s="2">
        <v>3</v>
      </c>
      <c r="G69" s="2">
        <v>1</v>
      </c>
      <c r="H69" s="2">
        <v>280.3</v>
      </c>
      <c r="I69" s="2">
        <v>6.38</v>
      </c>
      <c r="J69" s="2" t="s">
        <v>83</v>
      </c>
      <c r="K69" s="2" t="s">
        <v>128</v>
      </c>
      <c r="L69" s="2" t="s">
        <v>83</v>
      </c>
      <c r="M69" s="2" t="s">
        <v>961</v>
      </c>
      <c r="N69" s="2" t="s">
        <v>962</v>
      </c>
      <c r="O69" s="2">
        <v>2.2069999999999999</v>
      </c>
      <c r="P69" s="2">
        <v>1.2729999999999999</v>
      </c>
      <c r="Q69" s="2">
        <v>0.99099999999999999</v>
      </c>
      <c r="R69" s="2">
        <v>0.72099999999999997</v>
      </c>
      <c r="S69" s="2">
        <v>1.4970000000000001</v>
      </c>
      <c r="T69" s="2">
        <v>0.879</v>
      </c>
      <c r="U69" s="2">
        <v>0.71399999999999997</v>
      </c>
      <c r="V69" s="2">
        <v>0.57699999999999996</v>
      </c>
      <c r="W69" s="2">
        <v>0.47699999999999998</v>
      </c>
      <c r="X69" s="2">
        <v>0.80800000000000005</v>
      </c>
      <c r="Y69" s="2">
        <v>71.400000000000006</v>
      </c>
      <c r="Z69" s="2">
        <v>105.2</v>
      </c>
      <c r="AA69" s="2">
        <v>157.5</v>
      </c>
      <c r="AB69" s="2">
        <v>90.8</v>
      </c>
      <c r="AC69" s="2">
        <v>75.099999999999994</v>
      </c>
      <c r="AD69" s="2">
        <v>263621.9375</v>
      </c>
      <c r="AE69" s="2">
        <v>182323.21875</v>
      </c>
      <c r="AF69" s="2">
        <v>151143.4375</v>
      </c>
      <c r="AG69" s="2">
        <v>234098.8125</v>
      </c>
      <c r="AH69" s="2">
        <v>290797.375</v>
      </c>
      <c r="AI69" s="2" t="s">
        <v>83</v>
      </c>
      <c r="AJ69" s="2">
        <v>5455.2880859375</v>
      </c>
      <c r="AK69" s="2">
        <v>6023.4423828125</v>
      </c>
      <c r="AL69" s="2" t="s">
        <v>83</v>
      </c>
      <c r="AM69" s="2" t="s">
        <v>83</v>
      </c>
      <c r="AN69" s="2">
        <v>7132.943359375</v>
      </c>
      <c r="AO69" s="2" t="s">
        <v>83</v>
      </c>
      <c r="AP69" s="2" t="s">
        <v>83</v>
      </c>
      <c r="AQ69" s="2" t="s">
        <v>83</v>
      </c>
      <c r="AR69" s="2" t="s">
        <v>83</v>
      </c>
      <c r="AS69" s="2">
        <v>30888.525390625</v>
      </c>
      <c r="AT69" s="2">
        <v>55663.8671875</v>
      </c>
      <c r="AU69" s="2">
        <v>42044.2265625</v>
      </c>
      <c r="AV69" s="2">
        <v>42759.69921875</v>
      </c>
      <c r="AW69" s="2">
        <v>38215.46875</v>
      </c>
      <c r="AX69" s="2">
        <v>8603.470703125</v>
      </c>
      <c r="AY69" s="2">
        <v>17637.431640625</v>
      </c>
      <c r="AZ69" s="2" t="s">
        <v>83</v>
      </c>
      <c r="BA69" s="2">
        <v>12996.2080078125</v>
      </c>
      <c r="BB69" s="2">
        <v>11307.6201171875</v>
      </c>
      <c r="BC69" s="2" t="s">
        <v>79</v>
      </c>
      <c r="BD69" s="2" t="s">
        <v>79</v>
      </c>
      <c r="BE69" s="2" t="s">
        <v>79</v>
      </c>
      <c r="BF69" s="2" t="s">
        <v>79</v>
      </c>
      <c r="BG69" s="2" t="s">
        <v>79</v>
      </c>
      <c r="BH69" s="2" t="s">
        <v>98</v>
      </c>
      <c r="BI69" s="2" t="s">
        <v>91</v>
      </c>
      <c r="BJ69" s="2" t="s">
        <v>91</v>
      </c>
      <c r="BK69" s="2" t="s">
        <v>98</v>
      </c>
      <c r="BL69" s="2" t="s">
        <v>98</v>
      </c>
      <c r="BM69" s="2" t="s">
        <v>91</v>
      </c>
      <c r="BN69" s="2" t="s">
        <v>98</v>
      </c>
      <c r="BO69" s="2" t="s">
        <v>98</v>
      </c>
      <c r="BP69" s="2" t="s">
        <v>98</v>
      </c>
      <c r="BQ69" s="2" t="s">
        <v>98</v>
      </c>
      <c r="BR69" s="2" t="s">
        <v>79</v>
      </c>
      <c r="BS69" s="2" t="s">
        <v>79</v>
      </c>
      <c r="BT69" s="2" t="s">
        <v>79</v>
      </c>
      <c r="BU69" s="2" t="s">
        <v>79</v>
      </c>
      <c r="BV69" s="2" t="s">
        <v>79</v>
      </c>
      <c r="BW69" s="2" t="s">
        <v>91</v>
      </c>
      <c r="BX69" s="2" t="s">
        <v>91</v>
      </c>
      <c r="BY69" s="2" t="s">
        <v>98</v>
      </c>
      <c r="BZ69" s="2" t="s">
        <v>91</v>
      </c>
      <c r="CA69" s="2" t="s">
        <v>91</v>
      </c>
      <c r="CB69">
        <f>TTEST(AS69:AW69,AI69:AM69,2,2)</f>
        <v>3.0359974515411265E-3</v>
      </c>
      <c r="CC69">
        <f>TTEST(AD69:AH69,AI69:AM69,2,2)</f>
        <v>3.8000685467653628E-3</v>
      </c>
      <c r="CD69" t="e">
        <f>TTEST(AN69:AR69,AI69:AM69,2,2)</f>
        <v>#DIV/0!</v>
      </c>
      <c r="CE69">
        <f>TTEST(AX69:BB69,AI69:AM69,2,2)</f>
        <v>7.2793049965624745E-2</v>
      </c>
      <c r="CF69">
        <v>117</v>
      </c>
      <c r="CG69">
        <v>151</v>
      </c>
      <c r="CH69">
        <v>239</v>
      </c>
      <c r="CI69">
        <v>116</v>
      </c>
      <c r="CJ69">
        <f>0.05*CF69/464</f>
        <v>1.2607758620689656E-2</v>
      </c>
      <c r="CK69">
        <f>0.05*CG69/464</f>
        <v>1.6271551724137932E-2</v>
      </c>
      <c r="CL69">
        <f>0.05*CH69/464</f>
        <v>2.5754310344827589E-2</v>
      </c>
      <c r="CM69">
        <f>0.05*CI69/464</f>
        <v>1.2500000000000001E-2</v>
      </c>
      <c r="CN69" t="str">
        <f>IF(CB69&lt;CJ69,"yes","no")</f>
        <v>yes</v>
      </c>
      <c r="CO69" t="str">
        <f>IF(CC69&lt;CK69,"yes","no")</f>
        <v>yes</v>
      </c>
      <c r="CP69" t="e">
        <f>IF(CD69&lt;CL69,"yes","no")</f>
        <v>#DIV/0!</v>
      </c>
      <c r="CQ69" t="str">
        <f>IF(CE69&lt;CM69,"yes","no")</f>
        <v>no</v>
      </c>
      <c r="CR69">
        <f>TTEST(AS69:AW69,AD69:AH69,2,2)</f>
        <v>1.100890861965361E-4</v>
      </c>
      <c r="CS69" t="e">
        <f>TTEST(AS69:AW69,AN69:AR69,2,2)</f>
        <v>#DIV/0!</v>
      </c>
      <c r="CT69">
        <f>TTEST(AS69:AW69,AX69:BB69,2,2)</f>
        <v>5.3268071794077671E-4</v>
      </c>
      <c r="CU69">
        <v>129</v>
      </c>
      <c r="CV69">
        <v>284</v>
      </c>
      <c r="CW69">
        <v>68</v>
      </c>
      <c r="CX69">
        <f t="shared" si="3"/>
        <v>1.3900862068965517E-2</v>
      </c>
      <c r="CY69">
        <f t="shared" si="4"/>
        <v>3.0603448275862071E-2</v>
      </c>
      <c r="CZ69">
        <f t="shared" si="5"/>
        <v>7.3275862068965525E-3</v>
      </c>
      <c r="DA69" t="str">
        <f>IF(CR69&lt;CX69,"yes","no")</f>
        <v>yes</v>
      </c>
      <c r="DB69" t="e">
        <f>IF(CS69&lt;CY69,"yes","no")</f>
        <v>#DIV/0!</v>
      </c>
      <c r="DC69" t="str">
        <f>IF(CT69&lt;CZ69,"yes","no")</f>
        <v>yes</v>
      </c>
    </row>
    <row r="70" spans="1:107" x14ac:dyDescent="0.2">
      <c r="A70" s="2" t="b">
        <v>0</v>
      </c>
      <c r="B70" s="2" t="s">
        <v>79</v>
      </c>
      <c r="C70" s="2" t="s">
        <v>80</v>
      </c>
      <c r="D70" s="2" t="s">
        <v>816</v>
      </c>
      <c r="E70" s="2" t="s">
        <v>817</v>
      </c>
      <c r="F70" s="2">
        <v>3</v>
      </c>
      <c r="G70" s="2">
        <v>2</v>
      </c>
      <c r="H70" s="2">
        <v>23</v>
      </c>
      <c r="I70" s="2">
        <v>7.65</v>
      </c>
      <c r="J70" s="2" t="s">
        <v>254</v>
      </c>
      <c r="K70" s="2" t="s">
        <v>782</v>
      </c>
      <c r="L70" s="2" t="s">
        <v>83</v>
      </c>
      <c r="M70" s="2" t="s">
        <v>83</v>
      </c>
      <c r="N70" s="2" t="s">
        <v>816</v>
      </c>
      <c r="O70" s="2">
        <v>11.587999999999999</v>
      </c>
      <c r="P70" s="2">
        <v>1.07</v>
      </c>
      <c r="Q70" s="2">
        <v>9.7349999999999994</v>
      </c>
      <c r="R70" s="2">
        <v>100</v>
      </c>
      <c r="S70" s="2">
        <v>100</v>
      </c>
      <c r="T70" s="2">
        <v>100</v>
      </c>
      <c r="U70" s="2">
        <v>100</v>
      </c>
      <c r="V70" s="2">
        <v>7.8E-2</v>
      </c>
      <c r="W70" s="2">
        <v>0.81</v>
      </c>
      <c r="X70" s="2">
        <v>9.2810000000000006</v>
      </c>
      <c r="Y70" s="2">
        <v>27.4</v>
      </c>
      <c r="Z70" s="2" t="s">
        <v>83</v>
      </c>
      <c r="AA70" s="2">
        <v>345.5</v>
      </c>
      <c r="AB70" s="2">
        <v>10.3</v>
      </c>
      <c r="AC70" s="2">
        <v>116.8</v>
      </c>
      <c r="AD70" s="2">
        <v>310287.83984375</v>
      </c>
      <c r="AE70" s="2">
        <v>254159.8359375</v>
      </c>
      <c r="AF70" s="2">
        <v>295400.8828125</v>
      </c>
      <c r="AG70" s="2">
        <v>89889.890625</v>
      </c>
      <c r="AH70" s="2">
        <v>77975.953125</v>
      </c>
      <c r="AI70" s="2" t="s">
        <v>83</v>
      </c>
      <c r="AJ70" s="2" t="s">
        <v>83</v>
      </c>
      <c r="AK70" s="2" t="s">
        <v>83</v>
      </c>
      <c r="AL70" s="2" t="s">
        <v>83</v>
      </c>
      <c r="AM70" s="2" t="s">
        <v>83</v>
      </c>
      <c r="AN70" s="2">
        <v>74006.67578125</v>
      </c>
      <c r="AO70" s="2">
        <v>52773.5</v>
      </c>
      <c r="AP70" s="2">
        <v>80705.126953125</v>
      </c>
      <c r="AQ70" s="2">
        <v>32961.7734375</v>
      </c>
      <c r="AR70" s="2">
        <v>80594.6953125</v>
      </c>
      <c r="AS70" s="2">
        <v>11585.8203125</v>
      </c>
      <c r="AT70" s="2">
        <v>27075.447265625</v>
      </c>
      <c r="AU70" s="2" t="s">
        <v>83</v>
      </c>
      <c r="AV70" s="2">
        <v>10599.09765625</v>
      </c>
      <c r="AW70" s="2">
        <v>21522.775390625</v>
      </c>
      <c r="AX70" s="2" t="s">
        <v>83</v>
      </c>
      <c r="AY70" s="2">
        <v>67338.796875</v>
      </c>
      <c r="AZ70" s="2">
        <v>67617.9140625</v>
      </c>
      <c r="BA70" s="2" t="s">
        <v>83</v>
      </c>
      <c r="BB70" s="2">
        <v>54746.5390625</v>
      </c>
      <c r="BC70" s="2" t="s">
        <v>79</v>
      </c>
      <c r="BD70" s="2" t="s">
        <v>79</v>
      </c>
      <c r="BE70" s="2" t="s">
        <v>79</v>
      </c>
      <c r="BF70" s="2" t="s">
        <v>79</v>
      </c>
      <c r="BG70" s="2" t="s">
        <v>79</v>
      </c>
      <c r="BH70" s="2" t="s">
        <v>98</v>
      </c>
      <c r="BI70" s="2" t="s">
        <v>98</v>
      </c>
      <c r="BJ70" s="2" t="s">
        <v>98</v>
      </c>
      <c r="BK70" s="2" t="s">
        <v>98</v>
      </c>
      <c r="BL70" s="2" t="s">
        <v>98</v>
      </c>
      <c r="BM70" s="2" t="s">
        <v>79</v>
      </c>
      <c r="BN70" s="2" t="s">
        <v>79</v>
      </c>
      <c r="BO70" s="2" t="s">
        <v>79</v>
      </c>
      <c r="BP70" s="2" t="s">
        <v>79</v>
      </c>
      <c r="BQ70" s="2" t="s">
        <v>79</v>
      </c>
      <c r="BR70" s="2" t="s">
        <v>79</v>
      </c>
      <c r="BS70" s="2" t="s">
        <v>79</v>
      </c>
      <c r="BT70" s="2" t="s">
        <v>98</v>
      </c>
      <c r="BU70" s="2" t="s">
        <v>91</v>
      </c>
      <c r="BV70" s="2" t="s">
        <v>79</v>
      </c>
      <c r="BW70" s="2" t="s">
        <v>98</v>
      </c>
      <c r="BX70" s="2" t="s">
        <v>91</v>
      </c>
      <c r="BY70" s="2" t="s">
        <v>91</v>
      </c>
      <c r="BZ70" s="2" t="s">
        <v>98</v>
      </c>
      <c r="CA70" s="2" t="s">
        <v>91</v>
      </c>
      <c r="CB70" t="e">
        <f>TTEST(AS70:AW70,AI70:AM70,2,2)</f>
        <v>#DIV/0!</v>
      </c>
      <c r="CC70" t="e">
        <f>TTEST(AD70:AH70,AI70:AM70,2,2)</f>
        <v>#DIV/0!</v>
      </c>
      <c r="CD70" t="e">
        <f>TTEST(AN70:AR70,AI70:AM70,2,2)</f>
        <v>#DIV/0!</v>
      </c>
      <c r="CE70" t="e">
        <f>TTEST(AX70:BB70,AI70:AM70,2,2)</f>
        <v>#DIV/0!</v>
      </c>
      <c r="CF70">
        <v>276</v>
      </c>
      <c r="CG70">
        <v>290</v>
      </c>
      <c r="CH70">
        <v>294</v>
      </c>
      <c r="CI70">
        <v>232</v>
      </c>
      <c r="CJ70">
        <f>0.05*CF70/464</f>
        <v>2.9741379310344828E-2</v>
      </c>
      <c r="CK70">
        <f>0.05*CG70/464</f>
        <v>3.125E-2</v>
      </c>
      <c r="CL70">
        <f>0.05*CH70/464</f>
        <v>3.1681034482758622E-2</v>
      </c>
      <c r="CM70">
        <f>0.05*CI70/464</f>
        <v>2.5000000000000001E-2</v>
      </c>
      <c r="CN70" t="e">
        <f>IF(CB70&lt;CJ70,"yes","no")</f>
        <v>#DIV/0!</v>
      </c>
      <c r="CO70" t="e">
        <f>IF(CC70&lt;CK70,"yes","no")</f>
        <v>#DIV/0!</v>
      </c>
      <c r="CP70" t="e">
        <f>IF(CD70&lt;CL70,"yes","no")</f>
        <v>#DIV/0!</v>
      </c>
      <c r="CQ70" t="e">
        <f>IF(CE70&lt;CM70,"yes","no")</f>
        <v>#DIV/0!</v>
      </c>
      <c r="CR70">
        <f>TTEST(AS70:AW70,AD70:AH70,2,2)</f>
        <v>1.3623624681855793E-2</v>
      </c>
      <c r="CS70">
        <f>TTEST(AS70:AW70,AN70:AR70,2,2)</f>
        <v>4.1821713274697858E-3</v>
      </c>
      <c r="CT70">
        <f>TTEST(AS70:AW70,AX70:BB70,2,2)</f>
        <v>5.8309955779198394E-4</v>
      </c>
      <c r="CU70">
        <v>197</v>
      </c>
      <c r="CV70">
        <v>117</v>
      </c>
      <c r="CW70">
        <v>69</v>
      </c>
      <c r="CX70">
        <f t="shared" si="3"/>
        <v>2.1228448275862073E-2</v>
      </c>
      <c r="CY70">
        <f t="shared" si="4"/>
        <v>1.2607758620689656E-2</v>
      </c>
      <c r="CZ70">
        <f t="shared" si="5"/>
        <v>7.435344827586207E-3</v>
      </c>
      <c r="DA70" t="str">
        <f>IF(CR70&lt;CX70,"yes","no")</f>
        <v>yes</v>
      </c>
      <c r="DB70" t="str">
        <f>IF(CS70&lt;CY70,"yes","no")</f>
        <v>yes</v>
      </c>
      <c r="DC70" t="str">
        <f>IF(CT70&lt;CZ70,"yes","no")</f>
        <v>yes</v>
      </c>
    </row>
    <row r="71" spans="1:107" x14ac:dyDescent="0.2">
      <c r="A71" s="2" t="b">
        <v>0</v>
      </c>
      <c r="B71" s="2" t="s">
        <v>79</v>
      </c>
      <c r="C71" s="2" t="s">
        <v>80</v>
      </c>
      <c r="D71" s="2" t="s">
        <v>282</v>
      </c>
      <c r="E71" s="2" t="s">
        <v>283</v>
      </c>
      <c r="F71" s="2">
        <v>9</v>
      </c>
      <c r="G71" s="2">
        <v>9</v>
      </c>
      <c r="H71" s="2">
        <v>56.9</v>
      </c>
      <c r="I71" s="2">
        <v>5.87</v>
      </c>
      <c r="J71" s="2" t="s">
        <v>284</v>
      </c>
      <c r="K71" s="2" t="s">
        <v>285</v>
      </c>
      <c r="L71" s="2" t="s">
        <v>202</v>
      </c>
      <c r="M71" s="2" t="s">
        <v>286</v>
      </c>
      <c r="N71" s="2" t="s">
        <v>282</v>
      </c>
      <c r="O71" s="2">
        <v>0.26400000000000001</v>
      </c>
      <c r="P71" s="2">
        <v>0.128</v>
      </c>
      <c r="Q71" s="2">
        <v>0.11600000000000001</v>
      </c>
      <c r="R71" s="2">
        <v>19.507000000000001</v>
      </c>
      <c r="S71" s="2">
        <v>4.9450000000000003</v>
      </c>
      <c r="T71" s="2">
        <v>3.3490000000000002</v>
      </c>
      <c r="U71" s="2">
        <v>1.8540000000000001</v>
      </c>
      <c r="V71" s="2">
        <v>0.58599999999999997</v>
      </c>
      <c r="W71" s="2">
        <v>0.36399999999999999</v>
      </c>
      <c r="X71" s="2">
        <v>0.70499999999999996</v>
      </c>
      <c r="Y71" s="2">
        <v>339.4</v>
      </c>
      <c r="Z71" s="2">
        <v>8.1</v>
      </c>
      <c r="AA71" s="2">
        <v>75.099999999999994</v>
      </c>
      <c r="AB71" s="2">
        <v>48.4</v>
      </c>
      <c r="AC71" s="2">
        <v>29.1</v>
      </c>
      <c r="AD71" s="2">
        <v>32614716.480468798</v>
      </c>
      <c r="AE71" s="2">
        <v>26269194.4296875</v>
      </c>
      <c r="AF71" s="2">
        <v>22013867.654296901</v>
      </c>
      <c r="AG71" s="2">
        <v>32542282.894531298</v>
      </c>
      <c r="AH71" s="2">
        <v>28943759.8828125</v>
      </c>
      <c r="AI71" s="2">
        <v>25467.188964843801</v>
      </c>
      <c r="AJ71" s="2">
        <v>5307.4677734375</v>
      </c>
      <c r="AK71" s="2">
        <v>17476.593261718801</v>
      </c>
      <c r="AL71" s="2">
        <v>20173.666015625</v>
      </c>
      <c r="AM71" s="2">
        <v>4097.1171875</v>
      </c>
      <c r="AN71" s="2">
        <v>131347.818359375</v>
      </c>
      <c r="AO71" s="2">
        <v>100515.89184570299</v>
      </c>
      <c r="AP71" s="2">
        <v>117966.841308594</v>
      </c>
      <c r="AQ71" s="2">
        <v>137601.30517578099</v>
      </c>
      <c r="AR71" s="2">
        <v>145135.90527343799</v>
      </c>
      <c r="AS71" s="2">
        <v>557873.109375</v>
      </c>
      <c r="AT71" s="2">
        <v>998391.513671875</v>
      </c>
      <c r="AU71" s="2">
        <v>477600.857421875</v>
      </c>
      <c r="AV71" s="2">
        <v>626722.55078125</v>
      </c>
      <c r="AW71" s="2">
        <v>654296.29296875</v>
      </c>
      <c r="AX71" s="2">
        <v>154547.771484375</v>
      </c>
      <c r="AY71" s="2">
        <v>224459.00927734401</v>
      </c>
      <c r="AZ71" s="2">
        <v>135541.40625</v>
      </c>
      <c r="BA71" s="2">
        <v>105455.25</v>
      </c>
      <c r="BB71" s="2">
        <v>192052.3359375</v>
      </c>
      <c r="BC71" s="2" t="s">
        <v>79</v>
      </c>
      <c r="BD71" s="2" t="s">
        <v>79</v>
      </c>
      <c r="BE71" s="2" t="s">
        <v>79</v>
      </c>
      <c r="BF71" s="2" t="s">
        <v>79</v>
      </c>
      <c r="BG71" s="2" t="s">
        <v>79</v>
      </c>
      <c r="BH71" s="2" t="s">
        <v>91</v>
      </c>
      <c r="BI71" s="2" t="s">
        <v>91</v>
      </c>
      <c r="BJ71" s="2" t="s">
        <v>91</v>
      </c>
      <c r="BK71" s="2" t="s">
        <v>91</v>
      </c>
      <c r="BL71" s="2" t="s">
        <v>91</v>
      </c>
      <c r="BM71" s="2" t="s">
        <v>79</v>
      </c>
      <c r="BN71" s="2" t="s">
        <v>79</v>
      </c>
      <c r="BO71" s="2" t="s">
        <v>79</v>
      </c>
      <c r="BP71" s="2" t="s">
        <v>79</v>
      </c>
      <c r="BQ71" s="2" t="s">
        <v>79</v>
      </c>
      <c r="BR71" s="2" t="s">
        <v>79</v>
      </c>
      <c r="BS71" s="2" t="s">
        <v>79</v>
      </c>
      <c r="BT71" s="2" t="s">
        <v>79</v>
      </c>
      <c r="BU71" s="2" t="s">
        <v>79</v>
      </c>
      <c r="BV71" s="2" t="s">
        <v>79</v>
      </c>
      <c r="BW71" s="2" t="s">
        <v>79</v>
      </c>
      <c r="BX71" s="2" t="s">
        <v>91</v>
      </c>
      <c r="BY71" s="2" t="s">
        <v>79</v>
      </c>
      <c r="BZ71" s="2" t="s">
        <v>91</v>
      </c>
      <c r="CA71" s="2" t="s">
        <v>91</v>
      </c>
      <c r="CB71">
        <f>TTEST(AS71:AW71,AI71:AM71,2,2)</f>
        <v>8.737996477854631E-5</v>
      </c>
      <c r="CC71">
        <f>TTEST(AD71:AH71,AI71:AM71,2,2)</f>
        <v>5.9349046193707862E-7</v>
      </c>
      <c r="CD71">
        <f>TTEST(AN71:AR71,AI71:AM71,2,2)</f>
        <v>1.5333876848353384E-6</v>
      </c>
      <c r="CE71">
        <f>TTEST(AX71:BB71,AI71:AM71,2,2)</f>
        <v>1.2081872870758582E-4</v>
      </c>
      <c r="CF71">
        <v>64</v>
      </c>
      <c r="CG71">
        <v>45</v>
      </c>
      <c r="CH71">
        <v>9</v>
      </c>
      <c r="CI71">
        <v>39</v>
      </c>
      <c r="CJ71">
        <f>0.05*CF71/464</f>
        <v>6.8965517241379318E-3</v>
      </c>
      <c r="CK71">
        <f>0.05*CG71/464</f>
        <v>4.8491379310344829E-3</v>
      </c>
      <c r="CL71">
        <f>0.05*CH71/464</f>
        <v>9.6982758620689654E-4</v>
      </c>
      <c r="CM71">
        <f>0.05*CI71/464</f>
        <v>4.2025862068965523E-3</v>
      </c>
      <c r="CN71" t="str">
        <f>IF(CB71&lt;CJ71,"yes","no")</f>
        <v>yes</v>
      </c>
      <c r="CO71" t="str">
        <f>IF(CC71&lt;CK71,"yes","no")</f>
        <v>yes</v>
      </c>
      <c r="CP71" t="str">
        <f>IF(CD71&lt;CL71,"yes","no")</f>
        <v>yes</v>
      </c>
      <c r="CQ71" t="str">
        <f>IF(CE71&lt;CM71,"yes","no")</f>
        <v>yes</v>
      </c>
      <c r="CR71">
        <f>TTEST(AS71:AW71,AD71:AH71,2,2)</f>
        <v>7.1444907508277378E-7</v>
      </c>
      <c r="CS71">
        <f>TTEST(AS71:AW71,AN71:AR71,2,2)</f>
        <v>3.2788227337481653E-4</v>
      </c>
      <c r="CT71">
        <f>TTEST(AS71:AW71,AX71:BB71,2,2)</f>
        <v>6.0107268843173785E-4</v>
      </c>
      <c r="CU71">
        <v>45</v>
      </c>
      <c r="CV71">
        <v>76</v>
      </c>
      <c r="CW71">
        <v>70</v>
      </c>
      <c r="CX71">
        <f t="shared" si="3"/>
        <v>4.8491379310344829E-3</v>
      </c>
      <c r="CY71">
        <f t="shared" si="4"/>
        <v>8.1896551724137939E-3</v>
      </c>
      <c r="CZ71">
        <f t="shared" si="5"/>
        <v>7.5431034482758624E-3</v>
      </c>
      <c r="DA71" t="str">
        <f>IF(CR71&lt;CX71,"yes","no")</f>
        <v>yes</v>
      </c>
      <c r="DB71" t="str">
        <f>IF(CS71&lt;CY71,"yes","no")</f>
        <v>yes</v>
      </c>
      <c r="DC71" t="str">
        <f>IF(CT71&lt;CZ71,"yes","no")</f>
        <v>yes</v>
      </c>
    </row>
    <row r="72" spans="1:107" x14ac:dyDescent="0.2">
      <c r="A72" s="2" t="b">
        <v>0</v>
      </c>
      <c r="B72" s="2" t="s">
        <v>79</v>
      </c>
      <c r="C72" s="2" t="s">
        <v>80</v>
      </c>
      <c r="D72" s="2" t="s">
        <v>152</v>
      </c>
      <c r="E72" s="2" t="s">
        <v>153</v>
      </c>
      <c r="F72" s="2">
        <v>21</v>
      </c>
      <c r="G72" s="2">
        <v>21</v>
      </c>
      <c r="H72" s="2">
        <v>54.2</v>
      </c>
      <c r="I72" s="2">
        <v>7.78</v>
      </c>
      <c r="J72" s="2" t="s">
        <v>154</v>
      </c>
      <c r="K72" s="2" t="s">
        <v>84</v>
      </c>
      <c r="L72" s="2" t="s">
        <v>155</v>
      </c>
      <c r="M72" s="2" t="s">
        <v>83</v>
      </c>
      <c r="N72" s="2" t="s">
        <v>156</v>
      </c>
      <c r="O72" s="2">
        <v>1.546</v>
      </c>
      <c r="P72" s="2">
        <v>6.9000000000000006E-2</v>
      </c>
      <c r="Q72" s="2">
        <v>0.123</v>
      </c>
      <c r="R72" s="2">
        <v>8.1820000000000004</v>
      </c>
      <c r="S72" s="2">
        <v>10.651</v>
      </c>
      <c r="T72" s="2">
        <v>1.1559999999999999</v>
      </c>
      <c r="U72" s="2">
        <v>2.0110000000000001</v>
      </c>
      <c r="V72" s="2">
        <v>9.8000000000000004E-2</v>
      </c>
      <c r="W72" s="2">
        <v>0.185</v>
      </c>
      <c r="X72" s="2">
        <v>1.5740000000000001</v>
      </c>
      <c r="Y72" s="2">
        <v>194.6</v>
      </c>
      <c r="Z72" s="2">
        <v>16.7</v>
      </c>
      <c r="AA72" s="2">
        <v>227.2</v>
      </c>
      <c r="AB72" s="2">
        <v>20.7</v>
      </c>
      <c r="AC72" s="2">
        <v>40.799999999999997</v>
      </c>
      <c r="AD72" s="2">
        <v>67626258.46875</v>
      </c>
      <c r="AE72" s="2">
        <v>54418706.682617202</v>
      </c>
      <c r="AF72" s="2">
        <v>55198259.8515625</v>
      </c>
      <c r="AG72" s="2">
        <v>53406060.935546897</v>
      </c>
      <c r="AH72" s="2">
        <v>52000278.501953103</v>
      </c>
      <c r="AI72" s="2">
        <v>110438.33203125</v>
      </c>
      <c r="AJ72" s="2">
        <v>138187.73974609401</v>
      </c>
      <c r="AK72" s="2">
        <v>58548.375244140603</v>
      </c>
      <c r="AL72" s="2">
        <v>147613.71728515599</v>
      </c>
      <c r="AM72" s="2">
        <v>105349.730712891</v>
      </c>
      <c r="AN72" s="2">
        <v>1147522.9130859401</v>
      </c>
      <c r="AO72" s="2">
        <v>1208708.4377441399</v>
      </c>
      <c r="AP72" s="2">
        <v>1603510.7265625</v>
      </c>
      <c r="AQ72" s="2">
        <v>1214891.2675781299</v>
      </c>
      <c r="AR72" s="2">
        <v>1752462.0517578099</v>
      </c>
      <c r="AS72" s="2">
        <v>785960.60205078102</v>
      </c>
      <c r="AT72" s="2">
        <v>1141232.5356445301</v>
      </c>
      <c r="AU72" s="2">
        <v>860525.31201171898</v>
      </c>
      <c r="AV72" s="2">
        <v>970155.98974609398</v>
      </c>
      <c r="AW72" s="2">
        <v>1013502.02734375</v>
      </c>
      <c r="AX72" s="2">
        <v>601341.560546875</v>
      </c>
      <c r="AY72" s="2">
        <v>657639.67871093797</v>
      </c>
      <c r="AZ72" s="2">
        <v>599045.71875</v>
      </c>
      <c r="BA72" s="2">
        <v>633736.0390625</v>
      </c>
      <c r="BB72" s="2">
        <v>608519.73095703102</v>
      </c>
      <c r="BC72" s="2" t="s">
        <v>79</v>
      </c>
      <c r="BD72" s="2" t="s">
        <v>79</v>
      </c>
      <c r="BE72" s="2" t="s">
        <v>79</v>
      </c>
      <c r="BF72" s="2" t="s">
        <v>79</v>
      </c>
      <c r="BG72" s="2" t="s">
        <v>79</v>
      </c>
      <c r="BH72" s="2" t="s">
        <v>91</v>
      </c>
      <c r="BI72" s="2" t="s">
        <v>91</v>
      </c>
      <c r="BJ72" s="2" t="s">
        <v>79</v>
      </c>
      <c r="BK72" s="2" t="s">
        <v>79</v>
      </c>
      <c r="BL72" s="2" t="s">
        <v>91</v>
      </c>
      <c r="BM72" s="2" t="s">
        <v>79</v>
      </c>
      <c r="BN72" s="2" t="s">
        <v>79</v>
      </c>
      <c r="BO72" s="2" t="s">
        <v>79</v>
      </c>
      <c r="BP72" s="2" t="s">
        <v>79</v>
      </c>
      <c r="BQ72" s="2" t="s">
        <v>79</v>
      </c>
      <c r="BR72" s="2" t="s">
        <v>79</v>
      </c>
      <c r="BS72" s="2" t="s">
        <v>79</v>
      </c>
      <c r="BT72" s="2" t="s">
        <v>79</v>
      </c>
      <c r="BU72" s="2" t="s">
        <v>79</v>
      </c>
      <c r="BV72" s="2" t="s">
        <v>79</v>
      </c>
      <c r="BW72" s="2" t="s">
        <v>79</v>
      </c>
      <c r="BX72" s="2" t="s">
        <v>79</v>
      </c>
      <c r="BY72" s="2" t="s">
        <v>79</v>
      </c>
      <c r="BZ72" s="2" t="s">
        <v>79</v>
      </c>
      <c r="CA72" s="2" t="s">
        <v>79</v>
      </c>
      <c r="CB72">
        <f>TTEST(AS72:AW72,AI72:AM72,2,2)</f>
        <v>9.983042690786817E-7</v>
      </c>
      <c r="CC72">
        <f>TTEST(AD72:AH72,AI72:AM72,2,2)</f>
        <v>4.1235668587757194E-8</v>
      </c>
      <c r="CD72">
        <f>TTEST(AN72:AR72,AI72:AM72,2,2)</f>
        <v>6.668109823149832E-6</v>
      </c>
      <c r="CE72">
        <f>TTEST(AX72:BB72,AI72:AM72,2,2)</f>
        <v>4.4974662859898338E-9</v>
      </c>
      <c r="CF72">
        <v>7</v>
      </c>
      <c r="CG72">
        <v>13</v>
      </c>
      <c r="CH72">
        <v>20</v>
      </c>
      <c r="CI72">
        <v>1</v>
      </c>
      <c r="CJ72">
        <f>0.05*CF72/464</f>
        <v>7.543103448275863E-4</v>
      </c>
      <c r="CK72">
        <f>0.05*CG72/464</f>
        <v>1.4008620689655172E-3</v>
      </c>
      <c r="CL72">
        <f>0.05*CH72/464</f>
        <v>2.1551724137931034E-3</v>
      </c>
      <c r="CM72">
        <f>0.05*CI72/464</f>
        <v>1.0775862068965518E-4</v>
      </c>
      <c r="CN72" t="str">
        <f>IF(CB72&lt;CJ72,"yes","no")</f>
        <v>yes</v>
      </c>
      <c r="CO72" t="str">
        <f>IF(CC72&lt;CK72,"yes","no")</f>
        <v>yes</v>
      </c>
      <c r="CP72" t="str">
        <f>IF(CD72&lt;CL72,"yes","no")</f>
        <v>yes</v>
      </c>
      <c r="CQ72" t="str">
        <f>IF(CE72&lt;CM72,"yes","no")</f>
        <v>yes</v>
      </c>
      <c r="CR72">
        <f>TTEST(AS72:AW72,AD72:AH72,2,2)</f>
        <v>4.6489065446220283E-8</v>
      </c>
      <c r="CS72">
        <f>TTEST(AS72:AW72,AN72:AR72,2,2)</f>
        <v>1.3628130065411909E-2</v>
      </c>
      <c r="CT72">
        <f>TTEST(AS72:AW72,AX72:BB72,2,2)</f>
        <v>6.9446822559440476E-4</v>
      </c>
      <c r="CU72">
        <v>10</v>
      </c>
      <c r="CV72">
        <v>138</v>
      </c>
      <c r="CW72">
        <v>71</v>
      </c>
      <c r="CX72">
        <f t="shared" si="3"/>
        <v>1.0775862068965517E-3</v>
      </c>
      <c r="CY72">
        <f t="shared" si="4"/>
        <v>1.4870689655172414E-2</v>
      </c>
      <c r="CZ72">
        <f t="shared" si="5"/>
        <v>7.6508620689655178E-3</v>
      </c>
      <c r="DA72" t="str">
        <f>IF(CR72&lt;CX72,"yes","no")</f>
        <v>yes</v>
      </c>
      <c r="DB72" t="str">
        <f>IF(CS72&lt;CY72,"yes","no")</f>
        <v>yes</v>
      </c>
      <c r="DC72" t="str">
        <f>IF(CT72&lt;CZ72,"yes","no")</f>
        <v>yes</v>
      </c>
    </row>
    <row r="73" spans="1:107" x14ac:dyDescent="0.2">
      <c r="A73" s="2" t="b">
        <v>0</v>
      </c>
      <c r="B73" s="2" t="s">
        <v>79</v>
      </c>
      <c r="C73" s="2" t="s">
        <v>80</v>
      </c>
      <c r="D73" s="2" t="s">
        <v>1104</v>
      </c>
      <c r="E73" s="2" t="s">
        <v>1105</v>
      </c>
      <c r="F73" s="2">
        <v>3</v>
      </c>
      <c r="G73" s="2">
        <v>3</v>
      </c>
      <c r="H73" s="2">
        <v>55.4</v>
      </c>
      <c r="I73" s="2">
        <v>5.41</v>
      </c>
      <c r="J73" s="2" t="s">
        <v>680</v>
      </c>
      <c r="K73" s="2" t="s">
        <v>84</v>
      </c>
      <c r="L73" s="2" t="s">
        <v>119</v>
      </c>
      <c r="M73" s="2" t="s">
        <v>83</v>
      </c>
      <c r="N73" s="2" t="s">
        <v>1104</v>
      </c>
      <c r="O73" s="2">
        <v>5.1520000000000001</v>
      </c>
      <c r="P73" s="2">
        <v>0.90500000000000003</v>
      </c>
      <c r="Q73" s="2">
        <v>13.696999999999999</v>
      </c>
      <c r="R73" s="2">
        <v>0.29799999999999999</v>
      </c>
      <c r="S73" s="2">
        <v>1.7110000000000001</v>
      </c>
      <c r="T73" s="2">
        <v>0.161</v>
      </c>
      <c r="U73" s="2">
        <v>2.653</v>
      </c>
      <c r="V73" s="2">
        <v>9.2999999999999999E-2</v>
      </c>
      <c r="W73" s="2">
        <v>2.3940000000000001</v>
      </c>
      <c r="X73" s="2">
        <v>9.8209999999999997</v>
      </c>
      <c r="Y73" s="2">
        <v>22.3</v>
      </c>
      <c r="Z73" s="2">
        <v>61.6</v>
      </c>
      <c r="AA73" s="2">
        <v>110.4</v>
      </c>
      <c r="AB73" s="2">
        <v>8.9</v>
      </c>
      <c r="AC73" s="2">
        <v>296.89999999999998</v>
      </c>
      <c r="AD73" s="2">
        <v>328440.6796875</v>
      </c>
      <c r="AE73" s="2">
        <v>406140.22265625</v>
      </c>
      <c r="AF73" s="2">
        <v>227617.10546875</v>
      </c>
      <c r="AG73" s="2">
        <v>274820.6171875</v>
      </c>
      <c r="AH73" s="2">
        <v>133946.60546875</v>
      </c>
      <c r="AI73" s="2">
        <v>15788.3806152344</v>
      </c>
      <c r="AJ73" s="2">
        <v>3797.06591796875</v>
      </c>
      <c r="AK73" s="2" t="s">
        <v>83</v>
      </c>
      <c r="AL73" s="2">
        <v>22576.00390625</v>
      </c>
      <c r="AM73" s="2" t="s">
        <v>83</v>
      </c>
      <c r="AN73" s="2">
        <v>10006.4306640625</v>
      </c>
      <c r="AO73" s="2">
        <v>20553.9619140625</v>
      </c>
      <c r="AP73" s="2">
        <v>34039.438964843801</v>
      </c>
      <c r="AQ73" s="2">
        <v>27271.798828125</v>
      </c>
      <c r="AR73" s="2" t="s">
        <v>83</v>
      </c>
      <c r="AS73" s="2" t="s">
        <v>83</v>
      </c>
      <c r="AT73" s="2" t="s">
        <v>83</v>
      </c>
      <c r="AU73" s="2">
        <v>13484.7529296875</v>
      </c>
      <c r="AV73" s="2" t="s">
        <v>83</v>
      </c>
      <c r="AW73" s="2">
        <v>17390.234375</v>
      </c>
      <c r="AX73" s="2">
        <v>169918.98974609401</v>
      </c>
      <c r="AY73" s="2">
        <v>180584.17578125</v>
      </c>
      <c r="AZ73" s="2">
        <v>240061.4140625</v>
      </c>
      <c r="BA73" s="2">
        <v>188599.515625</v>
      </c>
      <c r="BB73" s="2">
        <v>159584.78125</v>
      </c>
      <c r="BC73" s="2" t="s">
        <v>79</v>
      </c>
      <c r="BD73" s="2" t="s">
        <v>79</v>
      </c>
      <c r="BE73" s="2" t="s">
        <v>79</v>
      </c>
      <c r="BF73" s="2" t="s">
        <v>79</v>
      </c>
      <c r="BG73" s="2" t="s">
        <v>79</v>
      </c>
      <c r="BH73" s="2" t="s">
        <v>91</v>
      </c>
      <c r="BI73" s="2" t="s">
        <v>91</v>
      </c>
      <c r="BJ73" s="2" t="s">
        <v>98</v>
      </c>
      <c r="BK73" s="2" t="s">
        <v>91</v>
      </c>
      <c r="BL73" s="2" t="s">
        <v>98</v>
      </c>
      <c r="BM73" s="2" t="s">
        <v>91</v>
      </c>
      <c r="BN73" s="2" t="s">
        <v>91</v>
      </c>
      <c r="BO73" s="2" t="s">
        <v>91</v>
      </c>
      <c r="BP73" s="2" t="s">
        <v>91</v>
      </c>
      <c r="BQ73" s="2" t="s">
        <v>98</v>
      </c>
      <c r="BR73" s="2" t="s">
        <v>98</v>
      </c>
      <c r="BS73" s="2" t="s">
        <v>98</v>
      </c>
      <c r="BT73" s="2" t="s">
        <v>91</v>
      </c>
      <c r="BU73" s="2" t="s">
        <v>98</v>
      </c>
      <c r="BV73" s="2" t="s">
        <v>91</v>
      </c>
      <c r="BW73" s="2" t="s">
        <v>79</v>
      </c>
      <c r="BX73" s="2" t="s">
        <v>79</v>
      </c>
      <c r="BY73" s="2" t="s">
        <v>79</v>
      </c>
      <c r="BZ73" s="2" t="s">
        <v>79</v>
      </c>
      <c r="CA73" s="2" t="s">
        <v>79</v>
      </c>
      <c r="CB73">
        <f>TTEST(AS73:AW73,AI73:AM73,2,2)</f>
        <v>0.86055074852336866</v>
      </c>
      <c r="CC73">
        <f>TTEST(AD73:AH73,AI73:AM73,2,2)</f>
        <v>5.4471337754315452E-3</v>
      </c>
      <c r="CD73">
        <f>TTEST(AN73:AR73,AI73:AM73,2,2)</f>
        <v>0.2939596107138851</v>
      </c>
      <c r="CE73">
        <f>TTEST(AX73:BB73,AI73:AM73,2,2)</f>
        <v>9.7681215023406892E-5</v>
      </c>
      <c r="CF73">
        <v>219</v>
      </c>
      <c r="CG73">
        <v>155</v>
      </c>
      <c r="CH73">
        <v>153</v>
      </c>
      <c r="CI73">
        <v>37</v>
      </c>
      <c r="CJ73">
        <f>0.05*CF73/464</f>
        <v>2.3599137931034485E-2</v>
      </c>
      <c r="CK73">
        <f>0.05*CG73/464</f>
        <v>1.670258620689655E-2</v>
      </c>
      <c r="CL73">
        <f>0.05*CH73/464</f>
        <v>1.6487068965517243E-2</v>
      </c>
      <c r="CM73">
        <f>0.05*CI73/464</f>
        <v>3.9870689655172415E-3</v>
      </c>
      <c r="CN73" t="str">
        <f>IF(CB73&lt;CJ73,"yes","no")</f>
        <v>no</v>
      </c>
      <c r="CO73" t="str">
        <f>IF(CC73&lt;CK73,"yes","no")</f>
        <v>yes</v>
      </c>
      <c r="CP73" t="str">
        <f>IF(CD73&lt;CL73,"yes","no")</f>
        <v>no</v>
      </c>
      <c r="CQ73" t="str">
        <f>IF(CE73&lt;CM73,"yes","no")</f>
        <v>yes</v>
      </c>
      <c r="CR73">
        <f>TTEST(AS73:AW73,AD73:AH73,2,2)</f>
        <v>1.9966685473650932E-2</v>
      </c>
      <c r="CS73">
        <f>TTEST(AS73:AW73,AN73:AR73,2,2)</f>
        <v>0.38772131283819705</v>
      </c>
      <c r="CT73">
        <f>TTEST(AS73:AW73,AX73:BB73,2,2)</f>
        <v>7.2383692594882472E-4</v>
      </c>
      <c r="CU73">
        <v>208</v>
      </c>
      <c r="CV73">
        <v>219</v>
      </c>
      <c r="CW73">
        <v>72</v>
      </c>
      <c r="CX73">
        <f t="shared" si="3"/>
        <v>2.2413793103448276E-2</v>
      </c>
      <c r="CY73">
        <f t="shared" si="4"/>
        <v>2.3599137931034485E-2</v>
      </c>
      <c r="CZ73">
        <f t="shared" si="5"/>
        <v>7.7586206896551723E-3</v>
      </c>
      <c r="DA73" t="str">
        <f>IF(CR73&lt;CX73,"yes","no")</f>
        <v>yes</v>
      </c>
      <c r="DB73" t="str">
        <f>IF(CS73&lt;CY73,"yes","no")</f>
        <v>no</v>
      </c>
      <c r="DC73" t="str">
        <f>IF(CT73&lt;CZ73,"yes","no")</f>
        <v>yes</v>
      </c>
    </row>
    <row r="74" spans="1:107" x14ac:dyDescent="0.2">
      <c r="A74" s="2" t="b">
        <v>0</v>
      </c>
      <c r="B74" s="2" t="s">
        <v>79</v>
      </c>
      <c r="C74" s="2" t="s">
        <v>80</v>
      </c>
      <c r="D74" s="2" t="s">
        <v>198</v>
      </c>
      <c r="E74" s="2" t="s">
        <v>199</v>
      </c>
      <c r="F74" s="2">
        <v>34</v>
      </c>
      <c r="G74" s="2">
        <v>34</v>
      </c>
      <c r="H74" s="2">
        <v>281</v>
      </c>
      <c r="I74" s="2">
        <v>6.05</v>
      </c>
      <c r="J74" s="2" t="s">
        <v>200</v>
      </c>
      <c r="K74" s="2" t="s">
        <v>201</v>
      </c>
      <c r="L74" s="2" t="s">
        <v>202</v>
      </c>
      <c r="M74" s="2" t="s">
        <v>203</v>
      </c>
      <c r="N74" s="2" t="s">
        <v>198</v>
      </c>
      <c r="O74" s="2">
        <v>33.015000000000001</v>
      </c>
      <c r="P74" s="2">
        <v>2.04</v>
      </c>
      <c r="Q74" s="2">
        <v>2.4470000000000001</v>
      </c>
      <c r="R74" s="2">
        <v>0.248</v>
      </c>
      <c r="S74" s="2">
        <v>11.2</v>
      </c>
      <c r="T74" s="2">
        <v>0.55600000000000005</v>
      </c>
      <c r="U74" s="2">
        <v>0.65300000000000002</v>
      </c>
      <c r="V74" s="2">
        <v>0.06</v>
      </c>
      <c r="W74" s="2">
        <v>0.11600000000000001</v>
      </c>
      <c r="X74" s="2">
        <v>1.4450000000000001</v>
      </c>
      <c r="Y74" s="2">
        <v>9.3000000000000007</v>
      </c>
      <c r="Z74" s="2">
        <v>24.4</v>
      </c>
      <c r="AA74" s="2">
        <v>435.4</v>
      </c>
      <c r="AB74" s="2">
        <v>20.6</v>
      </c>
      <c r="AC74" s="2">
        <v>10.3</v>
      </c>
      <c r="AD74" s="2">
        <v>3175490.8720703102</v>
      </c>
      <c r="AE74" s="2">
        <v>2427566.84375</v>
      </c>
      <c r="AF74" s="2">
        <v>2278098.953125</v>
      </c>
      <c r="AG74" s="2">
        <v>2808272.7519531301</v>
      </c>
      <c r="AH74" s="2">
        <v>2309436.1328125</v>
      </c>
      <c r="AI74" s="2">
        <v>163536.70825195301</v>
      </c>
      <c r="AJ74" s="2">
        <v>81166.6455078125</v>
      </c>
      <c r="AK74" s="2">
        <v>118512.736083984</v>
      </c>
      <c r="AL74" s="2">
        <v>280068.85888671898</v>
      </c>
      <c r="AM74" s="2">
        <v>66995.221923828096</v>
      </c>
      <c r="AN74" s="2">
        <v>2099854.73291016</v>
      </c>
      <c r="AO74" s="2">
        <v>2395076.2416992201</v>
      </c>
      <c r="AP74" s="2">
        <v>2825986.46484375</v>
      </c>
      <c r="AQ74" s="2">
        <v>2290218.9287109398</v>
      </c>
      <c r="AR74" s="2">
        <v>3115362.3886718801</v>
      </c>
      <c r="AS74" s="2">
        <v>868976.97387695301</v>
      </c>
      <c r="AT74" s="2">
        <v>1459158.02905273</v>
      </c>
      <c r="AU74" s="2">
        <v>601574.841796875</v>
      </c>
      <c r="AV74" s="2">
        <v>836293.50634765602</v>
      </c>
      <c r="AW74" s="2">
        <v>844061.07128906297</v>
      </c>
      <c r="AX74" s="2">
        <v>147939.787109375</v>
      </c>
      <c r="AY74" s="2">
        <v>162384.64746093799</v>
      </c>
      <c r="AZ74" s="2">
        <v>269954.94238281302</v>
      </c>
      <c r="BA74" s="2">
        <v>144650.70996093799</v>
      </c>
      <c r="BB74" s="2">
        <v>102109.06738281299</v>
      </c>
      <c r="BC74" s="2" t="s">
        <v>79</v>
      </c>
      <c r="BD74" s="2" t="s">
        <v>79</v>
      </c>
      <c r="BE74" s="2" t="s">
        <v>79</v>
      </c>
      <c r="BF74" s="2" t="s">
        <v>79</v>
      </c>
      <c r="BG74" s="2" t="s">
        <v>79</v>
      </c>
      <c r="BH74" s="2" t="s">
        <v>91</v>
      </c>
      <c r="BI74" s="2" t="s">
        <v>91</v>
      </c>
      <c r="BJ74" s="2" t="s">
        <v>91</v>
      </c>
      <c r="BK74" s="2" t="s">
        <v>91</v>
      </c>
      <c r="BL74" s="2" t="s">
        <v>91</v>
      </c>
      <c r="BM74" s="2" t="s">
        <v>79</v>
      </c>
      <c r="BN74" s="2" t="s">
        <v>79</v>
      </c>
      <c r="BO74" s="2" t="s">
        <v>79</v>
      </c>
      <c r="BP74" s="2" t="s">
        <v>79</v>
      </c>
      <c r="BQ74" s="2" t="s">
        <v>79</v>
      </c>
      <c r="BR74" s="2" t="s">
        <v>79</v>
      </c>
      <c r="BS74" s="2" t="s">
        <v>79</v>
      </c>
      <c r="BT74" s="2" t="s">
        <v>79</v>
      </c>
      <c r="BU74" s="2" t="s">
        <v>79</v>
      </c>
      <c r="BV74" s="2" t="s">
        <v>79</v>
      </c>
      <c r="BW74" s="2" t="s">
        <v>79</v>
      </c>
      <c r="BX74" s="2" t="s">
        <v>91</v>
      </c>
      <c r="BY74" s="2" t="s">
        <v>91</v>
      </c>
      <c r="BZ74" s="2" t="s">
        <v>91</v>
      </c>
      <c r="CA74" s="2" t="s">
        <v>91</v>
      </c>
      <c r="CB74">
        <f>TTEST(AS74:AW74,AI74:AM74,2,2)</f>
        <v>7.4855068230052777E-4</v>
      </c>
      <c r="CC74">
        <f>TTEST(AD74:AH74,AI74:AM74,2,2)</f>
        <v>6.7953193412989242E-7</v>
      </c>
      <c r="CD74">
        <f>TTEST(AN74:AR74,AI74:AM74,2,2)</f>
        <v>1.4129343474298606E-6</v>
      </c>
      <c r="CE74">
        <f>TTEST(AX74:BB74,AI74:AM74,2,2)</f>
        <v>0.63605344512066408</v>
      </c>
      <c r="CF74">
        <v>97</v>
      </c>
      <c r="CG74">
        <v>49</v>
      </c>
      <c r="CH74">
        <v>7</v>
      </c>
      <c r="CI74">
        <v>174</v>
      </c>
      <c r="CJ74">
        <f>0.05*CF74/464</f>
        <v>1.0452586206896554E-2</v>
      </c>
      <c r="CK74">
        <f>0.05*CG74/464</f>
        <v>5.2801724137931036E-3</v>
      </c>
      <c r="CL74">
        <f>0.05*CH74/464</f>
        <v>7.543103448275863E-4</v>
      </c>
      <c r="CM74">
        <f>0.05*CI74/464</f>
        <v>1.8750000000000003E-2</v>
      </c>
      <c r="CN74" t="str">
        <f>IF(CB74&lt;CJ74,"yes","no")</f>
        <v>yes</v>
      </c>
      <c r="CO74" t="str">
        <f>IF(CC74&lt;CK74,"yes","no")</f>
        <v>yes</v>
      </c>
      <c r="CP74" t="str">
        <f>IF(CD74&lt;CL74,"yes","no")</f>
        <v>yes</v>
      </c>
      <c r="CQ74" t="str">
        <f>IF(CE74&lt;CM74,"yes","no")</f>
        <v>no</v>
      </c>
      <c r="CR74">
        <f>TTEST(AS74:AW74,AD74:AH74,2,2)</f>
        <v>6.9018343673407978E-5</v>
      </c>
      <c r="CS74">
        <f>TTEST(AS74:AW74,AN74:AR74,2,2)</f>
        <v>1.2077605078387748E-4</v>
      </c>
      <c r="CT74">
        <f>TTEST(AS74:AW74,AX74:BB74,2,2)</f>
        <v>8.2063883978096802E-4</v>
      </c>
      <c r="CU74">
        <v>125</v>
      </c>
      <c r="CV74">
        <v>45</v>
      </c>
      <c r="CW74">
        <v>73</v>
      </c>
      <c r="CX74">
        <f t="shared" si="3"/>
        <v>1.3469827586206896E-2</v>
      </c>
      <c r="CY74">
        <f t="shared" si="4"/>
        <v>4.8491379310344829E-3</v>
      </c>
      <c r="CZ74">
        <f t="shared" si="5"/>
        <v>7.8663793103448277E-3</v>
      </c>
      <c r="DA74" t="str">
        <f>IF(CR74&lt;CX74,"yes","no")</f>
        <v>yes</v>
      </c>
      <c r="DB74" t="str">
        <f>IF(CS74&lt;CY74,"yes","no")</f>
        <v>yes</v>
      </c>
      <c r="DC74" t="str">
        <f>IF(CT74&lt;CZ74,"yes","no")</f>
        <v>yes</v>
      </c>
    </row>
    <row r="75" spans="1:107" x14ac:dyDescent="0.2">
      <c r="A75" s="2" t="b">
        <v>0</v>
      </c>
      <c r="B75" s="2" t="s">
        <v>79</v>
      </c>
      <c r="C75" s="2" t="s">
        <v>80</v>
      </c>
      <c r="D75" s="2" t="s">
        <v>344</v>
      </c>
      <c r="E75" s="2" t="s">
        <v>345</v>
      </c>
      <c r="F75" s="2">
        <v>8</v>
      </c>
      <c r="G75" s="2">
        <v>5</v>
      </c>
      <c r="H75" s="2">
        <v>51.6</v>
      </c>
      <c r="I75" s="2">
        <v>6.6</v>
      </c>
      <c r="J75" s="2" t="s">
        <v>83</v>
      </c>
      <c r="K75" s="2" t="s">
        <v>83</v>
      </c>
      <c r="L75" s="2" t="s">
        <v>83</v>
      </c>
      <c r="M75" s="2" t="s">
        <v>83</v>
      </c>
      <c r="N75" s="2" t="s">
        <v>344</v>
      </c>
      <c r="O75" s="2">
        <v>1.2370000000000001</v>
      </c>
      <c r="P75" s="2">
        <v>0.63</v>
      </c>
      <c r="Q75" s="2">
        <v>0.94899999999999995</v>
      </c>
      <c r="R75" s="2">
        <v>3.4590000000000001</v>
      </c>
      <c r="S75" s="2">
        <v>4.2859999999999996</v>
      </c>
      <c r="T75" s="2">
        <v>2.54</v>
      </c>
      <c r="U75" s="2">
        <v>3.5670000000000002</v>
      </c>
      <c r="V75" s="2">
        <v>0.57499999999999996</v>
      </c>
      <c r="W75" s="2">
        <v>0.73199999999999998</v>
      </c>
      <c r="X75" s="2">
        <v>1.327</v>
      </c>
      <c r="Y75" s="2">
        <v>136.69999999999999</v>
      </c>
      <c r="Z75" s="2">
        <v>28.9</v>
      </c>
      <c r="AA75" s="2">
        <v>141</v>
      </c>
      <c r="AB75" s="2">
        <v>89.5</v>
      </c>
      <c r="AC75" s="2">
        <v>103.8</v>
      </c>
      <c r="AD75" s="2">
        <v>4198840.5625</v>
      </c>
      <c r="AE75" s="2">
        <v>3355057.28125</v>
      </c>
      <c r="AF75" s="2">
        <v>3189616.25</v>
      </c>
      <c r="AG75" s="2">
        <v>3763972.83203125</v>
      </c>
      <c r="AH75" s="2">
        <v>3332678.15625</v>
      </c>
      <c r="AI75" s="2">
        <v>16614.13671875</v>
      </c>
      <c r="AJ75" s="2">
        <v>16367.0712890625</v>
      </c>
      <c r="AK75" s="2">
        <v>15869.5263671875</v>
      </c>
      <c r="AL75" s="2">
        <v>13587.69921875</v>
      </c>
      <c r="AM75" s="2">
        <v>22724.7353515625</v>
      </c>
      <c r="AN75" s="2">
        <v>59956.53125</v>
      </c>
      <c r="AO75" s="2">
        <v>70316.1796875</v>
      </c>
      <c r="AP75" s="2">
        <v>70756.0390625</v>
      </c>
      <c r="AQ75" s="2">
        <v>71477.6953125</v>
      </c>
      <c r="AR75" s="2">
        <v>99876.1171875</v>
      </c>
      <c r="AS75" s="2">
        <v>337626.96386718802</v>
      </c>
      <c r="AT75" s="2">
        <v>491842.140625</v>
      </c>
      <c r="AU75" s="2">
        <v>257607.765625</v>
      </c>
      <c r="AV75" s="2">
        <v>346065.3359375</v>
      </c>
      <c r="AW75" s="2">
        <v>399483.90722656302</v>
      </c>
      <c r="AX75" s="2">
        <v>170009.83203125</v>
      </c>
      <c r="AY75" s="2">
        <v>199417.634765625</v>
      </c>
      <c r="AZ75" s="2">
        <v>158817.515625</v>
      </c>
      <c r="BA75" s="2">
        <v>137401.59375</v>
      </c>
      <c r="BB75" s="2">
        <v>133104.9375</v>
      </c>
      <c r="BC75" s="2" t="s">
        <v>79</v>
      </c>
      <c r="BD75" s="2" t="s">
        <v>79</v>
      </c>
      <c r="BE75" s="2" t="s">
        <v>79</v>
      </c>
      <c r="BF75" s="2" t="s">
        <v>79</v>
      </c>
      <c r="BG75" s="2" t="s">
        <v>79</v>
      </c>
      <c r="BH75" s="2" t="s">
        <v>91</v>
      </c>
      <c r="BI75" s="2" t="s">
        <v>91</v>
      </c>
      <c r="BJ75" s="2" t="s">
        <v>91</v>
      </c>
      <c r="BK75" s="2" t="s">
        <v>91</v>
      </c>
      <c r="BL75" s="2" t="s">
        <v>91</v>
      </c>
      <c r="BM75" s="2" t="s">
        <v>79</v>
      </c>
      <c r="BN75" s="2" t="s">
        <v>79</v>
      </c>
      <c r="BO75" s="2" t="s">
        <v>79</v>
      </c>
      <c r="BP75" s="2" t="s">
        <v>79</v>
      </c>
      <c r="BQ75" s="2" t="s">
        <v>79</v>
      </c>
      <c r="BR75" s="2" t="s">
        <v>79</v>
      </c>
      <c r="BS75" s="2" t="s">
        <v>79</v>
      </c>
      <c r="BT75" s="2" t="s">
        <v>79</v>
      </c>
      <c r="BU75" s="2" t="s">
        <v>79</v>
      </c>
      <c r="BV75" s="2" t="s">
        <v>79</v>
      </c>
      <c r="BW75" s="2" t="s">
        <v>79</v>
      </c>
      <c r="BX75" s="2" t="s">
        <v>79</v>
      </c>
      <c r="BY75" s="2" t="s">
        <v>79</v>
      </c>
      <c r="BZ75" s="2" t="s">
        <v>79</v>
      </c>
      <c r="CA75" s="2" t="s">
        <v>79</v>
      </c>
      <c r="CB75">
        <f>TTEST(AS75:AW75,AI75:AM75,2,2)</f>
        <v>1.8070673720931204E-5</v>
      </c>
      <c r="CC75">
        <f>TTEST(AD75:AH75,AI75:AM75,2,2)</f>
        <v>5.4919134137239421E-8</v>
      </c>
      <c r="CD75">
        <f>TTEST(AN75:AR75,AI75:AM75,2,2)</f>
        <v>3.1530728656245975E-5</v>
      </c>
      <c r="CE75">
        <f>TTEST(AX75:BB75,AI75:AM75,2,2)</f>
        <v>2.4673137232408898E-6</v>
      </c>
      <c r="CF75">
        <v>35</v>
      </c>
      <c r="CG75">
        <v>15</v>
      </c>
      <c r="CH75">
        <v>34</v>
      </c>
      <c r="CI75">
        <v>21</v>
      </c>
      <c r="CJ75">
        <f>0.05*CF75/464</f>
        <v>3.7715517241379312E-3</v>
      </c>
      <c r="CK75">
        <f>0.05*CG75/464</f>
        <v>1.6163793103448276E-3</v>
      </c>
      <c r="CL75">
        <f>0.05*CH75/464</f>
        <v>3.6637931034482762E-3</v>
      </c>
      <c r="CM75">
        <f>0.05*CI75/464</f>
        <v>2.2629310344827588E-3</v>
      </c>
      <c r="CN75" t="str">
        <f>IF(CB75&lt;CJ75,"yes","no")</f>
        <v>yes</v>
      </c>
      <c r="CO75" t="str">
        <f>IF(CC75&lt;CK75,"yes","no")</f>
        <v>yes</v>
      </c>
      <c r="CP75" t="str">
        <f>IF(CD75&lt;CL75,"yes","no")</f>
        <v>yes</v>
      </c>
      <c r="CQ75" t="str">
        <f>IF(CE75&lt;CM75,"yes","no")</f>
        <v>yes</v>
      </c>
      <c r="CR75">
        <f>TTEST(AS75:AW75,AD75:AH75,2,2)</f>
        <v>1.462022625792897E-7</v>
      </c>
      <c r="CS75">
        <f>TTEST(AS75:AW75,AN75:AR75,2,2)</f>
        <v>7.3223315130096145E-5</v>
      </c>
      <c r="CT75">
        <f>TTEST(AS75:AW75,AX75:BB75,2,2)</f>
        <v>9.227338704945893E-4</v>
      </c>
      <c r="CU75">
        <v>17</v>
      </c>
      <c r="CV75">
        <v>36</v>
      </c>
      <c r="CW75">
        <v>74</v>
      </c>
      <c r="CX75">
        <f t="shared" si="3"/>
        <v>1.8318965517241381E-3</v>
      </c>
      <c r="CY75">
        <f t="shared" si="4"/>
        <v>3.8793103448275862E-3</v>
      </c>
      <c r="CZ75">
        <f t="shared" si="5"/>
        <v>7.9741379310344831E-3</v>
      </c>
      <c r="DA75" t="str">
        <f>IF(CR75&lt;CX75,"yes","no")</f>
        <v>yes</v>
      </c>
      <c r="DB75" t="str">
        <f>IF(CS75&lt;CY75,"yes","no")</f>
        <v>yes</v>
      </c>
      <c r="DC75" t="str">
        <f>IF(CT75&lt;CZ75,"yes","no")</f>
        <v>yes</v>
      </c>
    </row>
    <row r="76" spans="1:107" x14ac:dyDescent="0.2">
      <c r="A76" s="2" t="b">
        <v>0</v>
      </c>
      <c r="B76" s="2" t="s">
        <v>79</v>
      </c>
      <c r="C76" s="2" t="s">
        <v>80</v>
      </c>
      <c r="D76" s="2" t="s">
        <v>99</v>
      </c>
      <c r="E76" s="2" t="s">
        <v>100</v>
      </c>
      <c r="F76" s="2">
        <v>43</v>
      </c>
      <c r="G76" s="2">
        <v>6</v>
      </c>
      <c r="H76" s="2">
        <v>165.2</v>
      </c>
      <c r="I76" s="2">
        <v>6.01</v>
      </c>
      <c r="J76" s="2" t="s">
        <v>101</v>
      </c>
      <c r="K76" s="2" t="s">
        <v>84</v>
      </c>
      <c r="L76" s="2" t="s">
        <v>102</v>
      </c>
      <c r="M76" s="2" t="s">
        <v>103</v>
      </c>
      <c r="N76" s="2" t="s">
        <v>104</v>
      </c>
      <c r="O76" s="2">
        <v>0.84899999999999998</v>
      </c>
      <c r="P76" s="2">
        <v>0.26700000000000002</v>
      </c>
      <c r="Q76" s="2">
        <v>0.16600000000000001</v>
      </c>
      <c r="R76" s="2">
        <v>2.1139999999999999</v>
      </c>
      <c r="S76" s="2">
        <v>2.58</v>
      </c>
      <c r="T76" s="2">
        <v>0.76</v>
      </c>
      <c r="U76" s="2">
        <v>0.71899999999999997</v>
      </c>
      <c r="V76" s="2">
        <v>0.34899999999999998</v>
      </c>
      <c r="W76" s="2">
        <v>0.252</v>
      </c>
      <c r="X76" s="2">
        <v>0.57899999999999996</v>
      </c>
      <c r="Y76" s="2">
        <v>221.7</v>
      </c>
      <c r="Z76" s="2">
        <v>29.3</v>
      </c>
      <c r="AA76" s="2">
        <v>143.9</v>
      </c>
      <c r="AB76" s="2">
        <v>61.4</v>
      </c>
      <c r="AC76" s="2">
        <v>43.7</v>
      </c>
      <c r="AD76" s="2">
        <v>98810698.700195298</v>
      </c>
      <c r="AE76" s="2">
        <v>76463430.7421875</v>
      </c>
      <c r="AF76" s="2">
        <v>73300879.042968795</v>
      </c>
      <c r="AG76" s="2">
        <v>113706972.85156301</v>
      </c>
      <c r="AH76" s="2">
        <v>93485702.4140625</v>
      </c>
      <c r="AI76" s="2">
        <v>209896.47216796901</v>
      </c>
      <c r="AJ76" s="2">
        <v>249634.87744140599</v>
      </c>
      <c r="AK76" s="2">
        <v>204424.85864257801</v>
      </c>
      <c r="AL76" s="2">
        <v>148630.54296875</v>
      </c>
      <c r="AM76" s="2">
        <v>189463.06640625</v>
      </c>
      <c r="AN76" s="2">
        <v>1084058.9609375</v>
      </c>
      <c r="AO76" s="2">
        <v>1003577.28857422</v>
      </c>
      <c r="AP76" s="2">
        <v>1175149.6220703099</v>
      </c>
      <c r="AQ76" s="2">
        <v>983974.291015625</v>
      </c>
      <c r="AR76" s="2">
        <v>1423399.5673828099</v>
      </c>
      <c r="AS76" s="2">
        <v>3190150.3671875</v>
      </c>
      <c r="AT76" s="2">
        <v>5279964.0136718797</v>
      </c>
      <c r="AU76" s="2">
        <v>2984830.39697266</v>
      </c>
      <c r="AV76" s="2">
        <v>3449142.8251953102</v>
      </c>
      <c r="AW76" s="2">
        <v>3873057.4169921898</v>
      </c>
      <c r="AX76" s="2">
        <v>850345.62988281297</v>
      </c>
      <c r="AY76" s="2">
        <v>2373007.5966796898</v>
      </c>
      <c r="AZ76" s="2">
        <v>972284.384765625</v>
      </c>
      <c r="BA76" s="2">
        <v>670717.419921875</v>
      </c>
      <c r="BB76" s="2">
        <v>764356.74316406297</v>
      </c>
      <c r="BC76" s="2" t="s">
        <v>79</v>
      </c>
      <c r="BD76" s="2" t="s">
        <v>79</v>
      </c>
      <c r="BE76" s="2" t="s">
        <v>79</v>
      </c>
      <c r="BF76" s="2" t="s">
        <v>79</v>
      </c>
      <c r="BG76" s="2" t="s">
        <v>79</v>
      </c>
      <c r="BH76" s="2" t="s">
        <v>91</v>
      </c>
      <c r="BI76" s="2" t="s">
        <v>91</v>
      </c>
      <c r="BJ76" s="2" t="s">
        <v>91</v>
      </c>
      <c r="BK76" s="2" t="s">
        <v>91</v>
      </c>
      <c r="BL76" s="2" t="s">
        <v>91</v>
      </c>
      <c r="BM76" s="2" t="s">
        <v>79</v>
      </c>
      <c r="BN76" s="2" t="s">
        <v>79</v>
      </c>
      <c r="BO76" s="2" t="s">
        <v>79</v>
      </c>
      <c r="BP76" s="2" t="s">
        <v>79</v>
      </c>
      <c r="BQ76" s="2" t="s">
        <v>79</v>
      </c>
      <c r="BR76" s="2" t="s">
        <v>79</v>
      </c>
      <c r="BS76" s="2" t="s">
        <v>79</v>
      </c>
      <c r="BT76" s="2" t="s">
        <v>79</v>
      </c>
      <c r="BU76" s="2" t="s">
        <v>79</v>
      </c>
      <c r="BV76" s="2" t="s">
        <v>79</v>
      </c>
      <c r="BW76" s="2" t="s">
        <v>91</v>
      </c>
      <c r="BX76" s="2" t="s">
        <v>91</v>
      </c>
      <c r="BY76" s="2" t="s">
        <v>91</v>
      </c>
      <c r="BZ76" s="2" t="s">
        <v>79</v>
      </c>
      <c r="CA76" s="2" t="s">
        <v>91</v>
      </c>
      <c r="CB76">
        <f>TTEST(AS76:AW76,AI76:AM76,2,2)</f>
        <v>2.404965907312765E-5</v>
      </c>
      <c r="CC76">
        <f>TTEST(AD76:AH76,AI76:AM76,2,2)</f>
        <v>1.8619269134672975E-6</v>
      </c>
      <c r="CD76">
        <f>TTEST(AN76:AR76,AI76:AM76,2,2)</f>
        <v>3.0467052265987347E-6</v>
      </c>
      <c r="CE76">
        <f>TTEST(AX76:BB76,AI76:AM76,2,2)</f>
        <v>1.9031375157415917E-2</v>
      </c>
      <c r="CF76">
        <v>38</v>
      </c>
      <c r="CG76">
        <v>61</v>
      </c>
      <c r="CH76">
        <v>13</v>
      </c>
      <c r="CI76">
        <v>92</v>
      </c>
      <c r="CJ76">
        <f>0.05*CF76/464</f>
        <v>4.0948275862068969E-3</v>
      </c>
      <c r="CK76">
        <f>0.05*CG76/464</f>
        <v>6.5732758620689665E-3</v>
      </c>
      <c r="CL76">
        <f>0.05*CH76/464</f>
        <v>1.4008620689655172E-3</v>
      </c>
      <c r="CM76">
        <f>0.05*CI76/464</f>
        <v>9.9137931034482766E-3</v>
      </c>
      <c r="CN76" t="str">
        <f>IF(CB76&lt;CJ76,"yes","no")</f>
        <v>yes</v>
      </c>
      <c r="CO76" t="str">
        <f>IF(CC76&lt;CK76,"yes","no")</f>
        <v>yes</v>
      </c>
      <c r="CP76" t="str">
        <f>IF(CD76&lt;CL76,"yes","no")</f>
        <v>yes</v>
      </c>
      <c r="CQ76" t="str">
        <f>IF(CE76&lt;CM76,"yes","no")</f>
        <v>no</v>
      </c>
      <c r="CR76">
        <f>TTEST(AS76:AW76,AD76:AH76,2,2)</f>
        <v>2.5519587392092716E-6</v>
      </c>
      <c r="CS76">
        <f>TTEST(AS76:AW76,AN76:AR76,2,2)</f>
        <v>2.3507099840106629E-4</v>
      </c>
      <c r="CT76">
        <f>TTEST(AS76:AW76,AX76:BB76,2,2)</f>
        <v>9.4210963138528596E-4</v>
      </c>
      <c r="CU76">
        <v>68</v>
      </c>
      <c r="CV76">
        <v>68</v>
      </c>
      <c r="CW76">
        <v>75</v>
      </c>
      <c r="CX76">
        <f t="shared" si="3"/>
        <v>7.3275862068965525E-3</v>
      </c>
      <c r="CY76">
        <f t="shared" si="4"/>
        <v>7.3275862068965525E-3</v>
      </c>
      <c r="CZ76">
        <f t="shared" si="5"/>
        <v>8.0818965517241385E-3</v>
      </c>
      <c r="DA76" t="str">
        <f>IF(CR76&lt;CX76,"yes","no")</f>
        <v>yes</v>
      </c>
      <c r="DB76" t="str">
        <f>IF(CS76&lt;CY76,"yes","no")</f>
        <v>yes</v>
      </c>
      <c r="DC76" t="str">
        <f>IF(CT76&lt;CZ76,"yes","no")</f>
        <v>yes</v>
      </c>
    </row>
    <row r="77" spans="1:107" x14ac:dyDescent="0.2">
      <c r="A77" s="2" t="b">
        <v>0</v>
      </c>
      <c r="B77" s="2" t="s">
        <v>79</v>
      </c>
      <c r="C77" s="2" t="s">
        <v>80</v>
      </c>
      <c r="D77" s="2" t="s">
        <v>912</v>
      </c>
      <c r="E77" s="2" t="s">
        <v>913</v>
      </c>
      <c r="F77" s="2">
        <v>3</v>
      </c>
      <c r="G77" s="2">
        <v>1</v>
      </c>
      <c r="H77" s="2">
        <v>32.799999999999997</v>
      </c>
      <c r="I77" s="2">
        <v>4.68</v>
      </c>
      <c r="J77" s="2" t="s">
        <v>83</v>
      </c>
      <c r="K77" s="2" t="s">
        <v>247</v>
      </c>
      <c r="L77" s="2" t="s">
        <v>315</v>
      </c>
      <c r="M77" s="2" t="s">
        <v>83</v>
      </c>
      <c r="N77" s="2" t="s">
        <v>912</v>
      </c>
      <c r="O77" s="2">
        <v>32.26</v>
      </c>
      <c r="P77" s="2">
        <v>3.58</v>
      </c>
      <c r="Q77" s="2">
        <v>3.4180000000000001</v>
      </c>
      <c r="R77" s="2">
        <v>0.106</v>
      </c>
      <c r="S77" s="2">
        <v>3.93</v>
      </c>
      <c r="T77" s="2">
        <v>0.57299999999999995</v>
      </c>
      <c r="U77" s="2" t="s">
        <v>83</v>
      </c>
      <c r="V77" s="2">
        <v>0.121</v>
      </c>
      <c r="W77" s="2" t="s">
        <v>83</v>
      </c>
      <c r="X77" s="2">
        <v>1.748</v>
      </c>
      <c r="Y77" s="2">
        <v>6.4</v>
      </c>
      <c r="Z77" s="2">
        <v>31.6</v>
      </c>
      <c r="AA77" s="2">
        <v>175.6</v>
      </c>
      <c r="AB77" s="2">
        <v>108.6</v>
      </c>
      <c r="AC77" s="2">
        <v>177.8</v>
      </c>
      <c r="AD77" s="2">
        <v>484822.640625</v>
      </c>
      <c r="AE77" s="2">
        <v>452221.65625</v>
      </c>
      <c r="AF77" s="2">
        <v>359263.078125</v>
      </c>
      <c r="AG77" s="2">
        <v>3159958.1875</v>
      </c>
      <c r="AH77" s="2">
        <v>3987677.50390625</v>
      </c>
      <c r="AI77" s="2">
        <v>52753.43359375</v>
      </c>
      <c r="AJ77" s="2">
        <v>42857.80078125</v>
      </c>
      <c r="AK77" s="2">
        <v>44633.4375</v>
      </c>
      <c r="AL77" s="2">
        <v>134595.484375</v>
      </c>
      <c r="AM77" s="2">
        <v>38130.19140625</v>
      </c>
      <c r="AN77" s="2">
        <v>227072.12890625</v>
      </c>
      <c r="AO77" s="2">
        <v>244000.1171875</v>
      </c>
      <c r="AP77" s="2">
        <v>318343.6328125</v>
      </c>
      <c r="AQ77" s="2">
        <v>265177.96875</v>
      </c>
      <c r="AR77" s="2">
        <v>328316.29296875</v>
      </c>
      <c r="AS77" s="2">
        <v>1161798.125</v>
      </c>
      <c r="AT77" s="2">
        <v>1622596.3515625</v>
      </c>
      <c r="AU77" s="2">
        <v>1049041.234375</v>
      </c>
      <c r="AV77" s="2">
        <v>1219979.41015625</v>
      </c>
      <c r="AW77" s="2">
        <v>1554492.48046875</v>
      </c>
      <c r="AX77" s="2">
        <v>357861.75</v>
      </c>
      <c r="AY77" s="2">
        <v>723042.4375</v>
      </c>
      <c r="AZ77" s="2">
        <v>784985.4375</v>
      </c>
      <c r="BA77" s="2">
        <v>678780.875</v>
      </c>
      <c r="BB77" s="2">
        <v>656148.25</v>
      </c>
      <c r="BC77" s="2" t="s">
        <v>98</v>
      </c>
      <c r="BD77" s="2" t="s">
        <v>98</v>
      </c>
      <c r="BE77" s="2" t="s">
        <v>98</v>
      </c>
      <c r="BF77" s="2" t="s">
        <v>79</v>
      </c>
      <c r="BG77" s="2" t="s">
        <v>91</v>
      </c>
      <c r="BH77" s="2" t="s">
        <v>98</v>
      </c>
      <c r="BI77" s="2" t="s">
        <v>98</v>
      </c>
      <c r="BJ77" s="2" t="s">
        <v>98</v>
      </c>
      <c r="BK77" s="2" t="s">
        <v>98</v>
      </c>
      <c r="BL77" s="2" t="s">
        <v>98</v>
      </c>
      <c r="BM77" s="2" t="s">
        <v>98</v>
      </c>
      <c r="BN77" s="2" t="s">
        <v>98</v>
      </c>
      <c r="BO77" s="2" t="s">
        <v>98</v>
      </c>
      <c r="BP77" s="2" t="s">
        <v>98</v>
      </c>
      <c r="BQ77" s="2" t="s">
        <v>98</v>
      </c>
      <c r="BR77" s="2" t="s">
        <v>79</v>
      </c>
      <c r="BS77" s="2" t="s">
        <v>79</v>
      </c>
      <c r="BT77" s="2" t="s">
        <v>79</v>
      </c>
      <c r="BU77" s="2" t="s">
        <v>79</v>
      </c>
      <c r="BV77" s="2" t="s">
        <v>91</v>
      </c>
      <c r="BW77" s="2" t="s">
        <v>91</v>
      </c>
      <c r="BX77" s="2" t="s">
        <v>91</v>
      </c>
      <c r="BY77" s="2" t="s">
        <v>91</v>
      </c>
      <c r="BZ77" s="2" t="s">
        <v>91</v>
      </c>
      <c r="CA77" s="2" t="s">
        <v>91</v>
      </c>
      <c r="CB77">
        <f>TTEST(AS77:AW77,AI77:AM77,2,2)</f>
        <v>4.1243389359204147E-6</v>
      </c>
      <c r="CC77">
        <f>TTEST(AD77:AH77,AI77:AM77,2,2)</f>
        <v>7.0899904605584707E-2</v>
      </c>
      <c r="CD77">
        <f>TTEST(AN77:AR77,AI77:AM77,2,2)</f>
        <v>4.7576702604790679E-5</v>
      </c>
      <c r="CE77">
        <f>TTEST(AX77:BB77,AI77:AM77,2,2)</f>
        <v>6.3766052456206261E-5</v>
      </c>
      <c r="CF77">
        <v>16</v>
      </c>
      <c r="CG77">
        <v>185</v>
      </c>
      <c r="CH77">
        <v>41</v>
      </c>
      <c r="CI77">
        <v>36</v>
      </c>
      <c r="CJ77">
        <f>0.05*CF77/464</f>
        <v>1.724137931034483E-3</v>
      </c>
      <c r="CK77">
        <f>0.05*CG77/464</f>
        <v>1.9935344827586209E-2</v>
      </c>
      <c r="CL77">
        <f>0.05*CH77/464</f>
        <v>4.4181034482758622E-3</v>
      </c>
      <c r="CM77">
        <f>0.05*CI77/464</f>
        <v>3.8793103448275862E-3</v>
      </c>
      <c r="CN77" t="str">
        <f>IF(CB77&lt;CJ77,"yes","no")</f>
        <v>yes</v>
      </c>
      <c r="CO77" t="str">
        <f>IF(CC77&lt;CK77,"yes","no")</f>
        <v>no</v>
      </c>
      <c r="CP77" t="str">
        <f>IF(CD77&lt;CL77,"yes","no")</f>
        <v>yes</v>
      </c>
      <c r="CQ77" t="str">
        <f>IF(CE77&lt;CM77,"yes","no")</f>
        <v>yes</v>
      </c>
      <c r="CR77">
        <f>TTEST(AS77:AW77,AD77:AH77,2,2)</f>
        <v>0.65404694319823276</v>
      </c>
      <c r="CS77">
        <f>TTEST(AS77:AW77,AN77:AR77,2,2)</f>
        <v>1.6920216195440559E-5</v>
      </c>
      <c r="CT77">
        <f>TTEST(AS77:AW77,AX77:BB77,2,2)</f>
        <v>9.9034384384144082E-4</v>
      </c>
      <c r="CU77">
        <v>295</v>
      </c>
      <c r="CV77">
        <v>16</v>
      </c>
      <c r="CW77">
        <v>76</v>
      </c>
      <c r="CX77">
        <f t="shared" si="3"/>
        <v>3.1788793103448273E-2</v>
      </c>
      <c r="CY77">
        <f t="shared" si="4"/>
        <v>1.724137931034483E-3</v>
      </c>
      <c r="CZ77">
        <f t="shared" si="5"/>
        <v>8.1896551724137939E-3</v>
      </c>
      <c r="DA77" t="str">
        <f>IF(CR77&lt;CX77,"yes","no")</f>
        <v>no</v>
      </c>
      <c r="DB77" t="str">
        <f>IF(CS77&lt;CY77,"yes","no")</f>
        <v>yes</v>
      </c>
      <c r="DC77" t="str">
        <f>IF(CT77&lt;CZ77,"yes","no")</f>
        <v>yes</v>
      </c>
    </row>
    <row r="78" spans="1:107" x14ac:dyDescent="0.2">
      <c r="A78" s="2" t="b">
        <v>0</v>
      </c>
      <c r="B78" s="2" t="s">
        <v>79</v>
      </c>
      <c r="C78" s="2" t="s">
        <v>80</v>
      </c>
      <c r="D78" s="2" t="s">
        <v>1526</v>
      </c>
      <c r="E78" s="2" t="s">
        <v>1527</v>
      </c>
      <c r="F78" s="2">
        <v>1</v>
      </c>
      <c r="G78" s="2">
        <v>1</v>
      </c>
      <c r="H78" s="2">
        <v>211.6</v>
      </c>
      <c r="I78" s="2">
        <v>6.9</v>
      </c>
      <c r="J78" s="2" t="s">
        <v>796</v>
      </c>
      <c r="K78" s="2" t="s">
        <v>319</v>
      </c>
      <c r="L78" s="2" t="s">
        <v>499</v>
      </c>
      <c r="M78" s="2" t="s">
        <v>1528</v>
      </c>
      <c r="N78" s="2" t="s">
        <v>1526</v>
      </c>
      <c r="O78" s="2">
        <v>16.605</v>
      </c>
      <c r="P78" s="2">
        <v>2.5939999999999999</v>
      </c>
      <c r="Q78" s="2">
        <v>13.747999999999999</v>
      </c>
      <c r="R78" s="2">
        <v>7.8E-2</v>
      </c>
      <c r="S78" s="2">
        <v>1.347</v>
      </c>
      <c r="T78" s="2">
        <v>0.21199999999999999</v>
      </c>
      <c r="U78" s="2">
        <v>1.1299999999999999</v>
      </c>
      <c r="V78" s="2">
        <v>0.158</v>
      </c>
      <c r="W78" s="2">
        <v>0.85399999999999998</v>
      </c>
      <c r="X78" s="2">
        <v>5.6849999999999996</v>
      </c>
      <c r="Y78" s="2">
        <v>10.8</v>
      </c>
      <c r="Z78" s="2">
        <v>139.30000000000001</v>
      </c>
      <c r="AA78" s="2">
        <v>173.9</v>
      </c>
      <c r="AB78" s="2">
        <v>27.6</v>
      </c>
      <c r="AC78" s="2">
        <v>148.5</v>
      </c>
      <c r="AD78" s="2">
        <v>609878.375</v>
      </c>
      <c r="AE78" s="2">
        <v>668658.25</v>
      </c>
      <c r="AF78" s="2">
        <v>511986.65625</v>
      </c>
      <c r="AG78" s="2">
        <v>368844.3125</v>
      </c>
      <c r="AH78" s="2">
        <v>348809.65625</v>
      </c>
      <c r="AI78" s="2">
        <v>151269.046875</v>
      </c>
      <c r="AJ78" s="2">
        <v>115622.625</v>
      </c>
      <c r="AK78" s="2">
        <v>125548.3125</v>
      </c>
      <c r="AL78" s="2">
        <v>149185.234375</v>
      </c>
      <c r="AM78" s="2">
        <v>113895.203125</v>
      </c>
      <c r="AN78" s="2">
        <v>147125.890625</v>
      </c>
      <c r="AO78" s="2">
        <v>148600.75</v>
      </c>
      <c r="AP78" s="2">
        <v>202453.984375</v>
      </c>
      <c r="AQ78" s="2">
        <v>159152.375</v>
      </c>
      <c r="AR78" s="2">
        <v>208098.453125</v>
      </c>
      <c r="AS78" s="2">
        <v>174315.625</v>
      </c>
      <c r="AT78" s="2">
        <v>331495.90625</v>
      </c>
      <c r="AU78" s="2">
        <v>182297.78125</v>
      </c>
      <c r="AV78" s="2">
        <v>173244.265625</v>
      </c>
      <c r="AW78" s="2">
        <v>222614.8125</v>
      </c>
      <c r="AX78" s="2">
        <v>445925.21875</v>
      </c>
      <c r="AY78" s="2">
        <v>426503.5</v>
      </c>
      <c r="AZ78" s="2">
        <v>448804.84375</v>
      </c>
      <c r="BA78" s="2">
        <v>354284.34375</v>
      </c>
      <c r="BB78" s="2">
        <v>346925.5</v>
      </c>
      <c r="BC78" s="2" t="s">
        <v>91</v>
      </c>
      <c r="BD78" s="2" t="s">
        <v>91</v>
      </c>
      <c r="BE78" s="2" t="s">
        <v>91</v>
      </c>
      <c r="BF78" s="2" t="s">
        <v>91</v>
      </c>
      <c r="BG78" s="2" t="s">
        <v>91</v>
      </c>
      <c r="BH78" s="2" t="s">
        <v>79</v>
      </c>
      <c r="BI78" s="2" t="s">
        <v>91</v>
      </c>
      <c r="BJ78" s="2" t="s">
        <v>91</v>
      </c>
      <c r="BK78" s="2" t="s">
        <v>91</v>
      </c>
      <c r="BL78" s="2" t="s">
        <v>91</v>
      </c>
      <c r="BM78" s="2" t="s">
        <v>91</v>
      </c>
      <c r="BN78" s="2" t="s">
        <v>91</v>
      </c>
      <c r="BO78" s="2" t="s">
        <v>91</v>
      </c>
      <c r="BP78" s="2" t="s">
        <v>91</v>
      </c>
      <c r="BQ78" s="2" t="s">
        <v>79</v>
      </c>
      <c r="BR78" s="2" t="s">
        <v>79</v>
      </c>
      <c r="BS78" s="2" t="s">
        <v>91</v>
      </c>
      <c r="BT78" s="2" t="s">
        <v>91</v>
      </c>
      <c r="BU78" s="2" t="s">
        <v>91</v>
      </c>
      <c r="BV78" s="2" t="s">
        <v>91</v>
      </c>
      <c r="BW78" s="2" t="s">
        <v>91</v>
      </c>
      <c r="BX78" s="2" t="s">
        <v>91</v>
      </c>
      <c r="BY78" s="2" t="s">
        <v>79</v>
      </c>
      <c r="BZ78" s="2" t="s">
        <v>91</v>
      </c>
      <c r="CA78" s="2" t="s">
        <v>79</v>
      </c>
      <c r="CB78">
        <f>TTEST(AS78:AW78,AI78:AM78,2,2)</f>
        <v>2.4957280847921419E-2</v>
      </c>
      <c r="CC78">
        <f>TTEST(AD78:AH78,AI78:AM78,2,2)</f>
        <v>4.1150576560174248E-4</v>
      </c>
      <c r="CD78">
        <f>TTEST(AN78:AR78,AI78:AM78,2,2)</f>
        <v>2.7317674800036208E-2</v>
      </c>
      <c r="CE78">
        <f>TTEST(AX78:BB78,AI78:AM78,2,2)</f>
        <v>2.960330886982902E-6</v>
      </c>
      <c r="CF78">
        <v>140</v>
      </c>
      <c r="CG78">
        <v>126</v>
      </c>
      <c r="CH78">
        <v>111</v>
      </c>
      <c r="CI78">
        <v>23</v>
      </c>
      <c r="CJ78">
        <f>0.05*CF78/464</f>
        <v>1.5086206896551725E-2</v>
      </c>
      <c r="CK78">
        <f>0.05*CG78/464</f>
        <v>1.3577586206896553E-2</v>
      </c>
      <c r="CL78">
        <f>0.05*CH78/464</f>
        <v>1.1961206896551725E-2</v>
      </c>
      <c r="CM78">
        <f>0.05*CI78/464</f>
        <v>2.4784482758620691E-3</v>
      </c>
      <c r="CN78" t="str">
        <f>IF(CB78&lt;CJ78,"yes","no")</f>
        <v>no</v>
      </c>
      <c r="CO78" t="str">
        <f>IF(CC78&lt;CK78,"yes","no")</f>
        <v>yes</v>
      </c>
      <c r="CP78" t="str">
        <f>IF(CD78&lt;CL78,"yes","no")</f>
        <v>no</v>
      </c>
      <c r="CQ78" t="str">
        <f>IF(CE78&lt;CM78,"yes","no")</f>
        <v>yes</v>
      </c>
      <c r="CR78">
        <f>TTEST(AS78:AW78,AD78:AH78,2,2)</f>
        <v>3.6696788138551894E-3</v>
      </c>
      <c r="CS78">
        <f>TTEST(AS78:AW78,AN78:AR78,2,2)</f>
        <v>0.22055549661739587</v>
      </c>
      <c r="CT78">
        <f>TTEST(AS78:AW78,AX78:BB78,2,2)</f>
        <v>1.0408993029149601E-3</v>
      </c>
      <c r="CU78">
        <v>181</v>
      </c>
      <c r="CV78">
        <v>201</v>
      </c>
      <c r="CW78">
        <v>77</v>
      </c>
      <c r="CX78">
        <f t="shared" si="3"/>
        <v>1.9504310344827587E-2</v>
      </c>
      <c r="CY78">
        <f t="shared" si="4"/>
        <v>2.1659482758620691E-2</v>
      </c>
      <c r="CZ78">
        <f t="shared" si="5"/>
        <v>8.2974137931034492E-3</v>
      </c>
      <c r="DA78" t="str">
        <f>IF(CR78&lt;CX78,"yes","no")</f>
        <v>yes</v>
      </c>
      <c r="DB78" t="str">
        <f>IF(CS78&lt;CY78,"yes","no")</f>
        <v>no</v>
      </c>
      <c r="DC78" t="str">
        <f>IF(CT78&lt;CZ78,"yes","no")</f>
        <v>yes</v>
      </c>
    </row>
    <row r="79" spans="1:107" x14ac:dyDescent="0.2">
      <c r="A79" s="2" t="b">
        <v>0</v>
      </c>
      <c r="B79" s="2" t="s">
        <v>79</v>
      </c>
      <c r="C79" s="2" t="s">
        <v>80</v>
      </c>
      <c r="D79" s="2" t="s">
        <v>852</v>
      </c>
      <c r="E79" s="2" t="s">
        <v>853</v>
      </c>
      <c r="F79" s="2">
        <v>2</v>
      </c>
      <c r="G79" s="2">
        <v>2</v>
      </c>
      <c r="H79" s="2">
        <v>16.100000000000001</v>
      </c>
      <c r="I79" s="2">
        <v>6.16</v>
      </c>
      <c r="J79" s="2" t="s">
        <v>528</v>
      </c>
      <c r="K79" s="2" t="s">
        <v>84</v>
      </c>
      <c r="L79" s="2" t="s">
        <v>218</v>
      </c>
      <c r="M79" s="2" t="s">
        <v>854</v>
      </c>
      <c r="N79" s="2" t="s">
        <v>852</v>
      </c>
      <c r="O79" s="2">
        <v>5.7140000000000004</v>
      </c>
      <c r="P79" s="2">
        <v>3.8889999999999998</v>
      </c>
      <c r="Q79" s="2">
        <v>4.7050000000000001</v>
      </c>
      <c r="R79" s="2">
        <v>0.13800000000000001</v>
      </c>
      <c r="S79" s="2">
        <v>0.81</v>
      </c>
      <c r="T79" s="2">
        <v>0.29199999999999998</v>
      </c>
      <c r="U79" s="2">
        <v>0.32900000000000001</v>
      </c>
      <c r="V79" s="2">
        <v>0.39800000000000002</v>
      </c>
      <c r="W79" s="2">
        <v>0.44800000000000001</v>
      </c>
      <c r="X79" s="2">
        <v>1.236</v>
      </c>
      <c r="Y79" s="2">
        <v>16.600000000000001</v>
      </c>
      <c r="Z79" s="2">
        <v>183.8</v>
      </c>
      <c r="AA79" s="2">
        <v>144.5</v>
      </c>
      <c r="AB79" s="2">
        <v>66.099999999999994</v>
      </c>
      <c r="AC79" s="2">
        <v>88.9</v>
      </c>
      <c r="AD79" s="2">
        <v>622372.453125</v>
      </c>
      <c r="AE79" s="2">
        <v>655632.833984375</v>
      </c>
      <c r="AF79" s="2">
        <v>584615.451171875</v>
      </c>
      <c r="AG79" s="2">
        <v>829433.03515625</v>
      </c>
      <c r="AH79" s="2">
        <v>1294519.6044921901</v>
      </c>
      <c r="AI79" s="2">
        <v>313472.44140625</v>
      </c>
      <c r="AJ79" s="2">
        <v>147287.15673828099</v>
      </c>
      <c r="AK79" s="2">
        <v>136631.4921875</v>
      </c>
      <c r="AL79" s="2">
        <v>181723.849609375</v>
      </c>
      <c r="AM79" s="2">
        <v>134466.97558593799</v>
      </c>
      <c r="AN79" s="2">
        <v>98800.033691406294</v>
      </c>
      <c r="AO79" s="2">
        <v>131435.46972656299</v>
      </c>
      <c r="AP79" s="2">
        <v>131129.095703125</v>
      </c>
      <c r="AQ79" s="2">
        <v>107507.480957031</v>
      </c>
      <c r="AR79" s="2">
        <v>229985.39794921901</v>
      </c>
      <c r="AS79" s="2">
        <v>407284.3515625</v>
      </c>
      <c r="AT79" s="2">
        <v>509805.28125</v>
      </c>
      <c r="AU79" s="2">
        <v>323361.72509765602</v>
      </c>
      <c r="AV79" s="2">
        <v>411137.0625</v>
      </c>
      <c r="AW79" s="2">
        <v>512230.546875</v>
      </c>
      <c r="AX79" s="2">
        <v>189277.17089843799</v>
      </c>
      <c r="AY79" s="2">
        <v>227574.75390625</v>
      </c>
      <c r="AZ79" s="2">
        <v>309201.662109375</v>
      </c>
      <c r="BA79" s="2">
        <v>173635.83984375</v>
      </c>
      <c r="BB79" s="2">
        <v>181376.025390625</v>
      </c>
      <c r="BC79" s="2" t="s">
        <v>79</v>
      </c>
      <c r="BD79" s="2" t="s">
        <v>79</v>
      </c>
      <c r="BE79" s="2" t="s">
        <v>79</v>
      </c>
      <c r="BF79" s="2" t="s">
        <v>79</v>
      </c>
      <c r="BG79" s="2" t="s">
        <v>79</v>
      </c>
      <c r="BH79" s="2" t="s">
        <v>79</v>
      </c>
      <c r="BI79" s="2" t="s">
        <v>79</v>
      </c>
      <c r="BJ79" s="2" t="s">
        <v>79</v>
      </c>
      <c r="BK79" s="2" t="s">
        <v>79</v>
      </c>
      <c r="BL79" s="2" t="s">
        <v>79</v>
      </c>
      <c r="BM79" s="2" t="s">
        <v>79</v>
      </c>
      <c r="BN79" s="2" t="s">
        <v>79</v>
      </c>
      <c r="BO79" s="2" t="s">
        <v>79</v>
      </c>
      <c r="BP79" s="2" t="s">
        <v>79</v>
      </c>
      <c r="BQ79" s="2" t="s">
        <v>79</v>
      </c>
      <c r="BR79" s="2" t="s">
        <v>79</v>
      </c>
      <c r="BS79" s="2" t="s">
        <v>79</v>
      </c>
      <c r="BT79" s="2" t="s">
        <v>79</v>
      </c>
      <c r="BU79" s="2" t="s">
        <v>79</v>
      </c>
      <c r="BV79" s="2" t="s">
        <v>79</v>
      </c>
      <c r="BW79" s="2" t="s">
        <v>79</v>
      </c>
      <c r="BX79" s="2" t="s">
        <v>79</v>
      </c>
      <c r="BY79" s="2" t="s">
        <v>79</v>
      </c>
      <c r="BZ79" s="2" t="s">
        <v>79</v>
      </c>
      <c r="CA79" s="2" t="s">
        <v>91</v>
      </c>
      <c r="CB79">
        <f>TTEST(AS79:AW79,AI79:AM79,2,2)</f>
        <v>9.3379018055948023E-4</v>
      </c>
      <c r="CC79">
        <f>TTEST(AD79:AH79,AI79:AM79,2,2)</f>
        <v>1.9061089933346356E-3</v>
      </c>
      <c r="CD79">
        <f>TTEST(AN79:AR79,AI79:AM79,2,2)</f>
        <v>0.32677377188749474</v>
      </c>
      <c r="CE79">
        <f>TTEST(AX79:BB79,AI79:AM79,2,2)</f>
        <v>0.44848890521144469</v>
      </c>
      <c r="CF79">
        <v>102</v>
      </c>
      <c r="CG79">
        <v>143</v>
      </c>
      <c r="CH79">
        <v>159</v>
      </c>
      <c r="CI79">
        <v>154</v>
      </c>
      <c r="CJ79">
        <f>0.05*CF79/464</f>
        <v>1.0991379310344829E-2</v>
      </c>
      <c r="CK79">
        <f>0.05*CG79/464</f>
        <v>1.5409482758620691E-2</v>
      </c>
      <c r="CL79">
        <f>0.05*CH79/464</f>
        <v>1.7133620689655172E-2</v>
      </c>
      <c r="CM79">
        <f>0.05*CI79/464</f>
        <v>1.6594827586206898E-2</v>
      </c>
      <c r="CN79" t="str">
        <f>IF(CB79&lt;CJ79,"yes","no")</f>
        <v>yes</v>
      </c>
      <c r="CO79" t="str">
        <f>IF(CC79&lt;CK79,"yes","no")</f>
        <v>yes</v>
      </c>
      <c r="CP79" t="str">
        <f>IF(CD79&lt;CL79,"yes","no")</f>
        <v>no</v>
      </c>
      <c r="CQ79" t="str">
        <f>IF(CE79&lt;CM79,"yes","no")</f>
        <v>no</v>
      </c>
      <c r="CR79">
        <f>TTEST(AS79:AW79,AD79:AH79,2,2)</f>
        <v>2.7837661875581485E-2</v>
      </c>
      <c r="CS79">
        <f>TTEST(AS79:AW79,AN79:AR79,2,2)</f>
        <v>1.2788691056521336E-4</v>
      </c>
      <c r="CT79">
        <f>TTEST(AS79:AW79,AX79:BB79,2,2)</f>
        <v>1.0836563323959887E-3</v>
      </c>
      <c r="CU79">
        <v>214</v>
      </c>
      <c r="CV79">
        <v>46</v>
      </c>
      <c r="CW79">
        <v>78</v>
      </c>
      <c r="CX79">
        <f t="shared" si="3"/>
        <v>2.3060344827586208E-2</v>
      </c>
      <c r="CY79">
        <f t="shared" si="4"/>
        <v>4.9568965517241383E-3</v>
      </c>
      <c r="CZ79">
        <f t="shared" si="5"/>
        <v>8.4051724137931046E-3</v>
      </c>
      <c r="DA79" t="str">
        <f>IF(CR79&lt;CX79,"yes","no")</f>
        <v>no</v>
      </c>
      <c r="DB79" t="str">
        <f>IF(CS79&lt;CY79,"yes","no")</f>
        <v>yes</v>
      </c>
      <c r="DC79" t="str">
        <f>IF(CT79&lt;CZ79,"yes","no")</f>
        <v>yes</v>
      </c>
    </row>
    <row r="80" spans="1:107" x14ac:dyDescent="0.2">
      <c r="A80" s="2" t="b">
        <v>0</v>
      </c>
      <c r="B80" s="2" t="s">
        <v>79</v>
      </c>
      <c r="C80" s="2" t="s">
        <v>80</v>
      </c>
      <c r="D80" s="4" t="s">
        <v>1149</v>
      </c>
      <c r="E80" s="2" t="s">
        <v>1150</v>
      </c>
      <c r="F80" s="2">
        <v>3</v>
      </c>
      <c r="G80" s="2">
        <v>3</v>
      </c>
      <c r="H80" s="2">
        <v>50.3</v>
      </c>
      <c r="I80" s="2">
        <v>7.69</v>
      </c>
      <c r="J80" s="2" t="s">
        <v>135</v>
      </c>
      <c r="K80" s="2" t="s">
        <v>1151</v>
      </c>
      <c r="L80" s="2" t="s">
        <v>119</v>
      </c>
      <c r="M80" s="2" t="s">
        <v>1152</v>
      </c>
      <c r="N80" s="2" t="s">
        <v>1153</v>
      </c>
      <c r="O80" s="2">
        <v>2.1070000000000002</v>
      </c>
      <c r="P80" s="2">
        <v>0.185</v>
      </c>
      <c r="Q80" s="2">
        <v>0.22700000000000001</v>
      </c>
      <c r="R80" s="2">
        <v>14.896000000000001</v>
      </c>
      <c r="S80" s="2">
        <v>31.683</v>
      </c>
      <c r="T80" s="2">
        <v>2.8439999999999999</v>
      </c>
      <c r="U80" s="2">
        <v>3.36</v>
      </c>
      <c r="V80" s="2">
        <v>8.7999999999999995E-2</v>
      </c>
      <c r="W80" s="2">
        <v>0.109</v>
      </c>
      <c r="X80" s="2">
        <v>1.2150000000000001</v>
      </c>
      <c r="Y80" s="2">
        <v>145</v>
      </c>
      <c r="Z80" s="2">
        <v>9</v>
      </c>
      <c r="AA80" s="2">
        <v>289.10000000000002</v>
      </c>
      <c r="AB80" s="2">
        <v>25.5</v>
      </c>
      <c r="AC80" s="2">
        <v>31.4</v>
      </c>
      <c r="AD80" s="2">
        <v>3907186.25</v>
      </c>
      <c r="AE80" s="2">
        <v>3432724.25</v>
      </c>
      <c r="AF80" s="2">
        <v>3379275.140625</v>
      </c>
      <c r="AG80" s="2">
        <v>4450421.5625</v>
      </c>
      <c r="AH80" s="2">
        <v>3895731.75</v>
      </c>
      <c r="AI80" s="2">
        <v>6222.4775390625</v>
      </c>
      <c r="AJ80" s="2">
        <v>5022.2490234375</v>
      </c>
      <c r="AK80" s="2">
        <v>3555.47607421875</v>
      </c>
      <c r="AL80" s="2" t="s">
        <v>83</v>
      </c>
      <c r="AM80" s="2">
        <v>4012.7705078125</v>
      </c>
      <c r="AN80" s="2">
        <v>122525.28125</v>
      </c>
      <c r="AO80" s="2">
        <v>135928.21875</v>
      </c>
      <c r="AP80" s="2">
        <v>181662.84375</v>
      </c>
      <c r="AQ80" s="2">
        <v>157069.59375</v>
      </c>
      <c r="AR80" s="2">
        <v>212596.6640625</v>
      </c>
      <c r="AS80" s="2">
        <v>93626.796875</v>
      </c>
      <c r="AT80" s="2">
        <v>146181.703125</v>
      </c>
      <c r="AU80" s="2">
        <v>84206.75</v>
      </c>
      <c r="AV80" s="2">
        <v>98273.9765625</v>
      </c>
      <c r="AW80" s="2">
        <v>144543.078125</v>
      </c>
      <c r="AX80" s="2">
        <v>52968.43359375</v>
      </c>
      <c r="AY80" s="2">
        <v>37132.6953125</v>
      </c>
      <c r="AZ80" s="2">
        <v>53201.97265625</v>
      </c>
      <c r="BA80" s="2">
        <v>18062.171875</v>
      </c>
      <c r="BB80" s="2">
        <v>39735.19140625</v>
      </c>
      <c r="BC80" s="2" t="s">
        <v>91</v>
      </c>
      <c r="BD80" s="2" t="s">
        <v>91</v>
      </c>
      <c r="BE80" s="2" t="s">
        <v>79</v>
      </c>
      <c r="BF80" s="2" t="s">
        <v>79</v>
      </c>
      <c r="BG80" s="2" t="s">
        <v>91</v>
      </c>
      <c r="BH80" s="2" t="s">
        <v>91</v>
      </c>
      <c r="BI80" s="2" t="s">
        <v>91</v>
      </c>
      <c r="BJ80" s="2" t="s">
        <v>91</v>
      </c>
      <c r="BK80" s="2" t="s">
        <v>98</v>
      </c>
      <c r="BL80" s="2" t="s">
        <v>91</v>
      </c>
      <c r="BM80" s="2" t="s">
        <v>91</v>
      </c>
      <c r="BN80" s="2" t="s">
        <v>91</v>
      </c>
      <c r="BO80" s="2" t="s">
        <v>91</v>
      </c>
      <c r="BP80" s="2" t="s">
        <v>91</v>
      </c>
      <c r="BQ80" s="2" t="s">
        <v>91</v>
      </c>
      <c r="BR80" s="2" t="s">
        <v>91</v>
      </c>
      <c r="BS80" s="2" t="s">
        <v>91</v>
      </c>
      <c r="BT80" s="2" t="s">
        <v>91</v>
      </c>
      <c r="BU80" s="2" t="s">
        <v>91</v>
      </c>
      <c r="BV80" s="2" t="s">
        <v>91</v>
      </c>
      <c r="BW80" s="2" t="s">
        <v>91</v>
      </c>
      <c r="BX80" s="2" t="s">
        <v>91</v>
      </c>
      <c r="BY80" s="2" t="s">
        <v>91</v>
      </c>
      <c r="BZ80" s="2" t="s">
        <v>91</v>
      </c>
      <c r="CA80" s="2" t="s">
        <v>91</v>
      </c>
      <c r="CB80">
        <f>TTEST(AS80:AW80,AI80:AM80,2,2)</f>
        <v>1.7397341928956692E-4</v>
      </c>
      <c r="CC80">
        <f>TTEST(AD80:AH80,AI80:AM80,2,2)</f>
        <v>5.3215759154697678E-7</v>
      </c>
      <c r="CD80">
        <f>TTEST(AN80:AR80,AI80:AM80,2,2)</f>
        <v>5.7710788991499821E-5</v>
      </c>
      <c r="CE80">
        <f>TTEST(AX80:BB80,AI80:AM80,2,2)</f>
        <v>1.8674387014411462E-3</v>
      </c>
      <c r="CF80">
        <v>74</v>
      </c>
      <c r="CG80">
        <v>43</v>
      </c>
      <c r="CH80">
        <v>45</v>
      </c>
      <c r="CI80">
        <v>61</v>
      </c>
      <c r="CJ80">
        <f>0.05*CF80/464</f>
        <v>7.9741379310344831E-3</v>
      </c>
      <c r="CK80">
        <f>0.05*CG80/464</f>
        <v>4.6336206896551721E-3</v>
      </c>
      <c r="CL80">
        <f>0.05*CH80/464</f>
        <v>4.8491379310344829E-3</v>
      </c>
      <c r="CM80">
        <f>0.05*CI80/464</f>
        <v>6.5732758620689665E-3</v>
      </c>
      <c r="CN80" t="str">
        <f>IF(CB80&lt;CJ80,"yes","no")</f>
        <v>yes</v>
      </c>
      <c r="CO80" t="str">
        <f>IF(CC80&lt;CK80,"yes","no")</f>
        <v>yes</v>
      </c>
      <c r="CP80" t="str">
        <f>IF(CD80&lt;CL80,"yes","no")</f>
        <v>yes</v>
      </c>
      <c r="CQ80" t="str">
        <f>IF(CE80&lt;CM80,"yes","no")</f>
        <v>yes</v>
      </c>
      <c r="CR80">
        <f>TTEST(AS80:AW80,AD80:AH80,2,2)</f>
        <v>6.092237508312848E-8</v>
      </c>
      <c r="CS80">
        <f>TTEST(AS80:AW80,AN80:AR80,2,2)</f>
        <v>4.843993030412691E-2</v>
      </c>
      <c r="CT80">
        <f>TTEST(AS80:AW80,AX80:BB80,2,2)</f>
        <v>1.1058754108306389E-3</v>
      </c>
      <c r="CU80">
        <v>11</v>
      </c>
      <c r="CV80">
        <v>163</v>
      </c>
      <c r="CW80">
        <v>79</v>
      </c>
      <c r="CX80">
        <f t="shared" si="3"/>
        <v>1.1853448275862071E-3</v>
      </c>
      <c r="CY80">
        <f t="shared" si="4"/>
        <v>1.7564655172413794E-2</v>
      </c>
      <c r="CZ80">
        <f t="shared" si="5"/>
        <v>8.5129310344827583E-3</v>
      </c>
      <c r="DA80" t="str">
        <f>IF(CR80&lt;CX80,"yes","no")</f>
        <v>yes</v>
      </c>
      <c r="DB80" t="str">
        <f>IF(CS80&lt;CY80,"yes","no")</f>
        <v>no</v>
      </c>
      <c r="DC80" t="str">
        <f>IF(CT80&lt;CZ80,"yes","no")</f>
        <v>yes</v>
      </c>
    </row>
    <row r="81" spans="1:107" x14ac:dyDescent="0.2">
      <c r="A81" s="2" t="b">
        <v>0</v>
      </c>
      <c r="B81" s="2" t="s">
        <v>79</v>
      </c>
      <c r="C81" s="2" t="s">
        <v>80</v>
      </c>
      <c r="D81" s="2" t="s">
        <v>138</v>
      </c>
      <c r="E81" s="2" t="s">
        <v>139</v>
      </c>
      <c r="F81" s="2">
        <v>33</v>
      </c>
      <c r="G81" s="2">
        <v>9</v>
      </c>
      <c r="H81" s="2">
        <v>192</v>
      </c>
      <c r="I81" s="2">
        <v>7.33</v>
      </c>
      <c r="J81" s="2" t="s">
        <v>89</v>
      </c>
      <c r="K81" s="2" t="s">
        <v>95</v>
      </c>
      <c r="L81" s="2" t="s">
        <v>102</v>
      </c>
      <c r="M81" s="2" t="s">
        <v>140</v>
      </c>
      <c r="N81" s="2" t="s">
        <v>141</v>
      </c>
      <c r="O81" s="2">
        <v>5.2549999999999999</v>
      </c>
      <c r="P81" s="2">
        <v>0.29599999999999999</v>
      </c>
      <c r="Q81" s="2">
        <v>0.51800000000000002</v>
      </c>
      <c r="R81" s="2">
        <v>2.0870000000000002</v>
      </c>
      <c r="S81" s="2">
        <v>15.09</v>
      </c>
      <c r="T81" s="2">
        <v>0.85799999999999998</v>
      </c>
      <c r="U81" s="2">
        <v>1.1930000000000001</v>
      </c>
      <c r="V81" s="2">
        <v>4.8000000000000001E-2</v>
      </c>
      <c r="W81" s="2">
        <v>8.6999999999999994E-2</v>
      </c>
      <c r="X81" s="2">
        <v>1.6060000000000001</v>
      </c>
      <c r="Y81" s="2">
        <v>68.7</v>
      </c>
      <c r="Z81" s="2">
        <v>7.2</v>
      </c>
      <c r="AA81" s="2">
        <v>383.3</v>
      </c>
      <c r="AB81" s="2">
        <v>18.5</v>
      </c>
      <c r="AC81" s="2">
        <v>22.3</v>
      </c>
      <c r="AD81" s="2">
        <v>34953526.1630859</v>
      </c>
      <c r="AE81" s="2">
        <v>27738680.3984375</v>
      </c>
      <c r="AF81" s="2">
        <v>25369120.498046901</v>
      </c>
      <c r="AG81" s="2">
        <v>26735705.4765625</v>
      </c>
      <c r="AH81" s="2">
        <v>25228824.921875</v>
      </c>
      <c r="AI81" s="2">
        <v>85105.58984375</v>
      </c>
      <c r="AJ81" s="2">
        <v>114069.238769531</v>
      </c>
      <c r="AK81" s="2">
        <v>45891.30078125</v>
      </c>
      <c r="AL81" s="2">
        <v>57722.1826171875</v>
      </c>
      <c r="AM81" s="2">
        <v>50533.332763671897</v>
      </c>
      <c r="AN81" s="2">
        <v>2716396.92822266</v>
      </c>
      <c r="AO81" s="2">
        <v>2849546.8408203102</v>
      </c>
      <c r="AP81" s="2">
        <v>3850327.0434570299</v>
      </c>
      <c r="AQ81" s="2">
        <v>3178787.50146484</v>
      </c>
      <c r="AR81" s="2">
        <v>4061060.4316406301</v>
      </c>
      <c r="AS81" s="2">
        <v>976431.25488281297</v>
      </c>
      <c r="AT81" s="2">
        <v>1758338.3808593799</v>
      </c>
      <c r="AU81" s="2">
        <v>986884.75488281297</v>
      </c>
      <c r="AV81" s="2">
        <v>1139379.7431640599</v>
      </c>
      <c r="AW81" s="2">
        <v>1341751.7963867199</v>
      </c>
      <c r="AX81" s="2">
        <v>616625.94677734398</v>
      </c>
      <c r="AY81" s="2">
        <v>453272</v>
      </c>
      <c r="AZ81" s="2">
        <v>537495.06640625</v>
      </c>
      <c r="BA81" s="2">
        <v>503184.87890625</v>
      </c>
      <c r="BB81" s="2">
        <v>448888.63964843802</v>
      </c>
      <c r="BC81" s="2" t="s">
        <v>79</v>
      </c>
      <c r="BD81" s="2" t="s">
        <v>79</v>
      </c>
      <c r="BE81" s="2" t="s">
        <v>79</v>
      </c>
      <c r="BF81" s="2" t="s">
        <v>79</v>
      </c>
      <c r="BG81" s="2" t="s">
        <v>79</v>
      </c>
      <c r="BH81" s="2" t="s">
        <v>91</v>
      </c>
      <c r="BI81" s="2" t="s">
        <v>91</v>
      </c>
      <c r="BJ81" s="2" t="s">
        <v>91</v>
      </c>
      <c r="BK81" s="2" t="s">
        <v>98</v>
      </c>
      <c r="BL81" s="2" t="s">
        <v>91</v>
      </c>
      <c r="BM81" s="2" t="s">
        <v>79</v>
      </c>
      <c r="BN81" s="2" t="s">
        <v>79</v>
      </c>
      <c r="BO81" s="2" t="s">
        <v>79</v>
      </c>
      <c r="BP81" s="2" t="s">
        <v>79</v>
      </c>
      <c r="BQ81" s="2" t="s">
        <v>79</v>
      </c>
      <c r="BR81" s="2" t="s">
        <v>91</v>
      </c>
      <c r="BS81" s="2" t="s">
        <v>79</v>
      </c>
      <c r="BT81" s="2" t="s">
        <v>91</v>
      </c>
      <c r="BU81" s="2" t="s">
        <v>91</v>
      </c>
      <c r="BV81" s="2" t="s">
        <v>79</v>
      </c>
      <c r="BW81" s="2" t="s">
        <v>91</v>
      </c>
      <c r="BX81" s="2" t="s">
        <v>91</v>
      </c>
      <c r="BY81" s="2" t="s">
        <v>91</v>
      </c>
      <c r="BZ81" s="2" t="s">
        <v>91</v>
      </c>
      <c r="CA81" s="2" t="s">
        <v>91</v>
      </c>
      <c r="CB81">
        <f>TTEST(AS81:AW81,AI81:AM81,2,2)</f>
        <v>4.3033148077810809E-5</v>
      </c>
      <c r="CC81">
        <f>TTEST(AD81:AH81,AI81:AM81,2,2)</f>
        <v>2.9277624149453206E-7</v>
      </c>
      <c r="CD81">
        <f>TTEST(AN81:AR81,AI81:AM81,2,2)</f>
        <v>1.9415604420468342E-6</v>
      </c>
      <c r="CE81">
        <f>TTEST(AX81:BB81,AI81:AM81,2,2)</f>
        <v>1.0406470937784949E-6</v>
      </c>
      <c r="CF81">
        <v>47</v>
      </c>
      <c r="CG81">
        <v>34</v>
      </c>
      <c r="CH81">
        <v>11</v>
      </c>
      <c r="CI81">
        <v>16</v>
      </c>
      <c r="CJ81">
        <f>0.05*CF81/464</f>
        <v>5.0646551724137937E-3</v>
      </c>
      <c r="CK81">
        <f>0.05*CG81/464</f>
        <v>3.6637931034482762E-3</v>
      </c>
      <c r="CL81">
        <f>0.05*CH81/464</f>
        <v>1.1853448275862071E-3</v>
      </c>
      <c r="CM81">
        <f>0.05*CI81/464</f>
        <v>1.724137931034483E-3</v>
      </c>
      <c r="CN81" t="str">
        <f>IF(CB81&lt;CJ81,"yes","no")</f>
        <v>yes</v>
      </c>
      <c r="CO81" t="str">
        <f>IF(CC81&lt;CK81,"yes","no")</f>
        <v>yes</v>
      </c>
      <c r="CP81" t="str">
        <f>IF(CD81&lt;CL81,"yes","no")</f>
        <v>yes</v>
      </c>
      <c r="CQ81" t="str">
        <f>IF(CE81&lt;CM81,"yes","no")</f>
        <v>yes</v>
      </c>
      <c r="CR81">
        <f>TTEST(AS81:AW81,AD81:AH81,2,2)</f>
        <v>4.1839477000951194E-7</v>
      </c>
      <c r="CS81">
        <f>TTEST(AS81:AW81,AN81:AR81,2,2)</f>
        <v>1.2978497514171361E-4</v>
      </c>
      <c r="CT81">
        <f>TTEST(AS81:AW81,AX81:BB81,2,2)</f>
        <v>1.1897478648995059E-3</v>
      </c>
      <c r="CU81">
        <v>34</v>
      </c>
      <c r="CV81">
        <v>47</v>
      </c>
      <c r="CW81">
        <v>80</v>
      </c>
      <c r="CX81">
        <f t="shared" si="3"/>
        <v>3.6637931034482762E-3</v>
      </c>
      <c r="CY81">
        <f t="shared" si="4"/>
        <v>5.0646551724137937E-3</v>
      </c>
      <c r="CZ81">
        <f t="shared" si="5"/>
        <v>8.6206896551724137E-3</v>
      </c>
      <c r="DA81" t="str">
        <f>IF(CR81&lt;CX81,"yes","no")</f>
        <v>yes</v>
      </c>
      <c r="DB81" t="str">
        <f>IF(CS81&lt;CY81,"yes","no")</f>
        <v>yes</v>
      </c>
      <c r="DC81" t="str">
        <f>IF(CT81&lt;CZ81,"yes","no")</f>
        <v>yes</v>
      </c>
    </row>
    <row r="82" spans="1:107" x14ac:dyDescent="0.2">
      <c r="A82" s="2" t="b">
        <v>0</v>
      </c>
      <c r="B82" s="2" t="s">
        <v>79</v>
      </c>
      <c r="C82" s="2" t="s">
        <v>80</v>
      </c>
      <c r="D82" s="2" t="s">
        <v>335</v>
      </c>
      <c r="E82" s="2" t="s">
        <v>336</v>
      </c>
      <c r="F82" s="2">
        <v>8</v>
      </c>
      <c r="G82" s="2">
        <v>3</v>
      </c>
      <c r="H82" s="2">
        <v>16</v>
      </c>
      <c r="I82" s="2">
        <v>8.07</v>
      </c>
      <c r="J82" s="2" t="s">
        <v>337</v>
      </c>
      <c r="K82" s="2" t="s">
        <v>338</v>
      </c>
      <c r="L82" s="2" t="s">
        <v>119</v>
      </c>
      <c r="M82" s="2" t="s">
        <v>339</v>
      </c>
      <c r="N82" s="2" t="s">
        <v>340</v>
      </c>
      <c r="O82" s="2">
        <v>4.8109999999999999</v>
      </c>
      <c r="P82" s="2">
        <v>1.109</v>
      </c>
      <c r="Q82" s="2">
        <v>0.79300000000000004</v>
      </c>
      <c r="R82" s="2">
        <v>0.45900000000000002</v>
      </c>
      <c r="S82" s="2">
        <v>4.2359999999999998</v>
      </c>
      <c r="T82" s="2">
        <v>0.59</v>
      </c>
      <c r="U82" s="2">
        <v>6.3E-2</v>
      </c>
      <c r="V82" s="2">
        <v>0.28199999999999997</v>
      </c>
      <c r="W82" s="2">
        <v>0.16700000000000001</v>
      </c>
      <c r="X82" s="2">
        <v>0.77200000000000002</v>
      </c>
      <c r="Y82" s="2">
        <v>55.9</v>
      </c>
      <c r="Z82" s="2">
        <v>90.3</v>
      </c>
      <c r="AA82" s="2">
        <v>277.7</v>
      </c>
      <c r="AB82" s="2">
        <v>72.2</v>
      </c>
      <c r="AC82" s="2">
        <v>3.9</v>
      </c>
      <c r="AD82" s="2">
        <v>4700816.6796875</v>
      </c>
      <c r="AE82" s="2">
        <v>3771853.4375</v>
      </c>
      <c r="AF82" s="2">
        <v>3617104.4765625</v>
      </c>
      <c r="AG82" s="2">
        <v>3840549.5625</v>
      </c>
      <c r="AH82" s="2">
        <v>4171535.75</v>
      </c>
      <c r="AI82" s="2">
        <v>144755.3359375</v>
      </c>
      <c r="AJ82" s="2">
        <v>132423.609375</v>
      </c>
      <c r="AK82" s="2">
        <v>123487.0234375</v>
      </c>
      <c r="AL82" s="2">
        <v>93864.48828125</v>
      </c>
      <c r="AM82" s="2">
        <v>145978.30078125</v>
      </c>
      <c r="AN82" s="2">
        <v>357521.51953125</v>
      </c>
      <c r="AO82" s="2">
        <v>355728.96875</v>
      </c>
      <c r="AP82" s="2">
        <v>454043.09472656302</v>
      </c>
      <c r="AQ82" s="2">
        <v>382889.02636718802</v>
      </c>
      <c r="AR82" s="2">
        <v>520158.70996093802</v>
      </c>
      <c r="AS82" s="2">
        <v>761819.41015625</v>
      </c>
      <c r="AT82" s="2">
        <v>1076114.0390625</v>
      </c>
      <c r="AU82" s="2">
        <v>622321.13671875</v>
      </c>
      <c r="AV82" s="2">
        <v>785828.578125</v>
      </c>
      <c r="AW82" s="2">
        <v>857343.32421875</v>
      </c>
      <c r="AX82" s="2" t="s">
        <v>83</v>
      </c>
      <c r="AY82" s="2" t="s">
        <v>83</v>
      </c>
      <c r="AZ82" s="2">
        <v>19187.6875</v>
      </c>
      <c r="BA82" s="2" t="s">
        <v>83</v>
      </c>
      <c r="BB82" s="2">
        <v>11657.2216796875</v>
      </c>
      <c r="BC82" s="2" t="s">
        <v>79</v>
      </c>
      <c r="BD82" s="2" t="s">
        <v>79</v>
      </c>
      <c r="BE82" s="2" t="s">
        <v>79</v>
      </c>
      <c r="BF82" s="2" t="s">
        <v>79</v>
      </c>
      <c r="BG82" s="2" t="s">
        <v>79</v>
      </c>
      <c r="BH82" s="2" t="s">
        <v>91</v>
      </c>
      <c r="BI82" s="2" t="s">
        <v>91</v>
      </c>
      <c r="BJ82" s="2" t="s">
        <v>91</v>
      </c>
      <c r="BK82" s="2" t="s">
        <v>91</v>
      </c>
      <c r="BL82" s="2" t="s">
        <v>91</v>
      </c>
      <c r="BM82" s="2" t="s">
        <v>79</v>
      </c>
      <c r="BN82" s="2" t="s">
        <v>79</v>
      </c>
      <c r="BO82" s="2" t="s">
        <v>79</v>
      </c>
      <c r="BP82" s="2" t="s">
        <v>79</v>
      </c>
      <c r="BQ82" s="2" t="s">
        <v>79</v>
      </c>
      <c r="BR82" s="2" t="s">
        <v>79</v>
      </c>
      <c r="BS82" s="2" t="s">
        <v>79</v>
      </c>
      <c r="BT82" s="2" t="s">
        <v>79</v>
      </c>
      <c r="BU82" s="2" t="s">
        <v>79</v>
      </c>
      <c r="BV82" s="2" t="s">
        <v>79</v>
      </c>
      <c r="BW82" s="2" t="s">
        <v>98</v>
      </c>
      <c r="BX82" s="2" t="s">
        <v>98</v>
      </c>
      <c r="BY82" s="2" t="s">
        <v>91</v>
      </c>
      <c r="BZ82" s="2" t="s">
        <v>79</v>
      </c>
      <c r="CA82" s="2" t="s">
        <v>91</v>
      </c>
      <c r="CB82">
        <f>TTEST(AS82:AW82,AI82:AM82,2,2)</f>
        <v>1.5295473134036766E-5</v>
      </c>
      <c r="CC82">
        <f>TTEST(AD82:AH82,AI82:AM82,2,2)</f>
        <v>3.8039392266465785E-8</v>
      </c>
      <c r="CD82">
        <f>TTEST(AN82:AR82,AI82:AM82,2,2)</f>
        <v>2.6375383783020752E-5</v>
      </c>
      <c r="CE82">
        <f>TTEST(AX82:BB82,AI82:AM82,2,2)</f>
        <v>9.0155576020954035E-4</v>
      </c>
      <c r="CF82">
        <v>31</v>
      </c>
      <c r="CG82">
        <v>11</v>
      </c>
      <c r="CH82">
        <v>31</v>
      </c>
      <c r="CI82">
        <v>52</v>
      </c>
      <c r="CJ82">
        <f>0.05*CF82/464</f>
        <v>3.3405172413793105E-3</v>
      </c>
      <c r="CK82">
        <f>0.05*CG82/464</f>
        <v>1.1853448275862071E-3</v>
      </c>
      <c r="CL82">
        <f>0.05*CH82/464</f>
        <v>3.3405172413793105E-3</v>
      </c>
      <c r="CM82">
        <f>0.05*CI82/464</f>
        <v>5.6034482758620689E-3</v>
      </c>
      <c r="CN82" t="str">
        <f>IF(CB82&lt;CJ82,"yes","no")</f>
        <v>yes</v>
      </c>
      <c r="CO82" t="str">
        <f>IF(CC82&lt;CK82,"yes","no")</f>
        <v>yes</v>
      </c>
      <c r="CP82" t="str">
        <f>IF(CD82&lt;CL82,"yes","no")</f>
        <v>yes</v>
      </c>
      <c r="CQ82" t="str">
        <f>IF(CE82&lt;CM82,"yes","no")</f>
        <v>yes</v>
      </c>
      <c r="CR82">
        <f>TTEST(AS82:AW82,AD82:AH82,2,2)</f>
        <v>3.0001854182786111E-7</v>
      </c>
      <c r="CS82">
        <f>TTEST(AS82:AW82,AN82:AR82,2,2)</f>
        <v>1.0225836357847698E-3</v>
      </c>
      <c r="CT82">
        <f>TTEST(AS82:AW82,AX82:BB82,2,2)</f>
        <v>1.3139193626757752E-3</v>
      </c>
      <c r="CU82">
        <v>26</v>
      </c>
      <c r="CV82">
        <v>91</v>
      </c>
      <c r="CW82">
        <v>81</v>
      </c>
      <c r="CX82">
        <f t="shared" si="3"/>
        <v>2.8017241379310344E-3</v>
      </c>
      <c r="CY82">
        <f t="shared" si="4"/>
        <v>9.8060344827586195E-3</v>
      </c>
      <c r="CZ82">
        <f t="shared" si="5"/>
        <v>8.7284482758620691E-3</v>
      </c>
      <c r="DA82" t="str">
        <f>IF(CR82&lt;CX82,"yes","no")</f>
        <v>yes</v>
      </c>
      <c r="DB82" t="str">
        <f>IF(CS82&lt;CY82,"yes","no")</f>
        <v>yes</v>
      </c>
      <c r="DC82" t="str">
        <f>IF(CT82&lt;CZ82,"yes","no")</f>
        <v>yes</v>
      </c>
    </row>
    <row r="83" spans="1:107" x14ac:dyDescent="0.2">
      <c r="A83" s="2" t="b">
        <v>0</v>
      </c>
      <c r="B83" s="2" t="s">
        <v>79</v>
      </c>
      <c r="C83" s="2" t="s">
        <v>80</v>
      </c>
      <c r="D83" s="2" t="s">
        <v>177</v>
      </c>
      <c r="E83" s="2" t="s">
        <v>178</v>
      </c>
      <c r="F83" s="2">
        <v>23</v>
      </c>
      <c r="G83" s="2">
        <v>23</v>
      </c>
      <c r="H83" s="2">
        <v>103.7</v>
      </c>
      <c r="I83" s="2">
        <v>6.2</v>
      </c>
      <c r="J83" s="2" t="s">
        <v>89</v>
      </c>
      <c r="K83" s="2" t="s">
        <v>179</v>
      </c>
      <c r="L83" s="2" t="s">
        <v>83</v>
      </c>
      <c r="M83" s="2" t="s">
        <v>83</v>
      </c>
      <c r="N83" s="2" t="s">
        <v>180</v>
      </c>
      <c r="O83" s="2">
        <v>2.0649999999999999</v>
      </c>
      <c r="P83" s="2">
        <v>0.14499999999999999</v>
      </c>
      <c r="Q83" s="2">
        <v>0.45900000000000002</v>
      </c>
      <c r="R83" s="2">
        <v>2.395</v>
      </c>
      <c r="S83" s="2">
        <v>8.6890000000000001</v>
      </c>
      <c r="T83" s="2">
        <v>0.314</v>
      </c>
      <c r="U83" s="2">
        <v>1.04</v>
      </c>
      <c r="V83" s="2">
        <v>7.3999999999999996E-2</v>
      </c>
      <c r="W83" s="2">
        <v>0.32600000000000001</v>
      </c>
      <c r="X83" s="2">
        <v>3.6269999999999998</v>
      </c>
      <c r="Y83" s="2">
        <v>159.19999999999999</v>
      </c>
      <c r="Z83" s="2">
        <v>106.8</v>
      </c>
      <c r="AA83" s="2">
        <v>158.80000000000001</v>
      </c>
      <c r="AB83" s="2">
        <v>10</v>
      </c>
      <c r="AC83" s="2">
        <v>65.099999999999994</v>
      </c>
      <c r="AD83" s="2">
        <v>72195742.3125</v>
      </c>
      <c r="AE83" s="2">
        <v>76509544.71875</v>
      </c>
      <c r="AF83" s="2">
        <v>81523905.1171875</v>
      </c>
      <c r="AG83" s="2">
        <v>23215337.8828125</v>
      </c>
      <c r="AH83" s="2">
        <v>19532366.9765625</v>
      </c>
      <c r="AI83" s="2">
        <v>1005428.67529297</v>
      </c>
      <c r="AJ83" s="2">
        <v>780127.62084960903</v>
      </c>
      <c r="AK83" s="2">
        <v>763402.24267578102</v>
      </c>
      <c r="AL83" s="2">
        <v>976106.19995117199</v>
      </c>
      <c r="AM83" s="2">
        <v>701292.25634765602</v>
      </c>
      <c r="AN83" s="2">
        <v>998596.51660156297</v>
      </c>
      <c r="AO83" s="2">
        <v>1082253.1738281299</v>
      </c>
      <c r="AP83" s="2">
        <v>1417389.5371093799</v>
      </c>
      <c r="AQ83" s="2">
        <v>1352000.72509766</v>
      </c>
      <c r="AR83" s="2">
        <v>1604632.2021484401</v>
      </c>
      <c r="AS83" s="2">
        <v>619797.85449218797</v>
      </c>
      <c r="AT83" s="2">
        <v>850932.74853515602</v>
      </c>
      <c r="AU83" s="2">
        <v>469198.14794921898</v>
      </c>
      <c r="AV83" s="2">
        <v>604470.21875</v>
      </c>
      <c r="AW83" s="2">
        <v>635919.90234375</v>
      </c>
      <c r="AX83" s="2">
        <v>879752.08691406297</v>
      </c>
      <c r="AY83" s="2">
        <v>1423358.953125</v>
      </c>
      <c r="AZ83" s="2">
        <v>1652892.0104980499</v>
      </c>
      <c r="BA83" s="2">
        <v>1493758.3427734401</v>
      </c>
      <c r="BB83" s="2">
        <v>1222063.3496093799</v>
      </c>
      <c r="BC83" s="2" t="s">
        <v>79</v>
      </c>
      <c r="BD83" s="2" t="s">
        <v>79</v>
      </c>
      <c r="BE83" s="2" t="s">
        <v>79</v>
      </c>
      <c r="BF83" s="2" t="s">
        <v>79</v>
      </c>
      <c r="BG83" s="2" t="s">
        <v>79</v>
      </c>
      <c r="BH83" s="2" t="s">
        <v>91</v>
      </c>
      <c r="BI83" s="2" t="s">
        <v>91</v>
      </c>
      <c r="BJ83" s="2" t="s">
        <v>91</v>
      </c>
      <c r="BK83" s="2" t="s">
        <v>91</v>
      </c>
      <c r="BL83" s="2" t="s">
        <v>91</v>
      </c>
      <c r="BM83" s="2" t="s">
        <v>79</v>
      </c>
      <c r="BN83" s="2" t="s">
        <v>79</v>
      </c>
      <c r="BO83" s="2" t="s">
        <v>79</v>
      </c>
      <c r="BP83" s="2" t="s">
        <v>79</v>
      </c>
      <c r="BQ83" s="2" t="s">
        <v>79</v>
      </c>
      <c r="BR83" s="2" t="s">
        <v>79</v>
      </c>
      <c r="BS83" s="2" t="s">
        <v>79</v>
      </c>
      <c r="BT83" s="2" t="s">
        <v>79</v>
      </c>
      <c r="BU83" s="2" t="s">
        <v>79</v>
      </c>
      <c r="BV83" s="2" t="s">
        <v>79</v>
      </c>
      <c r="BW83" s="2" t="s">
        <v>79</v>
      </c>
      <c r="BX83" s="2" t="s">
        <v>79</v>
      </c>
      <c r="BY83" s="2" t="s">
        <v>79</v>
      </c>
      <c r="BZ83" s="2" t="s">
        <v>79</v>
      </c>
      <c r="CA83" s="2" t="s">
        <v>79</v>
      </c>
      <c r="CB83">
        <f>TTEST(AS83:AW83,AI83:AM83,2,2)</f>
        <v>4.1982197380754434E-2</v>
      </c>
      <c r="CC83">
        <f>TTEST(AD83:AH83,AI83:AM83,2,2)</f>
        <v>4.3188394190949997E-3</v>
      </c>
      <c r="CD83">
        <f>TTEST(AN83:AR83,AI83:AM83,2,2)</f>
        <v>7.9043840538208735E-3</v>
      </c>
      <c r="CE83">
        <f>TTEST(AX83:BB83,AI83:AM83,2,2)</f>
        <v>1.0210398776135743E-2</v>
      </c>
      <c r="CF83">
        <v>148</v>
      </c>
      <c r="CG83">
        <v>154</v>
      </c>
      <c r="CH83">
        <v>92</v>
      </c>
      <c r="CI83">
        <v>83</v>
      </c>
      <c r="CJ83">
        <f>0.05*CF83/464</f>
        <v>1.5948275862068966E-2</v>
      </c>
      <c r="CK83">
        <f>0.05*CG83/464</f>
        <v>1.6594827586206898E-2</v>
      </c>
      <c r="CL83">
        <f>0.05*CH83/464</f>
        <v>9.9137931034482766E-3</v>
      </c>
      <c r="CM83">
        <f>0.05*CI83/464</f>
        <v>8.9439655172413798E-3</v>
      </c>
      <c r="CN83" t="str">
        <f>IF(CB83&lt;CJ83,"yes","no")</f>
        <v>no</v>
      </c>
      <c r="CO83" t="str">
        <f>IF(CC83&lt;CK83,"yes","no")</f>
        <v>yes</v>
      </c>
      <c r="CP83" t="str">
        <f>IF(CD83&lt;CL83,"yes","no")</f>
        <v>yes</v>
      </c>
      <c r="CQ83" t="str">
        <f>IF(CE83&lt;CM83,"yes","no")</f>
        <v>no</v>
      </c>
      <c r="CR83">
        <f>TTEST(AS83:AW83,AD83:AH83,2,2)</f>
        <v>4.2269463145533431E-3</v>
      </c>
      <c r="CS83">
        <f>TTEST(AS83:AW83,AN83:AR83,2,2)</f>
        <v>8.6564570688814119E-4</v>
      </c>
      <c r="CT83">
        <f>TTEST(AS83:AW83,AX83:BB83,2,2)</f>
        <v>1.4158540931803738E-3</v>
      </c>
      <c r="CU83">
        <v>183</v>
      </c>
      <c r="CV83">
        <v>89</v>
      </c>
      <c r="CW83">
        <v>82</v>
      </c>
      <c r="CX83">
        <f t="shared" si="3"/>
        <v>1.9719827586206898E-2</v>
      </c>
      <c r="CY83">
        <f t="shared" si="4"/>
        <v>9.5905172413793104E-3</v>
      </c>
      <c r="CZ83">
        <f t="shared" si="5"/>
        <v>8.8362068965517244E-3</v>
      </c>
      <c r="DA83" t="str">
        <f>IF(CR83&lt;CX83,"yes","no")</f>
        <v>yes</v>
      </c>
      <c r="DB83" t="str">
        <f>IF(CS83&lt;CY83,"yes","no")</f>
        <v>yes</v>
      </c>
      <c r="DC83" t="str">
        <f>IF(CT83&lt;CZ83,"yes","no")</f>
        <v>yes</v>
      </c>
    </row>
    <row r="84" spans="1:107" x14ac:dyDescent="0.2">
      <c r="A84" s="2" t="b">
        <v>0</v>
      </c>
      <c r="B84" s="2" t="s">
        <v>79</v>
      </c>
      <c r="C84" s="2" t="s">
        <v>80</v>
      </c>
      <c r="D84" s="2" t="s">
        <v>414</v>
      </c>
      <c r="E84" s="2" t="s">
        <v>415</v>
      </c>
      <c r="F84" s="2">
        <v>8</v>
      </c>
      <c r="G84" s="2">
        <v>8</v>
      </c>
      <c r="H84" s="2">
        <v>52.2</v>
      </c>
      <c r="I84" s="2">
        <v>6.57</v>
      </c>
      <c r="J84" s="2" t="s">
        <v>416</v>
      </c>
      <c r="K84" s="2" t="s">
        <v>84</v>
      </c>
      <c r="L84" s="2" t="s">
        <v>102</v>
      </c>
      <c r="M84" s="2" t="s">
        <v>417</v>
      </c>
      <c r="N84" s="2" t="s">
        <v>418</v>
      </c>
      <c r="O84" s="2">
        <v>3.5129999999999999</v>
      </c>
      <c r="P84" s="2">
        <v>0.51800000000000002</v>
      </c>
      <c r="Q84" s="2">
        <v>0.92200000000000004</v>
      </c>
      <c r="R84" s="2">
        <v>1.2669999999999999</v>
      </c>
      <c r="S84" s="2">
        <v>4.5179999999999998</v>
      </c>
      <c r="T84" s="2">
        <v>0.65400000000000003</v>
      </c>
      <c r="U84" s="2">
        <v>1.242</v>
      </c>
      <c r="V84" s="2">
        <v>0.14699999999999999</v>
      </c>
      <c r="W84" s="2">
        <v>0.26700000000000002</v>
      </c>
      <c r="X84" s="2">
        <v>1.5129999999999999</v>
      </c>
      <c r="Y84" s="2">
        <v>106.7</v>
      </c>
      <c r="Z84" s="2">
        <v>31.3</v>
      </c>
      <c r="AA84" s="2">
        <v>289.10000000000002</v>
      </c>
      <c r="AB84" s="2">
        <v>38.9</v>
      </c>
      <c r="AC84" s="2">
        <v>34</v>
      </c>
      <c r="AD84" s="2">
        <v>4537019.7246093797</v>
      </c>
      <c r="AE84" s="2">
        <v>3771493.7734375</v>
      </c>
      <c r="AF84" s="2">
        <v>3787091.9375</v>
      </c>
      <c r="AG84" s="2">
        <v>3234835.453125</v>
      </c>
      <c r="AH84" s="2">
        <v>3141843.671875</v>
      </c>
      <c r="AI84" s="2">
        <v>25255.065917968801</v>
      </c>
      <c r="AJ84" s="2">
        <v>5840.7314453125</v>
      </c>
      <c r="AK84" s="2">
        <v>16981.033203125</v>
      </c>
      <c r="AL84" s="2">
        <v>80441.193359375</v>
      </c>
      <c r="AM84" s="2">
        <v>36972.3779296875</v>
      </c>
      <c r="AN84" s="2">
        <v>172830.66113281299</v>
      </c>
      <c r="AO84" s="2">
        <v>187402.875</v>
      </c>
      <c r="AP84" s="2">
        <v>233414.29931640599</v>
      </c>
      <c r="AQ84" s="2">
        <v>192467.40673828099</v>
      </c>
      <c r="AR84" s="2">
        <v>272892.34594726597</v>
      </c>
      <c r="AS84" s="2">
        <v>201822.77441406299</v>
      </c>
      <c r="AT84" s="2">
        <v>324154.2734375</v>
      </c>
      <c r="AU84" s="2">
        <v>177629.42285156299</v>
      </c>
      <c r="AV84" s="2">
        <v>181084.50341796901</v>
      </c>
      <c r="AW84" s="2">
        <v>232972.44238281299</v>
      </c>
      <c r="AX84" s="2">
        <v>59937.205078125</v>
      </c>
      <c r="AY84" s="2">
        <v>69632.3857421875</v>
      </c>
      <c r="AZ84" s="2">
        <v>72125.26953125</v>
      </c>
      <c r="BA84" s="2">
        <v>120290.08105468799</v>
      </c>
      <c r="BB84" s="2">
        <v>108462.0234375</v>
      </c>
      <c r="BC84" s="2" t="s">
        <v>79</v>
      </c>
      <c r="BD84" s="2" t="s">
        <v>79</v>
      </c>
      <c r="BE84" s="2" t="s">
        <v>79</v>
      </c>
      <c r="BF84" s="2" t="s">
        <v>79</v>
      </c>
      <c r="BG84" s="2" t="s">
        <v>79</v>
      </c>
      <c r="BH84" s="2" t="s">
        <v>91</v>
      </c>
      <c r="BI84" s="2" t="s">
        <v>91</v>
      </c>
      <c r="BJ84" s="2" t="s">
        <v>91</v>
      </c>
      <c r="BK84" s="2" t="s">
        <v>91</v>
      </c>
      <c r="BL84" s="2" t="s">
        <v>91</v>
      </c>
      <c r="BM84" s="2" t="s">
        <v>91</v>
      </c>
      <c r="BN84" s="2" t="s">
        <v>91</v>
      </c>
      <c r="BO84" s="2" t="s">
        <v>91</v>
      </c>
      <c r="BP84" s="2" t="s">
        <v>91</v>
      </c>
      <c r="BQ84" s="2" t="s">
        <v>91</v>
      </c>
      <c r="BR84" s="2" t="s">
        <v>91</v>
      </c>
      <c r="BS84" s="2" t="s">
        <v>79</v>
      </c>
      <c r="BT84" s="2" t="s">
        <v>91</v>
      </c>
      <c r="BU84" s="2" t="s">
        <v>79</v>
      </c>
      <c r="BV84" s="2" t="s">
        <v>91</v>
      </c>
      <c r="BW84" s="2" t="s">
        <v>91</v>
      </c>
      <c r="BX84" s="2" t="s">
        <v>91</v>
      </c>
      <c r="BY84" s="2" t="s">
        <v>91</v>
      </c>
      <c r="BZ84" s="2" t="s">
        <v>91</v>
      </c>
      <c r="CA84" s="2" t="s">
        <v>91</v>
      </c>
      <c r="CB84">
        <f>TTEST(AS84:AW84,AI84:AM84,2,2)</f>
        <v>2.1758081957791339E-4</v>
      </c>
      <c r="CC84">
        <f>TTEST(AD84:AH84,AI84:AM84,2,2)</f>
        <v>4.5578183918787214E-7</v>
      </c>
      <c r="CD84">
        <f>TTEST(AN84:AR84,AI84:AM84,2,2)</f>
        <v>4.4110538847147318E-5</v>
      </c>
      <c r="CE84">
        <f>TTEST(AX84:BB84,AI84:AM84,2,2)</f>
        <v>1.6453339889253942E-2</v>
      </c>
      <c r="CF84">
        <v>77</v>
      </c>
      <c r="CG84">
        <v>40</v>
      </c>
      <c r="CH84">
        <v>38</v>
      </c>
      <c r="CI84">
        <v>89</v>
      </c>
      <c r="CJ84">
        <f>0.05*CF84/464</f>
        <v>8.2974137931034492E-3</v>
      </c>
      <c r="CK84">
        <f>0.05*CG84/464</f>
        <v>4.3103448275862068E-3</v>
      </c>
      <c r="CL84">
        <f>0.05*CH84/464</f>
        <v>4.0948275862068969E-3</v>
      </c>
      <c r="CM84">
        <f>0.05*CI84/464</f>
        <v>9.5905172413793104E-3</v>
      </c>
      <c r="CN84" t="str">
        <f>IF(CB84&lt;CJ84,"yes","no")</f>
        <v>yes</v>
      </c>
      <c r="CO84" t="str">
        <f>IF(CC84&lt;CK84,"yes","no")</f>
        <v>yes</v>
      </c>
      <c r="CP84" t="str">
        <f>IF(CD84&lt;CL84,"yes","no")</f>
        <v>yes</v>
      </c>
      <c r="CQ84" t="str">
        <f>IF(CE84&lt;CM84,"yes","no")</f>
        <v>no</v>
      </c>
      <c r="CR84">
        <f>TTEST(AS84:AW84,AD84:AH84,2,2)</f>
        <v>7.1307829966690986E-7</v>
      </c>
      <c r="CS84">
        <f>TTEST(AS84:AW84,AN84:AR84,2,2)</f>
        <v>0.72843040304848428</v>
      </c>
      <c r="CT84">
        <f>TTEST(AS84:AW84,AX84:BB84,2,2)</f>
        <v>1.6279255726486198E-3</v>
      </c>
      <c r="CU84">
        <v>44</v>
      </c>
      <c r="CV84">
        <v>248</v>
      </c>
      <c r="CW84">
        <v>83</v>
      </c>
      <c r="CX84">
        <f t="shared" si="3"/>
        <v>4.7413793103448284E-3</v>
      </c>
      <c r="CY84">
        <f t="shared" si="4"/>
        <v>2.6724137931034484E-2</v>
      </c>
      <c r="CZ84">
        <f t="shared" si="5"/>
        <v>8.9439655172413798E-3</v>
      </c>
      <c r="DA84" t="str">
        <f>IF(CR84&lt;CX84,"yes","no")</f>
        <v>yes</v>
      </c>
      <c r="DB84" t="str">
        <f>IF(CS84&lt;CY84,"yes","no")</f>
        <v>no</v>
      </c>
      <c r="DC84" t="str">
        <f>IF(CT84&lt;CZ84,"yes","no")</f>
        <v>yes</v>
      </c>
    </row>
    <row r="85" spans="1:107" x14ac:dyDescent="0.2">
      <c r="A85" s="2" t="b">
        <v>0</v>
      </c>
      <c r="B85" s="2" t="s">
        <v>79</v>
      </c>
      <c r="C85" s="2" t="s">
        <v>80</v>
      </c>
      <c r="D85" s="2" t="s">
        <v>667</v>
      </c>
      <c r="E85" s="2" t="s">
        <v>668</v>
      </c>
      <c r="F85" s="2">
        <v>3</v>
      </c>
      <c r="G85" s="2">
        <v>3</v>
      </c>
      <c r="H85" s="2">
        <v>27.1</v>
      </c>
      <c r="I85" s="2">
        <v>5.0999999999999996</v>
      </c>
      <c r="J85" s="2" t="s">
        <v>380</v>
      </c>
      <c r="K85" s="2" t="s">
        <v>669</v>
      </c>
      <c r="L85" s="2" t="s">
        <v>83</v>
      </c>
      <c r="M85" s="2" t="s">
        <v>670</v>
      </c>
      <c r="N85" s="2" t="s">
        <v>667</v>
      </c>
      <c r="O85" s="2">
        <v>0.01</v>
      </c>
      <c r="P85" s="2">
        <v>0.76500000000000001</v>
      </c>
      <c r="Q85" s="2">
        <v>1.2450000000000001</v>
      </c>
      <c r="R85" s="2">
        <v>0.92600000000000005</v>
      </c>
      <c r="S85" s="2">
        <v>0.01</v>
      </c>
      <c r="T85" s="2">
        <v>0.78400000000000003</v>
      </c>
      <c r="U85" s="2">
        <v>0.81899999999999995</v>
      </c>
      <c r="V85" s="2">
        <v>100</v>
      </c>
      <c r="W85" s="2">
        <v>100</v>
      </c>
      <c r="X85" s="2">
        <v>1.5449999999999999</v>
      </c>
      <c r="Y85" s="2">
        <v>193.2</v>
      </c>
      <c r="Z85" s="2">
        <v>86.3</v>
      </c>
      <c r="AA85" s="2" t="s">
        <v>83</v>
      </c>
      <c r="AB85" s="2">
        <v>162.19999999999999</v>
      </c>
      <c r="AC85" s="2">
        <v>58.3</v>
      </c>
      <c r="AD85" s="2">
        <v>1756690.015625</v>
      </c>
      <c r="AE85" s="2">
        <v>1220738.6640625</v>
      </c>
      <c r="AF85" s="2">
        <v>1103148.0078125</v>
      </c>
      <c r="AG85" s="2">
        <v>1464113.125</v>
      </c>
      <c r="AH85" s="2">
        <v>1148495.46875</v>
      </c>
      <c r="AI85" s="2" t="s">
        <v>83</v>
      </c>
      <c r="AJ85" s="2">
        <v>8419.4658203125</v>
      </c>
      <c r="AK85" s="2" t="s">
        <v>83</v>
      </c>
      <c r="AL85" s="2">
        <v>24225.453125</v>
      </c>
      <c r="AM85" s="2" t="s">
        <v>83</v>
      </c>
      <c r="AN85" s="2" t="s">
        <v>83</v>
      </c>
      <c r="AO85" s="2" t="s">
        <v>83</v>
      </c>
      <c r="AP85" s="2" t="s">
        <v>83</v>
      </c>
      <c r="AQ85" s="2" t="s">
        <v>83</v>
      </c>
      <c r="AR85" s="2" t="s">
        <v>83</v>
      </c>
      <c r="AS85" s="2">
        <v>121493.71875</v>
      </c>
      <c r="AT85" s="2">
        <v>229621.91796875</v>
      </c>
      <c r="AU85" s="2">
        <v>152746.224609375</v>
      </c>
      <c r="AV85" s="2">
        <v>162162.56542968799</v>
      </c>
      <c r="AW85" s="2">
        <v>137104.80175781299</v>
      </c>
      <c r="AX85" s="2">
        <v>51384.5166015625</v>
      </c>
      <c r="AY85" s="2">
        <v>71873.328125</v>
      </c>
      <c r="AZ85" s="2">
        <v>10780.4150390625</v>
      </c>
      <c r="BA85" s="2">
        <v>5042.31884765625</v>
      </c>
      <c r="BB85" s="2" t="s">
        <v>83</v>
      </c>
      <c r="BC85" s="2" t="s">
        <v>79</v>
      </c>
      <c r="BD85" s="2" t="s">
        <v>79</v>
      </c>
      <c r="BE85" s="2" t="s">
        <v>79</v>
      </c>
      <c r="BF85" s="2" t="s">
        <v>79</v>
      </c>
      <c r="BG85" s="2" t="s">
        <v>79</v>
      </c>
      <c r="BH85" s="2" t="s">
        <v>98</v>
      </c>
      <c r="BI85" s="2" t="s">
        <v>91</v>
      </c>
      <c r="BJ85" s="2" t="s">
        <v>98</v>
      </c>
      <c r="BK85" s="2" t="s">
        <v>91</v>
      </c>
      <c r="BL85" s="2" t="s">
        <v>98</v>
      </c>
      <c r="BM85" s="2" t="s">
        <v>98</v>
      </c>
      <c r="BN85" s="2" t="s">
        <v>98</v>
      </c>
      <c r="BO85" s="2" t="s">
        <v>98</v>
      </c>
      <c r="BP85" s="2" t="s">
        <v>98</v>
      </c>
      <c r="BQ85" s="2" t="s">
        <v>98</v>
      </c>
      <c r="BR85" s="2" t="s">
        <v>79</v>
      </c>
      <c r="BS85" s="2" t="s">
        <v>79</v>
      </c>
      <c r="BT85" s="2" t="s">
        <v>79</v>
      </c>
      <c r="BU85" s="2" t="s">
        <v>79</v>
      </c>
      <c r="BV85" s="2" t="s">
        <v>79</v>
      </c>
      <c r="BW85" s="2" t="s">
        <v>91</v>
      </c>
      <c r="BX85" s="2" t="s">
        <v>91</v>
      </c>
      <c r="BY85" s="2" t="s">
        <v>91</v>
      </c>
      <c r="BZ85" s="2" t="s">
        <v>79</v>
      </c>
      <c r="CA85" s="2" t="s">
        <v>98</v>
      </c>
      <c r="CB85">
        <f>TTEST(AS85:AW85,AI85:AM85,2,2)</f>
        <v>5.8492232391985548E-3</v>
      </c>
      <c r="CC85">
        <f>TTEST(AD85:AH85,AI85:AM85,2,2)</f>
        <v>1.2919930199084073E-3</v>
      </c>
      <c r="CD85" t="e">
        <f>TTEST(AN85:AR85,AI85:AM85,2,2)</f>
        <v>#DIV/0!</v>
      </c>
      <c r="CE85">
        <f>TTEST(AX85:BB85,AI85:AM85,2,2)</f>
        <v>0.49559425056761464</v>
      </c>
      <c r="CF85">
        <v>127</v>
      </c>
      <c r="CG85">
        <v>140</v>
      </c>
      <c r="CH85">
        <v>237</v>
      </c>
      <c r="CI85">
        <v>160</v>
      </c>
      <c r="CJ85">
        <f>0.05*CF85/464</f>
        <v>1.3685344827586208E-2</v>
      </c>
      <c r="CK85">
        <f>0.05*CG85/464</f>
        <v>1.5086206896551725E-2</v>
      </c>
      <c r="CL85">
        <f>0.05*CH85/464</f>
        <v>2.5538793103448278E-2</v>
      </c>
      <c r="CM85">
        <f>0.05*CI85/464</f>
        <v>1.7241379310344827E-2</v>
      </c>
      <c r="CN85" t="str">
        <f>IF(CB85&lt;CJ85,"yes","no")</f>
        <v>yes</v>
      </c>
      <c r="CO85" t="str">
        <f>IF(CC85&lt;CK85,"yes","no")</f>
        <v>yes</v>
      </c>
      <c r="CP85" t="e">
        <f>IF(CD85&lt;CL85,"yes","no")</f>
        <v>#DIV/0!</v>
      </c>
      <c r="CQ85" t="str">
        <f>IF(CE85&lt;CM85,"yes","no")</f>
        <v>no</v>
      </c>
      <c r="CR85">
        <f>TTEST(AS85:AW85,AD85:AH85,2,2)</f>
        <v>1.1757122069019378E-5</v>
      </c>
      <c r="CS85" t="e">
        <f>TTEST(AS85:AW85,AN85:AR85,2,2)</f>
        <v>#DIV/0!</v>
      </c>
      <c r="CT85">
        <f>TTEST(AS85:AW85,AX85:BB85,2,2)</f>
        <v>1.640358289062829E-3</v>
      </c>
      <c r="CU85">
        <v>99</v>
      </c>
      <c r="CV85">
        <v>280</v>
      </c>
      <c r="CW85">
        <v>84</v>
      </c>
      <c r="CX85">
        <f t="shared" si="3"/>
        <v>1.0668103448275863E-2</v>
      </c>
      <c r="CY85">
        <f t="shared" si="4"/>
        <v>3.017241379310345E-2</v>
      </c>
      <c r="CZ85">
        <f t="shared" si="5"/>
        <v>9.0517241379310352E-3</v>
      </c>
      <c r="DA85" t="str">
        <f>IF(CR85&lt;CX85,"yes","no")</f>
        <v>yes</v>
      </c>
      <c r="DB85" t="e">
        <f>IF(CS85&lt;CY85,"yes","no")</f>
        <v>#DIV/0!</v>
      </c>
      <c r="DC85" t="str">
        <f>IF(CT85&lt;CZ85,"yes","no")</f>
        <v>yes</v>
      </c>
    </row>
    <row r="86" spans="1:107" x14ac:dyDescent="0.2">
      <c r="A86" s="2" t="b">
        <v>0</v>
      </c>
      <c r="B86" s="2" t="s">
        <v>79</v>
      </c>
      <c r="C86" s="2" t="s">
        <v>80</v>
      </c>
      <c r="D86" s="2" t="s">
        <v>1271</v>
      </c>
      <c r="E86" s="2" t="s">
        <v>1272</v>
      </c>
      <c r="F86" s="2">
        <v>3</v>
      </c>
      <c r="G86" s="2">
        <v>3</v>
      </c>
      <c r="H86" s="2">
        <v>25.1</v>
      </c>
      <c r="I86" s="2">
        <v>6.11</v>
      </c>
      <c r="J86" s="2" t="s">
        <v>380</v>
      </c>
      <c r="K86" s="2" t="s">
        <v>669</v>
      </c>
      <c r="L86" s="2" t="s">
        <v>119</v>
      </c>
      <c r="M86" s="2" t="s">
        <v>1273</v>
      </c>
      <c r="N86" s="2" t="s">
        <v>1271</v>
      </c>
      <c r="O86" s="2">
        <v>0.73799999999999999</v>
      </c>
      <c r="P86" s="2">
        <v>1.4390000000000001</v>
      </c>
      <c r="Q86" s="2">
        <v>0.52100000000000002</v>
      </c>
      <c r="R86" s="2">
        <v>0.96899999999999997</v>
      </c>
      <c r="S86" s="2">
        <v>0.72899999999999998</v>
      </c>
      <c r="T86" s="2">
        <v>1.387</v>
      </c>
      <c r="U86" s="2">
        <v>0.50900000000000001</v>
      </c>
      <c r="V86" s="2">
        <v>1.8859999999999999</v>
      </c>
      <c r="W86" s="2">
        <v>0.72499999999999998</v>
      </c>
      <c r="X86" s="2">
        <v>0.36099999999999999</v>
      </c>
      <c r="Y86" s="2">
        <v>105.9</v>
      </c>
      <c r="Z86" s="2">
        <v>110.2</v>
      </c>
      <c r="AA86" s="2">
        <v>76</v>
      </c>
      <c r="AB86" s="2">
        <v>152.69999999999999</v>
      </c>
      <c r="AC86" s="2">
        <v>55.1</v>
      </c>
      <c r="AD86" s="2">
        <v>714697.3125</v>
      </c>
      <c r="AE86" s="2">
        <v>541566.625</v>
      </c>
      <c r="AF86" s="2">
        <v>560633.1875</v>
      </c>
      <c r="AG86" s="2">
        <v>626467.3125</v>
      </c>
      <c r="AH86" s="2">
        <v>633172.625</v>
      </c>
      <c r="AI86" s="2">
        <v>19374.0390625</v>
      </c>
      <c r="AJ86" s="2">
        <v>11641.8046875</v>
      </c>
      <c r="AK86" s="2">
        <v>11210.783203125</v>
      </c>
      <c r="AL86" s="2">
        <v>16308.2998046875</v>
      </c>
      <c r="AM86" s="2">
        <v>11339.71484375</v>
      </c>
      <c r="AN86" s="2">
        <v>6696.49609375</v>
      </c>
      <c r="AO86" s="2">
        <v>6768.97314453125</v>
      </c>
      <c r="AP86" s="2" t="s">
        <v>83</v>
      </c>
      <c r="AQ86" s="2">
        <v>9834.55078125</v>
      </c>
      <c r="AR86" s="2">
        <v>13311.935546875</v>
      </c>
      <c r="AS86" s="2">
        <v>109212.4140625</v>
      </c>
      <c r="AT86" s="2">
        <v>193395.65625</v>
      </c>
      <c r="AU86" s="2">
        <v>108000.2109375</v>
      </c>
      <c r="AV86" s="2">
        <v>130033.53125</v>
      </c>
      <c r="AW86" s="2">
        <v>156946.625</v>
      </c>
      <c r="AX86" s="2">
        <v>25437.05859375</v>
      </c>
      <c r="AY86" s="2">
        <v>25539.978515625</v>
      </c>
      <c r="AZ86" s="2">
        <v>18567.060546875</v>
      </c>
      <c r="BA86" s="2" t="s">
        <v>83</v>
      </c>
      <c r="BB86" s="2" t="s">
        <v>83</v>
      </c>
      <c r="BC86" s="2" t="s">
        <v>79</v>
      </c>
      <c r="BD86" s="2" t="s">
        <v>79</v>
      </c>
      <c r="BE86" s="2" t="s">
        <v>79</v>
      </c>
      <c r="BF86" s="2" t="s">
        <v>79</v>
      </c>
      <c r="BG86" s="2" t="s">
        <v>79</v>
      </c>
      <c r="BH86" s="2" t="s">
        <v>91</v>
      </c>
      <c r="BI86" s="2" t="s">
        <v>91</v>
      </c>
      <c r="BJ86" s="2" t="s">
        <v>91</v>
      </c>
      <c r="BK86" s="2" t="s">
        <v>91</v>
      </c>
      <c r="BL86" s="2" t="s">
        <v>91</v>
      </c>
      <c r="BM86" s="2" t="s">
        <v>91</v>
      </c>
      <c r="BN86" s="2" t="s">
        <v>91</v>
      </c>
      <c r="BO86" s="2" t="s">
        <v>98</v>
      </c>
      <c r="BP86" s="2" t="s">
        <v>91</v>
      </c>
      <c r="BQ86" s="2" t="s">
        <v>91</v>
      </c>
      <c r="BR86" s="2" t="s">
        <v>79</v>
      </c>
      <c r="BS86" s="2" t="s">
        <v>79</v>
      </c>
      <c r="BT86" s="2" t="s">
        <v>91</v>
      </c>
      <c r="BU86" s="2" t="s">
        <v>91</v>
      </c>
      <c r="BV86" s="2" t="s">
        <v>91</v>
      </c>
      <c r="BW86" s="2" t="s">
        <v>91</v>
      </c>
      <c r="BX86" s="2" t="s">
        <v>91</v>
      </c>
      <c r="BY86" s="2" t="s">
        <v>91</v>
      </c>
      <c r="BZ86" s="2" t="s">
        <v>98</v>
      </c>
      <c r="CA86" s="2" t="s">
        <v>98</v>
      </c>
      <c r="CB86">
        <f>TTEST(AS86:AW86,AI86:AM86,2,2)</f>
        <v>5.5393313421638777E-5</v>
      </c>
      <c r="CC86">
        <f>TTEST(AD86:AH86,AI86:AM86,2,2)</f>
        <v>4.7528881182132022E-8</v>
      </c>
      <c r="CD86">
        <f>TTEST(AN86:AR86,AI86:AM86,2,2)</f>
        <v>7.6788585733355036E-2</v>
      </c>
      <c r="CE86">
        <f>TTEST(AX86:BB86,AI86:AM86,2,2)</f>
        <v>1.6026398985555849E-2</v>
      </c>
      <c r="CF86">
        <v>55</v>
      </c>
      <c r="CG86">
        <v>14</v>
      </c>
      <c r="CH86">
        <v>128</v>
      </c>
      <c r="CI86">
        <v>88</v>
      </c>
      <c r="CJ86">
        <f>0.05*CF86/464</f>
        <v>5.9267241379310342E-3</v>
      </c>
      <c r="CK86">
        <f>0.05*CG86/464</f>
        <v>1.5086206896551726E-3</v>
      </c>
      <c r="CL86">
        <f>0.05*CH86/464</f>
        <v>1.3793103448275864E-2</v>
      </c>
      <c r="CM86">
        <f>0.05*CI86/464</f>
        <v>9.4827586206896568E-3</v>
      </c>
      <c r="CN86" t="str">
        <f>IF(CB86&lt;CJ86,"yes","no")</f>
        <v>yes</v>
      </c>
      <c r="CO86" t="str">
        <f>IF(CC86&lt;CK86,"yes","no")</f>
        <v>yes</v>
      </c>
      <c r="CP86" t="str">
        <f>IF(CD86&lt;CL86,"yes","no")</f>
        <v>no</v>
      </c>
      <c r="CQ86" t="str">
        <f>IF(CE86&lt;CM86,"yes","no")</f>
        <v>no</v>
      </c>
      <c r="CR86">
        <f>TTEST(AS86:AW86,AD86:AH86,2,2)</f>
        <v>7.5628991735877523E-7</v>
      </c>
      <c r="CS86">
        <f>TTEST(AS86:AW86,AN86:AR86,2,2)</f>
        <v>1.9291216322326796E-4</v>
      </c>
      <c r="CT86">
        <f>TTEST(AS86:AW86,AX86:BB86,2,2)</f>
        <v>1.6791619592123215E-3</v>
      </c>
      <c r="CU86">
        <v>47</v>
      </c>
      <c r="CV86">
        <v>60</v>
      </c>
      <c r="CW86">
        <v>85</v>
      </c>
      <c r="CX86">
        <f t="shared" si="3"/>
        <v>5.0646551724137937E-3</v>
      </c>
      <c r="CY86">
        <f t="shared" si="4"/>
        <v>6.4655172413793103E-3</v>
      </c>
      <c r="CZ86">
        <f t="shared" si="5"/>
        <v>9.1594827586206889E-3</v>
      </c>
      <c r="DA86" t="str">
        <f>IF(CR86&lt;CX86,"yes","no")</f>
        <v>yes</v>
      </c>
      <c r="DB86" t="str">
        <f>IF(CS86&lt;CY86,"yes","no")</f>
        <v>yes</v>
      </c>
      <c r="DC86" t="str">
        <f>IF(CT86&lt;CZ86,"yes","no")</f>
        <v>yes</v>
      </c>
    </row>
    <row r="87" spans="1:107" x14ac:dyDescent="0.2">
      <c r="A87" s="2" t="b">
        <v>0</v>
      </c>
      <c r="B87" s="2" t="s">
        <v>79</v>
      </c>
      <c r="C87" s="2" t="s">
        <v>80</v>
      </c>
      <c r="D87" s="2" t="s">
        <v>967</v>
      </c>
      <c r="E87" s="2" t="s">
        <v>968</v>
      </c>
      <c r="F87" s="2">
        <v>2</v>
      </c>
      <c r="G87" s="2">
        <v>2</v>
      </c>
      <c r="H87" s="2">
        <v>12.9</v>
      </c>
      <c r="I87" s="2">
        <v>6.1</v>
      </c>
      <c r="J87" s="2" t="s">
        <v>254</v>
      </c>
      <c r="K87" s="2" t="s">
        <v>84</v>
      </c>
      <c r="L87" s="2" t="s">
        <v>83</v>
      </c>
      <c r="M87" s="2" t="s">
        <v>969</v>
      </c>
      <c r="N87" s="2" t="s">
        <v>967</v>
      </c>
      <c r="O87" s="2">
        <v>5.2190000000000003</v>
      </c>
      <c r="P87" s="2">
        <v>1.7629999999999999</v>
      </c>
      <c r="Q87" s="2">
        <v>2.5670000000000002</v>
      </c>
      <c r="R87" s="2">
        <v>0.22800000000000001</v>
      </c>
      <c r="S87" s="2">
        <v>3.2</v>
      </c>
      <c r="T87" s="2">
        <v>0.69399999999999995</v>
      </c>
      <c r="U87" s="2">
        <v>0.66100000000000003</v>
      </c>
      <c r="V87" s="2">
        <v>0.28699999999999998</v>
      </c>
      <c r="W87" s="2">
        <v>0.58799999999999997</v>
      </c>
      <c r="X87" s="2">
        <v>1.1499999999999999</v>
      </c>
      <c r="Y87" s="2">
        <v>32</v>
      </c>
      <c r="Z87" s="2">
        <v>47.2</v>
      </c>
      <c r="AA87" s="2">
        <v>272.10000000000002</v>
      </c>
      <c r="AB87" s="2">
        <v>63.3</v>
      </c>
      <c r="AC87" s="2">
        <v>85.4</v>
      </c>
      <c r="AD87" s="2">
        <v>869640.46875</v>
      </c>
      <c r="AE87" s="2">
        <v>803433.625</v>
      </c>
      <c r="AF87" s="2">
        <v>685877.5</v>
      </c>
      <c r="AG87" s="2">
        <v>875182.125</v>
      </c>
      <c r="AH87" s="2">
        <v>973807.15625</v>
      </c>
      <c r="AI87" s="2">
        <v>57933.95703125</v>
      </c>
      <c r="AJ87" s="2">
        <v>24588.42578125</v>
      </c>
      <c r="AK87" s="2">
        <v>58786.005371093801</v>
      </c>
      <c r="AL87" s="2">
        <v>31776.478515625</v>
      </c>
      <c r="AM87" s="2">
        <v>18738.5390625</v>
      </c>
      <c r="AN87" s="2">
        <v>87502.087890625</v>
      </c>
      <c r="AO87" s="2">
        <v>101860.14160156299</v>
      </c>
      <c r="AP87" s="2">
        <v>109363.537109375</v>
      </c>
      <c r="AQ87" s="2">
        <v>176574.05859375</v>
      </c>
      <c r="AR87" s="2">
        <v>204929.984375</v>
      </c>
      <c r="AS87" s="2">
        <v>244730.1875</v>
      </c>
      <c r="AT87" s="2">
        <v>335700.640625</v>
      </c>
      <c r="AU87" s="2">
        <v>156236.3203125</v>
      </c>
      <c r="AV87" s="2">
        <v>219861.375</v>
      </c>
      <c r="AW87" s="2">
        <v>272961.890625</v>
      </c>
      <c r="AX87" s="2">
        <v>129837.82421875</v>
      </c>
      <c r="AY87" s="2">
        <v>82908.71875</v>
      </c>
      <c r="AZ87" s="2">
        <v>120347.080078125</v>
      </c>
      <c r="BA87" s="2">
        <v>108529.92578125</v>
      </c>
      <c r="BB87" s="2">
        <v>80061.25</v>
      </c>
      <c r="BC87" s="2" t="s">
        <v>79</v>
      </c>
      <c r="BD87" s="2" t="s">
        <v>79</v>
      </c>
      <c r="BE87" s="2" t="s">
        <v>79</v>
      </c>
      <c r="BF87" s="2" t="s">
        <v>79</v>
      </c>
      <c r="BG87" s="2" t="s">
        <v>79</v>
      </c>
      <c r="BH87" s="2" t="s">
        <v>91</v>
      </c>
      <c r="BI87" s="2" t="s">
        <v>91</v>
      </c>
      <c r="BJ87" s="2" t="s">
        <v>91</v>
      </c>
      <c r="BK87" s="2" t="s">
        <v>91</v>
      </c>
      <c r="BL87" s="2" t="s">
        <v>91</v>
      </c>
      <c r="BM87" s="2" t="s">
        <v>91</v>
      </c>
      <c r="BN87" s="2" t="s">
        <v>91</v>
      </c>
      <c r="BO87" s="2" t="s">
        <v>91</v>
      </c>
      <c r="BP87" s="2" t="s">
        <v>79</v>
      </c>
      <c r="BQ87" s="2" t="s">
        <v>79</v>
      </c>
      <c r="BR87" s="2" t="s">
        <v>79</v>
      </c>
      <c r="BS87" s="2" t="s">
        <v>79</v>
      </c>
      <c r="BT87" s="2" t="s">
        <v>79</v>
      </c>
      <c r="BU87" s="2" t="s">
        <v>79</v>
      </c>
      <c r="BV87" s="2" t="s">
        <v>79</v>
      </c>
      <c r="BW87" s="2" t="s">
        <v>79</v>
      </c>
      <c r="BX87" s="2" t="s">
        <v>91</v>
      </c>
      <c r="BY87" s="2" t="s">
        <v>91</v>
      </c>
      <c r="BZ87" s="2" t="s">
        <v>91</v>
      </c>
      <c r="CA87" s="2" t="s">
        <v>91</v>
      </c>
      <c r="CB87">
        <f>TTEST(AS87:AW87,AI87:AM87,2,2)</f>
        <v>1.4579497649739096E-4</v>
      </c>
      <c r="CC87">
        <f>TTEST(AD87:AH87,AI87:AM87,2,2)</f>
        <v>1.7076584021374507E-7</v>
      </c>
      <c r="CD87">
        <f>TTEST(AN87:AR87,AI87:AM87,2,2)</f>
        <v>4.0577708344035303E-3</v>
      </c>
      <c r="CE87">
        <f>TTEST(AX87:BB87,AI87:AM87,2,2)</f>
        <v>9.6917712529510014E-4</v>
      </c>
      <c r="CF87">
        <v>72</v>
      </c>
      <c r="CG87">
        <v>26</v>
      </c>
      <c r="CH87">
        <v>85</v>
      </c>
      <c r="CI87">
        <v>53</v>
      </c>
      <c r="CJ87">
        <f>0.05*CF87/464</f>
        <v>7.7586206896551723E-3</v>
      </c>
      <c r="CK87">
        <f>0.05*CG87/464</f>
        <v>2.8017241379310344E-3</v>
      </c>
      <c r="CL87">
        <f>0.05*CH87/464</f>
        <v>9.1594827586206889E-3</v>
      </c>
      <c r="CM87">
        <f>0.05*CI87/464</f>
        <v>5.7112068965517251E-3</v>
      </c>
      <c r="CN87" t="str">
        <f>IF(CB87&lt;CJ87,"yes","no")</f>
        <v>yes</v>
      </c>
      <c r="CO87" t="str">
        <f>IF(CC87&lt;CK87,"yes","no")</f>
        <v>yes</v>
      </c>
      <c r="CP87" t="str">
        <f>IF(CD87&lt;CL87,"yes","no")</f>
        <v>yes</v>
      </c>
      <c r="CQ87" t="str">
        <f>IF(CE87&lt;CM87,"yes","no")</f>
        <v>yes</v>
      </c>
      <c r="CR87">
        <f>TTEST(AS87:AW87,AD87:AH87,2,2)</f>
        <v>5.3080955737369466E-6</v>
      </c>
      <c r="CS87">
        <f>TTEST(AS87:AW87,AN87:AR87,2,2)</f>
        <v>1.9038824258483803E-2</v>
      </c>
      <c r="CT87">
        <f>TTEST(AS87:AW87,AX87:BB87,2,2)</f>
        <v>1.9118265406391139E-3</v>
      </c>
      <c r="CU87">
        <v>82</v>
      </c>
      <c r="CV87">
        <v>146</v>
      </c>
      <c r="CW87">
        <v>86</v>
      </c>
      <c r="CX87">
        <f t="shared" si="3"/>
        <v>8.8362068965517244E-3</v>
      </c>
      <c r="CY87">
        <f t="shared" si="4"/>
        <v>1.5732758620689655E-2</v>
      </c>
      <c r="CZ87">
        <f t="shared" si="5"/>
        <v>9.2672413793103443E-3</v>
      </c>
      <c r="DA87" t="str">
        <f>IF(CR87&lt;CX87,"yes","no")</f>
        <v>yes</v>
      </c>
      <c r="DB87" t="str">
        <f>IF(CS87&lt;CY87,"yes","no")</f>
        <v>no</v>
      </c>
      <c r="DC87" t="str">
        <f>IF(CT87&lt;CZ87,"yes","no")</f>
        <v>yes</v>
      </c>
    </row>
    <row r="88" spans="1:107" x14ac:dyDescent="0.2">
      <c r="A88" s="2" t="b">
        <v>0</v>
      </c>
      <c r="B88" s="2" t="s">
        <v>79</v>
      </c>
      <c r="C88" s="2" t="s">
        <v>80</v>
      </c>
      <c r="D88" s="2" t="s">
        <v>142</v>
      </c>
      <c r="E88" s="2" t="s">
        <v>143</v>
      </c>
      <c r="F88" s="2">
        <v>41</v>
      </c>
      <c r="G88" s="2">
        <v>4</v>
      </c>
      <c r="H88" s="2">
        <v>226.5</v>
      </c>
      <c r="I88" s="2">
        <v>5.64</v>
      </c>
      <c r="J88" s="2" t="s">
        <v>144</v>
      </c>
      <c r="K88" s="2" t="s">
        <v>145</v>
      </c>
      <c r="L88" s="2" t="s">
        <v>146</v>
      </c>
      <c r="M88" s="2" t="s">
        <v>147</v>
      </c>
      <c r="N88" s="2" t="s">
        <v>142</v>
      </c>
      <c r="O88" s="2">
        <v>23.283999999999999</v>
      </c>
      <c r="P88" s="2">
        <v>2.2679999999999998</v>
      </c>
      <c r="Q88" s="2">
        <v>3.4369999999999998</v>
      </c>
      <c r="R88" s="2">
        <v>0.2</v>
      </c>
      <c r="S88" s="2">
        <v>6.399</v>
      </c>
      <c r="T88" s="2">
        <v>0.50900000000000001</v>
      </c>
      <c r="U88" s="2">
        <v>0.81</v>
      </c>
      <c r="V88" s="2">
        <v>0.10199999999999999</v>
      </c>
      <c r="W88" s="2">
        <v>0.185</v>
      </c>
      <c r="X88" s="2">
        <v>1.504</v>
      </c>
      <c r="Y88" s="2">
        <v>32.4</v>
      </c>
      <c r="Z88" s="2">
        <v>34.4</v>
      </c>
      <c r="AA88" s="2">
        <v>334.2</v>
      </c>
      <c r="AB88" s="2">
        <v>40.6</v>
      </c>
      <c r="AC88" s="2">
        <v>58.4</v>
      </c>
      <c r="AD88" s="2">
        <v>15161635.095703101</v>
      </c>
      <c r="AE88" s="2">
        <v>13620810.34375</v>
      </c>
      <c r="AF88" s="2">
        <v>13989677.478515601</v>
      </c>
      <c r="AG88" s="2">
        <v>12891994.619140601</v>
      </c>
      <c r="AH88" s="2">
        <v>15231637.84375</v>
      </c>
      <c r="AI88" s="2">
        <v>361796.22399902297</v>
      </c>
      <c r="AJ88" s="2">
        <v>286052.42138671898</v>
      </c>
      <c r="AK88" s="2">
        <v>273084.91503906302</v>
      </c>
      <c r="AL88" s="2">
        <v>1159994.6066894501</v>
      </c>
      <c r="AM88" s="2">
        <v>239666.75</v>
      </c>
      <c r="AN88" s="2">
        <v>2500505.4130859398</v>
      </c>
      <c r="AO88" s="2">
        <v>2683058.6501464802</v>
      </c>
      <c r="AP88" s="2">
        <v>3438588.9848632799</v>
      </c>
      <c r="AQ88" s="2">
        <v>2735962.2207031301</v>
      </c>
      <c r="AR88" s="2">
        <v>3900155.984375</v>
      </c>
      <c r="AS88" s="2">
        <v>2525329.4482421898</v>
      </c>
      <c r="AT88" s="2">
        <v>4458332.6152343797</v>
      </c>
      <c r="AU88" s="2">
        <v>2399144.0590820299</v>
      </c>
      <c r="AV88" s="2">
        <v>2688626.9873046898</v>
      </c>
      <c r="AW88" s="2">
        <v>3526276.7011718801</v>
      </c>
      <c r="AX88" s="2">
        <v>1302862.5615234401</v>
      </c>
      <c r="AY88" s="2">
        <v>1257232.7607421901</v>
      </c>
      <c r="AZ88" s="2">
        <v>1448326.3984375</v>
      </c>
      <c r="BA88" s="2">
        <v>1563277.8193359401</v>
      </c>
      <c r="BB88" s="2">
        <v>1326674.3837890599</v>
      </c>
      <c r="BC88" s="2" t="s">
        <v>79</v>
      </c>
      <c r="BD88" s="2" t="s">
        <v>79</v>
      </c>
      <c r="BE88" s="2" t="s">
        <v>79</v>
      </c>
      <c r="BF88" s="2" t="s">
        <v>79</v>
      </c>
      <c r="BG88" s="2" t="s">
        <v>79</v>
      </c>
      <c r="BH88" s="2" t="s">
        <v>91</v>
      </c>
      <c r="BI88" s="2" t="s">
        <v>91</v>
      </c>
      <c r="BJ88" s="2" t="s">
        <v>91</v>
      </c>
      <c r="BK88" s="2" t="s">
        <v>79</v>
      </c>
      <c r="BL88" s="2" t="s">
        <v>91</v>
      </c>
      <c r="BM88" s="2" t="s">
        <v>79</v>
      </c>
      <c r="BN88" s="2" t="s">
        <v>79</v>
      </c>
      <c r="BO88" s="2" t="s">
        <v>79</v>
      </c>
      <c r="BP88" s="2" t="s">
        <v>79</v>
      </c>
      <c r="BQ88" s="2" t="s">
        <v>79</v>
      </c>
      <c r="BR88" s="2" t="s">
        <v>79</v>
      </c>
      <c r="BS88" s="2" t="s">
        <v>79</v>
      </c>
      <c r="BT88" s="2" t="s">
        <v>79</v>
      </c>
      <c r="BU88" s="2" t="s">
        <v>79</v>
      </c>
      <c r="BV88" s="2" t="s">
        <v>79</v>
      </c>
      <c r="BW88" s="2" t="s">
        <v>91</v>
      </c>
      <c r="BX88" s="2" t="s">
        <v>91</v>
      </c>
      <c r="BY88" s="2" t="s">
        <v>79</v>
      </c>
      <c r="BZ88" s="2" t="s">
        <v>91</v>
      </c>
      <c r="CA88" s="2" t="s">
        <v>79</v>
      </c>
      <c r="CB88">
        <f>TTEST(AS88:AW88,AI88:AM88,2,2)</f>
        <v>2.5001745073223154E-4</v>
      </c>
      <c r="CC88">
        <f>TTEST(AD88:AH88,AI88:AM88,2,2)</f>
        <v>2.6119183045297036E-9</v>
      </c>
      <c r="CD88">
        <f>TTEST(AN88:AR88,AI88:AM88,2,2)</f>
        <v>3.8624035264737048E-5</v>
      </c>
      <c r="CE88">
        <f>TTEST(AX88:BB88,AI88:AM88,2,2)</f>
        <v>1.076639915350866E-3</v>
      </c>
      <c r="CF88">
        <v>82</v>
      </c>
      <c r="CG88">
        <v>1</v>
      </c>
      <c r="CH88">
        <v>35</v>
      </c>
      <c r="CI88">
        <v>54</v>
      </c>
      <c r="CJ88">
        <f>0.05*CF88/464</f>
        <v>8.8362068965517244E-3</v>
      </c>
      <c r="CK88">
        <f>0.05*CG88/464</f>
        <v>1.0775862068965518E-4</v>
      </c>
      <c r="CL88">
        <f>0.05*CH88/464</f>
        <v>3.7715517241379312E-3</v>
      </c>
      <c r="CM88">
        <f>0.05*CI88/464</f>
        <v>5.8189655172413797E-3</v>
      </c>
      <c r="CN88" t="str">
        <f>IF(CB88&lt;CJ88,"yes","no")</f>
        <v>yes</v>
      </c>
      <c r="CO88" t="str">
        <f>IF(CC88&lt;CK88,"yes","no")</f>
        <v>yes</v>
      </c>
      <c r="CP88" t="str">
        <f>IF(CD88&lt;CL88,"yes","no")</f>
        <v>yes</v>
      </c>
      <c r="CQ88" t="str">
        <f>IF(CE88&lt;CM88,"yes","no")</f>
        <v>yes</v>
      </c>
      <c r="CR88">
        <f>TTEST(AS88:AW88,AD88:AH88,2,2)</f>
        <v>7.2884003365905624E-8</v>
      </c>
      <c r="CS88">
        <f>TTEST(AS88:AW88,AN88:AR88,2,2)</f>
        <v>0.88880522072061141</v>
      </c>
      <c r="CT88">
        <f>TTEST(AS88:AW88,AX88:BB88,2,2)</f>
        <v>2.1816342409297675E-3</v>
      </c>
      <c r="CU88">
        <v>12</v>
      </c>
      <c r="CV88">
        <v>263</v>
      </c>
      <c r="CW88">
        <v>87</v>
      </c>
      <c r="CX88">
        <f t="shared" si="3"/>
        <v>1.2931034482758623E-3</v>
      </c>
      <c r="CY88">
        <f t="shared" si="4"/>
        <v>2.8340517241379311E-2</v>
      </c>
      <c r="CZ88">
        <f t="shared" si="5"/>
        <v>9.3750000000000014E-3</v>
      </c>
      <c r="DA88" t="str">
        <f>IF(CR88&lt;CX88,"yes","no")</f>
        <v>yes</v>
      </c>
      <c r="DB88" t="str">
        <f>IF(CS88&lt;CY88,"yes","no")</f>
        <v>no</v>
      </c>
      <c r="DC88" t="str">
        <f>IF(CT88&lt;CZ88,"yes","no")</f>
        <v>yes</v>
      </c>
    </row>
    <row r="89" spans="1:107" x14ac:dyDescent="0.2">
      <c r="A89" s="2" t="b">
        <v>0</v>
      </c>
      <c r="B89" s="2" t="s">
        <v>79</v>
      </c>
      <c r="C89" s="2" t="s">
        <v>80</v>
      </c>
      <c r="D89" s="2" t="s">
        <v>818</v>
      </c>
      <c r="E89" s="2" t="s">
        <v>819</v>
      </c>
      <c r="F89" s="2">
        <v>5</v>
      </c>
      <c r="G89" s="2">
        <v>2</v>
      </c>
      <c r="H89" s="2">
        <v>19.8</v>
      </c>
      <c r="I89" s="2">
        <v>4.92</v>
      </c>
      <c r="J89" s="2" t="s">
        <v>83</v>
      </c>
      <c r="K89" s="2" t="s">
        <v>247</v>
      </c>
      <c r="L89" s="2" t="s">
        <v>146</v>
      </c>
      <c r="M89" s="2" t="s">
        <v>820</v>
      </c>
      <c r="N89" s="2" t="s">
        <v>818</v>
      </c>
      <c r="O89" s="2">
        <v>40.747999999999998</v>
      </c>
      <c r="P89" s="2">
        <v>2.78</v>
      </c>
      <c r="Q89" s="2">
        <v>4.181</v>
      </c>
      <c r="R89" s="2">
        <v>0.20799999999999999</v>
      </c>
      <c r="S89" s="2">
        <v>8.7590000000000003</v>
      </c>
      <c r="T89" s="2">
        <v>0.59499999999999997</v>
      </c>
      <c r="U89" s="2">
        <v>1.081</v>
      </c>
      <c r="V89" s="2">
        <v>8.8999999999999996E-2</v>
      </c>
      <c r="W89" s="2">
        <v>0.111</v>
      </c>
      <c r="X89" s="2">
        <v>1.196</v>
      </c>
      <c r="Y89" s="2">
        <v>6.1</v>
      </c>
      <c r="Z89" s="2">
        <v>32.299999999999997</v>
      </c>
      <c r="AA89" s="2">
        <v>399</v>
      </c>
      <c r="AB89" s="2">
        <v>25.5</v>
      </c>
      <c r="AC89" s="2">
        <v>37.1</v>
      </c>
      <c r="AD89" s="2">
        <v>262477.708984375</v>
      </c>
      <c r="AE89" s="2">
        <v>389214.39453125</v>
      </c>
      <c r="AF89" s="2">
        <v>314180.796875</v>
      </c>
      <c r="AG89" s="2">
        <v>403524.93359375</v>
      </c>
      <c r="AH89" s="2">
        <v>137561.984375</v>
      </c>
      <c r="AI89" s="2">
        <v>40404.7998046875</v>
      </c>
      <c r="AJ89" s="2">
        <v>49294.0517578125</v>
      </c>
      <c r="AK89" s="2">
        <v>37300.25390625</v>
      </c>
      <c r="AL89" s="2">
        <v>51140.328125</v>
      </c>
      <c r="AM89" s="2">
        <v>24214.273925781301</v>
      </c>
      <c r="AN89" s="2">
        <v>393906.8359375</v>
      </c>
      <c r="AO89" s="2">
        <v>375505.6171875</v>
      </c>
      <c r="AP89" s="2">
        <v>346268.09765625</v>
      </c>
      <c r="AQ89" s="2">
        <v>416378.921875</v>
      </c>
      <c r="AR89" s="2">
        <v>582092.5625</v>
      </c>
      <c r="AS89" s="2">
        <v>203818.40625</v>
      </c>
      <c r="AT89" s="2">
        <v>312467.99609375</v>
      </c>
      <c r="AU89" s="2">
        <v>143174.36035156299</v>
      </c>
      <c r="AV89" s="2">
        <v>213498.18603515599</v>
      </c>
      <c r="AW89" s="2">
        <v>278281.53125</v>
      </c>
      <c r="AX89" s="2">
        <v>103467.689453125</v>
      </c>
      <c r="AY89" s="2">
        <v>61294.8515625</v>
      </c>
      <c r="AZ89" s="2">
        <v>70750.30078125</v>
      </c>
      <c r="BA89" s="2">
        <v>114546.81640625</v>
      </c>
      <c r="BB89" s="2">
        <v>109399.08496093799</v>
      </c>
      <c r="BC89" s="2" t="s">
        <v>79</v>
      </c>
      <c r="BD89" s="2" t="s">
        <v>79</v>
      </c>
      <c r="BE89" s="2" t="s">
        <v>91</v>
      </c>
      <c r="BF89" s="2" t="s">
        <v>79</v>
      </c>
      <c r="BG89" s="2" t="s">
        <v>79</v>
      </c>
      <c r="BH89" s="2" t="s">
        <v>91</v>
      </c>
      <c r="BI89" s="2" t="s">
        <v>91</v>
      </c>
      <c r="BJ89" s="2" t="s">
        <v>98</v>
      </c>
      <c r="BK89" s="2" t="s">
        <v>98</v>
      </c>
      <c r="BL89" s="2" t="s">
        <v>98</v>
      </c>
      <c r="BM89" s="2" t="s">
        <v>79</v>
      </c>
      <c r="BN89" s="2" t="s">
        <v>79</v>
      </c>
      <c r="BO89" s="2" t="s">
        <v>79</v>
      </c>
      <c r="BP89" s="2" t="s">
        <v>79</v>
      </c>
      <c r="BQ89" s="2" t="s">
        <v>79</v>
      </c>
      <c r="BR89" s="2" t="s">
        <v>79</v>
      </c>
      <c r="BS89" s="2" t="s">
        <v>79</v>
      </c>
      <c r="BT89" s="2" t="s">
        <v>91</v>
      </c>
      <c r="BU89" s="2" t="s">
        <v>79</v>
      </c>
      <c r="BV89" s="2" t="s">
        <v>79</v>
      </c>
      <c r="BW89" s="2" t="s">
        <v>91</v>
      </c>
      <c r="BX89" s="2" t="s">
        <v>98</v>
      </c>
      <c r="BY89" s="2" t="s">
        <v>91</v>
      </c>
      <c r="BZ89" s="2" t="s">
        <v>91</v>
      </c>
      <c r="CA89" s="2" t="s">
        <v>98</v>
      </c>
      <c r="CB89">
        <f>TTEST(AS89:AW89,AI89:AM89,2,2)</f>
        <v>2.3043934739681087E-4</v>
      </c>
      <c r="CC89">
        <f>TTEST(AD89:AH89,AI89:AM89,2,2)</f>
        <v>6.6554713546440917E-4</v>
      </c>
      <c r="CD89">
        <f>TTEST(AN89:AR89,AI89:AM89,2,2)</f>
        <v>1.6210570022698699E-5</v>
      </c>
      <c r="CE89">
        <f>TTEST(AX89:BB89,AI89:AM89,2,2)</f>
        <v>2.466378641091894E-3</v>
      </c>
      <c r="CF89">
        <v>79</v>
      </c>
      <c r="CG89">
        <v>129</v>
      </c>
      <c r="CH89">
        <v>26</v>
      </c>
      <c r="CI89">
        <v>64</v>
      </c>
      <c r="CJ89">
        <f>0.05*CF89/464</f>
        <v>8.5129310344827583E-3</v>
      </c>
      <c r="CK89">
        <f>0.05*CG89/464</f>
        <v>1.3900862068965517E-2</v>
      </c>
      <c r="CL89">
        <f>0.05*CH89/464</f>
        <v>2.8017241379310344E-3</v>
      </c>
      <c r="CM89">
        <f>0.05*CI89/464</f>
        <v>6.8965517241379318E-3</v>
      </c>
      <c r="CN89" t="str">
        <f>IF(CB89&lt;CJ89,"yes","no")</f>
        <v>yes</v>
      </c>
      <c r="CO89" t="str">
        <f>IF(CC89&lt;CK89,"yes","no")</f>
        <v>yes</v>
      </c>
      <c r="CP89" t="str">
        <f>IF(CD89&lt;CL89,"yes","no")</f>
        <v>yes</v>
      </c>
      <c r="CQ89" t="str">
        <f>IF(CE89&lt;CM89,"yes","no")</f>
        <v>yes</v>
      </c>
      <c r="CR89">
        <f>TTEST(AS89:AW89,AD89:AH89,2,2)</f>
        <v>0.24496204465274757</v>
      </c>
      <c r="CS89">
        <f>TTEST(AS89:AW89,AN89:AR89,2,2)</f>
        <v>5.4046623342278166E-3</v>
      </c>
      <c r="CT89">
        <f>TTEST(AS89:AW89,AX89:BB89,2,2)</f>
        <v>2.3518424542176789E-3</v>
      </c>
      <c r="CU89">
        <v>280</v>
      </c>
      <c r="CV89">
        <v>120</v>
      </c>
      <c r="CW89">
        <v>88</v>
      </c>
      <c r="CX89">
        <f t="shared" si="3"/>
        <v>3.017241379310345E-2</v>
      </c>
      <c r="CY89">
        <f t="shared" si="4"/>
        <v>1.2931034482758621E-2</v>
      </c>
      <c r="CZ89">
        <f t="shared" si="5"/>
        <v>9.4827586206896568E-3</v>
      </c>
      <c r="DA89" t="str">
        <f>IF(CR89&lt;CX89,"yes","no")</f>
        <v>no</v>
      </c>
      <c r="DB89" t="str">
        <f>IF(CS89&lt;CY89,"yes","no")</f>
        <v>yes</v>
      </c>
      <c r="DC89" t="str">
        <f>IF(CT89&lt;CZ89,"yes","no")</f>
        <v>yes</v>
      </c>
    </row>
    <row r="90" spans="1:107" x14ac:dyDescent="0.2">
      <c r="A90" s="2" t="b">
        <v>0</v>
      </c>
      <c r="B90" s="2" t="s">
        <v>79</v>
      </c>
      <c r="C90" s="2" t="s">
        <v>80</v>
      </c>
      <c r="D90" s="2" t="s">
        <v>784</v>
      </c>
      <c r="E90" s="2" t="s">
        <v>785</v>
      </c>
      <c r="F90" s="2">
        <v>4</v>
      </c>
      <c r="G90" s="2">
        <v>3</v>
      </c>
      <c r="H90" s="2">
        <v>10.4</v>
      </c>
      <c r="I90" s="2">
        <v>8</v>
      </c>
      <c r="J90" s="2" t="s">
        <v>83</v>
      </c>
      <c r="K90" s="2" t="s">
        <v>83</v>
      </c>
      <c r="L90" s="2" t="s">
        <v>83</v>
      </c>
      <c r="M90" s="2" t="s">
        <v>83</v>
      </c>
      <c r="N90" s="2" t="s">
        <v>784</v>
      </c>
      <c r="O90" s="2">
        <v>2.391</v>
      </c>
      <c r="P90" s="2">
        <v>0.44700000000000001</v>
      </c>
      <c r="Q90" s="2">
        <v>0.20399999999999999</v>
      </c>
      <c r="R90" s="2">
        <v>100</v>
      </c>
      <c r="S90" s="2">
        <v>100</v>
      </c>
      <c r="T90" s="2">
        <v>100</v>
      </c>
      <c r="U90" s="2">
        <v>100</v>
      </c>
      <c r="V90" s="2">
        <v>0.19800000000000001</v>
      </c>
      <c r="W90" s="2">
        <v>8.3000000000000004E-2</v>
      </c>
      <c r="X90" s="2">
        <v>0.43099999999999999</v>
      </c>
      <c r="Y90" s="2">
        <v>123.6</v>
      </c>
      <c r="Z90" s="2" t="s">
        <v>83</v>
      </c>
      <c r="AA90" s="2">
        <v>295.89999999999998</v>
      </c>
      <c r="AB90" s="2">
        <v>55.3</v>
      </c>
      <c r="AC90" s="2">
        <v>25.3</v>
      </c>
      <c r="AD90" s="2">
        <v>1561844.625</v>
      </c>
      <c r="AE90" s="2">
        <v>1204189.125</v>
      </c>
      <c r="AF90" s="2">
        <v>1240470</v>
      </c>
      <c r="AG90" s="2">
        <v>1645640.625</v>
      </c>
      <c r="AH90" s="2">
        <v>1804340.5</v>
      </c>
      <c r="AI90" s="2" t="s">
        <v>83</v>
      </c>
      <c r="AJ90" s="2" t="s">
        <v>83</v>
      </c>
      <c r="AK90" s="2" t="s">
        <v>83</v>
      </c>
      <c r="AL90" s="2" t="s">
        <v>83</v>
      </c>
      <c r="AM90" s="2" t="s">
        <v>83</v>
      </c>
      <c r="AN90" s="2">
        <v>46526.546875</v>
      </c>
      <c r="AO90" s="2">
        <v>58831.17578125</v>
      </c>
      <c r="AP90" s="2">
        <v>126558.6796875</v>
      </c>
      <c r="AQ90" s="2">
        <v>59447.8359375</v>
      </c>
      <c r="AR90" s="2">
        <v>86948.84375</v>
      </c>
      <c r="AS90" s="2">
        <v>89013.234375</v>
      </c>
      <c r="AT90" s="2">
        <v>145549.109375</v>
      </c>
      <c r="AU90" s="2">
        <v>79942.140625</v>
      </c>
      <c r="AV90" s="2">
        <v>86789.9921875</v>
      </c>
      <c r="AW90" s="2">
        <v>123728.8203125</v>
      </c>
      <c r="AX90" s="2">
        <v>11784.4775390625</v>
      </c>
      <c r="AY90" s="2">
        <v>28677.0068359375</v>
      </c>
      <c r="AZ90" s="2" t="s">
        <v>83</v>
      </c>
      <c r="BA90" s="2" t="s">
        <v>83</v>
      </c>
      <c r="BB90" s="2">
        <v>13837.9443359375</v>
      </c>
      <c r="BC90" s="2" t="s">
        <v>79</v>
      </c>
      <c r="BD90" s="2" t="s">
        <v>79</v>
      </c>
      <c r="BE90" s="2" t="s">
        <v>79</v>
      </c>
      <c r="BF90" s="2" t="s">
        <v>79</v>
      </c>
      <c r="BG90" s="2" t="s">
        <v>79</v>
      </c>
      <c r="BH90" s="2" t="s">
        <v>98</v>
      </c>
      <c r="BI90" s="2" t="s">
        <v>98</v>
      </c>
      <c r="BJ90" s="2" t="s">
        <v>98</v>
      </c>
      <c r="BK90" s="2" t="s">
        <v>98</v>
      </c>
      <c r="BL90" s="2" t="s">
        <v>98</v>
      </c>
      <c r="BM90" s="2" t="s">
        <v>98</v>
      </c>
      <c r="BN90" s="2" t="s">
        <v>98</v>
      </c>
      <c r="BO90" s="2" t="s">
        <v>98</v>
      </c>
      <c r="BP90" s="2" t="s">
        <v>98</v>
      </c>
      <c r="BQ90" s="2" t="s">
        <v>98</v>
      </c>
      <c r="BR90" s="2" t="s">
        <v>98</v>
      </c>
      <c r="BS90" s="2" t="s">
        <v>98</v>
      </c>
      <c r="BT90" s="2" t="s">
        <v>98</v>
      </c>
      <c r="BU90" s="2" t="s">
        <v>98</v>
      </c>
      <c r="BV90" s="2" t="s">
        <v>98</v>
      </c>
      <c r="BW90" s="2" t="s">
        <v>98</v>
      </c>
      <c r="BX90" s="2" t="s">
        <v>98</v>
      </c>
      <c r="BY90" s="2" t="s">
        <v>98</v>
      </c>
      <c r="BZ90" s="2" t="s">
        <v>98</v>
      </c>
      <c r="CA90" s="2" t="s">
        <v>98</v>
      </c>
      <c r="CB90" t="e">
        <f>TTEST(AS90:AW90,AI90:AM90,2,2)</f>
        <v>#DIV/0!</v>
      </c>
      <c r="CC90" t="e">
        <f>TTEST(AD90:AH90,AI90:AM90,2,2)</f>
        <v>#DIV/0!</v>
      </c>
      <c r="CD90" t="e">
        <f>TTEST(AN90:AR90,AI90:AM90,2,2)</f>
        <v>#DIV/0!</v>
      </c>
      <c r="CE90" t="e">
        <f>TTEST(AX90:BB90,AI90:AM90,2,2)</f>
        <v>#DIV/0!</v>
      </c>
      <c r="CF90">
        <v>242</v>
      </c>
      <c r="CG90">
        <v>256</v>
      </c>
      <c r="CH90">
        <v>260</v>
      </c>
      <c r="CI90">
        <v>263</v>
      </c>
      <c r="CJ90">
        <f>0.05*CF90/464</f>
        <v>2.6077586206896555E-2</v>
      </c>
      <c r="CK90">
        <f>0.05*CG90/464</f>
        <v>2.7586206896551727E-2</v>
      </c>
      <c r="CL90">
        <f>0.05*CH90/464</f>
        <v>2.8017241379310345E-2</v>
      </c>
      <c r="CM90">
        <f>0.05*CI90/464</f>
        <v>2.8340517241379311E-2</v>
      </c>
      <c r="CN90" t="e">
        <f>IF(CB90&lt;CJ90,"yes","no")</f>
        <v>#DIV/0!</v>
      </c>
      <c r="CO90" t="e">
        <f>IF(CC90&lt;CK90,"yes","no")</f>
        <v>#DIV/0!</v>
      </c>
      <c r="CP90" t="e">
        <f>IF(CD90&lt;CL90,"yes","no")</f>
        <v>#DIV/0!</v>
      </c>
      <c r="CQ90" t="e">
        <f>IF(CE90&lt;CM90,"yes","no")</f>
        <v>#DIV/0!</v>
      </c>
      <c r="CR90">
        <f>TTEST(AS90:AW90,AD90:AH90,2,2)</f>
        <v>2.4134138076106255E-6</v>
      </c>
      <c r="CS90">
        <f>TTEST(AS90:AW90,AN90:AR90,2,2)</f>
        <v>0.16371446313490889</v>
      </c>
      <c r="CT90">
        <f>TTEST(AS90:AW90,AX90:BB90,2,2)</f>
        <v>2.4190490479829387E-3</v>
      </c>
      <c r="CU90">
        <v>66</v>
      </c>
      <c r="CV90">
        <v>194</v>
      </c>
      <c r="CW90">
        <v>89</v>
      </c>
      <c r="CX90">
        <f t="shared" si="3"/>
        <v>7.1120689655172417E-3</v>
      </c>
      <c r="CY90">
        <f t="shared" si="4"/>
        <v>2.0905172413793107E-2</v>
      </c>
      <c r="CZ90">
        <f t="shared" si="5"/>
        <v>9.5905172413793104E-3</v>
      </c>
      <c r="DA90" t="str">
        <f>IF(CR90&lt;CX90,"yes","no")</f>
        <v>yes</v>
      </c>
      <c r="DB90" t="str">
        <f>IF(CS90&lt;CY90,"yes","no")</f>
        <v>no</v>
      </c>
      <c r="DC90" t="str">
        <f>IF(CT90&lt;CZ90,"yes","no")</f>
        <v>yes</v>
      </c>
    </row>
    <row r="91" spans="1:107" x14ac:dyDescent="0.2">
      <c r="A91" s="2" t="b">
        <v>0</v>
      </c>
      <c r="B91" s="2" t="s">
        <v>79</v>
      </c>
      <c r="C91" s="2" t="s">
        <v>80</v>
      </c>
      <c r="D91" s="2" t="s">
        <v>768</v>
      </c>
      <c r="E91" s="2" t="s">
        <v>769</v>
      </c>
      <c r="F91" s="2">
        <v>2</v>
      </c>
      <c r="G91" s="2">
        <v>2</v>
      </c>
      <c r="H91" s="2">
        <v>12.6</v>
      </c>
      <c r="I91" s="2">
        <v>4.6100000000000003</v>
      </c>
      <c r="J91" s="2" t="s">
        <v>83</v>
      </c>
      <c r="K91" s="2" t="s">
        <v>83</v>
      </c>
      <c r="L91" s="2" t="s">
        <v>83</v>
      </c>
      <c r="M91" s="2" t="s">
        <v>83</v>
      </c>
      <c r="N91" s="2" t="s">
        <v>768</v>
      </c>
      <c r="O91" s="2">
        <v>0.42599999999999999</v>
      </c>
      <c r="P91" s="2">
        <v>1.081</v>
      </c>
      <c r="Q91" s="2">
        <v>0.52</v>
      </c>
      <c r="R91" s="2">
        <v>2.2200000000000002</v>
      </c>
      <c r="S91" s="2">
        <v>0.91</v>
      </c>
      <c r="T91" s="2">
        <v>3.18</v>
      </c>
      <c r="U91" s="2">
        <v>1.155</v>
      </c>
      <c r="V91" s="2">
        <v>2.875</v>
      </c>
      <c r="W91" s="2">
        <v>1.27</v>
      </c>
      <c r="X91" s="2">
        <v>0.38300000000000001</v>
      </c>
      <c r="Y91" s="2">
        <v>153.9</v>
      </c>
      <c r="Z91" s="2">
        <v>55.3</v>
      </c>
      <c r="AA91" s="2">
        <v>50.4</v>
      </c>
      <c r="AB91" s="2">
        <v>176.5</v>
      </c>
      <c r="AC91" s="2">
        <v>63.9</v>
      </c>
      <c r="AD91" s="2">
        <v>1117292.609375</v>
      </c>
      <c r="AE91" s="2">
        <v>972085.5625</v>
      </c>
      <c r="AF91" s="2">
        <v>937774.828125</v>
      </c>
      <c r="AG91" s="2">
        <v>1157115.40625</v>
      </c>
      <c r="AH91" s="2">
        <v>1134311.453125</v>
      </c>
      <c r="AI91" s="2" t="s">
        <v>83</v>
      </c>
      <c r="AJ91" s="2">
        <v>9926.326171875</v>
      </c>
      <c r="AK91" s="2" t="s">
        <v>83</v>
      </c>
      <c r="AL91" s="2">
        <v>9237.5029296875</v>
      </c>
      <c r="AM91" s="2" t="s">
        <v>83</v>
      </c>
      <c r="AN91" s="2" t="s">
        <v>83</v>
      </c>
      <c r="AO91" s="2" t="s">
        <v>83</v>
      </c>
      <c r="AP91" s="2" t="s">
        <v>83</v>
      </c>
      <c r="AQ91" s="2" t="s">
        <v>83</v>
      </c>
      <c r="AR91" s="2">
        <v>8821.0458984375</v>
      </c>
      <c r="AS91" s="2">
        <v>152228.89453125</v>
      </c>
      <c r="AT91" s="2">
        <v>285761.5234375</v>
      </c>
      <c r="AU91" s="2">
        <v>144456.20703125</v>
      </c>
      <c r="AV91" s="2">
        <v>175637.30078125</v>
      </c>
      <c r="AW91" s="2">
        <v>298004.673828125</v>
      </c>
      <c r="AX91" s="2">
        <v>18322.642578125</v>
      </c>
      <c r="AY91" s="2">
        <v>47260.74609375</v>
      </c>
      <c r="AZ91" s="2">
        <v>52238.171875</v>
      </c>
      <c r="BA91" s="2">
        <v>8529.9462890625</v>
      </c>
      <c r="BB91" s="2" t="s">
        <v>83</v>
      </c>
      <c r="BC91" s="2" t="s">
        <v>79</v>
      </c>
      <c r="BD91" s="2" t="s">
        <v>79</v>
      </c>
      <c r="BE91" s="2" t="s">
        <v>79</v>
      </c>
      <c r="BF91" s="2" t="s">
        <v>79</v>
      </c>
      <c r="BG91" s="2" t="s">
        <v>79</v>
      </c>
      <c r="BH91" s="2" t="s">
        <v>98</v>
      </c>
      <c r="BI91" s="2" t="s">
        <v>91</v>
      </c>
      <c r="BJ91" s="2" t="s">
        <v>98</v>
      </c>
      <c r="BK91" s="2" t="s">
        <v>91</v>
      </c>
      <c r="BL91" s="2" t="s">
        <v>98</v>
      </c>
      <c r="BM91" s="2" t="s">
        <v>98</v>
      </c>
      <c r="BN91" s="2" t="s">
        <v>98</v>
      </c>
      <c r="BO91" s="2" t="s">
        <v>98</v>
      </c>
      <c r="BP91" s="2" t="s">
        <v>98</v>
      </c>
      <c r="BQ91" s="2" t="s">
        <v>91</v>
      </c>
      <c r="BR91" s="2" t="s">
        <v>79</v>
      </c>
      <c r="BS91" s="2" t="s">
        <v>79</v>
      </c>
      <c r="BT91" s="2" t="s">
        <v>79</v>
      </c>
      <c r="BU91" s="2" t="s">
        <v>79</v>
      </c>
      <c r="BV91" s="2" t="s">
        <v>79</v>
      </c>
      <c r="BW91" s="2" t="s">
        <v>91</v>
      </c>
      <c r="BX91" s="2" t="s">
        <v>91</v>
      </c>
      <c r="BY91" s="2" t="s">
        <v>91</v>
      </c>
      <c r="BZ91" s="2" t="s">
        <v>91</v>
      </c>
      <c r="CA91" s="2" t="s">
        <v>98</v>
      </c>
      <c r="CB91">
        <f>TTEST(AS91:AW91,AI91:AM91,2,2)</f>
        <v>1.539058798496719E-2</v>
      </c>
      <c r="CC91">
        <f>TTEST(AD91:AH91,AI91:AM91,2,2)</f>
        <v>3.4125910221371104E-5</v>
      </c>
      <c r="CD91" t="e">
        <f>TTEST(AN91:AR91,AI91:AM91,2,2)</f>
        <v>#DIV/0!</v>
      </c>
      <c r="CE91">
        <f>TTEST(AX91:BB91,AI91:AM91,2,2)</f>
        <v>0.24310433539459528</v>
      </c>
      <c r="CF91">
        <v>135</v>
      </c>
      <c r="CG91">
        <v>93</v>
      </c>
      <c r="CH91">
        <v>236</v>
      </c>
      <c r="CI91">
        <v>136</v>
      </c>
      <c r="CJ91">
        <f>0.05*CF91/464</f>
        <v>1.4547413793103448E-2</v>
      </c>
      <c r="CK91">
        <f>0.05*CG91/464</f>
        <v>1.0021551724137932E-2</v>
      </c>
      <c r="CL91">
        <f>0.05*CH91/464</f>
        <v>2.5431034482758623E-2</v>
      </c>
      <c r="CM91">
        <f>0.05*CI91/464</f>
        <v>1.4655172413793105E-2</v>
      </c>
      <c r="CN91" t="str">
        <f>IF(CB91&lt;CJ91,"yes","no")</f>
        <v>no</v>
      </c>
      <c r="CO91" t="str">
        <f>IF(CC91&lt;CK91,"yes","no")</f>
        <v>yes</v>
      </c>
      <c r="CP91" t="e">
        <f>IF(CD91&lt;CL91,"yes","no")</f>
        <v>#DIV/0!</v>
      </c>
      <c r="CQ91" t="str">
        <f>IF(CE91&lt;CM91,"yes","no")</f>
        <v>no</v>
      </c>
      <c r="CR91">
        <f>TTEST(AS91:AW91,AD91:AH91,2,2)</f>
        <v>3.523553626591401E-7</v>
      </c>
      <c r="CS91" t="e">
        <f>TTEST(AS91:AW91,AN91:AR91,2,2)</f>
        <v>#DIV/0!</v>
      </c>
      <c r="CT91">
        <f>TTEST(AS91:AW91,AX91:BB91,2,2)</f>
        <v>2.4701054605009349E-3</v>
      </c>
      <c r="CU91">
        <v>30</v>
      </c>
      <c r="CV91">
        <v>278</v>
      </c>
      <c r="CW91">
        <v>90</v>
      </c>
      <c r="CX91">
        <f t="shared" si="3"/>
        <v>3.2327586206896551E-3</v>
      </c>
      <c r="CY91">
        <f t="shared" si="4"/>
        <v>2.9956896551724139E-2</v>
      </c>
      <c r="CZ91">
        <f t="shared" si="5"/>
        <v>9.6982758620689658E-3</v>
      </c>
      <c r="DA91" t="str">
        <f>IF(CR91&lt;CX91,"yes","no")</f>
        <v>yes</v>
      </c>
      <c r="DB91" t="e">
        <f>IF(CS91&lt;CY91,"yes","no")</f>
        <v>#DIV/0!</v>
      </c>
      <c r="DC91" t="str">
        <f>IF(CT91&lt;CZ91,"yes","no")</f>
        <v>yes</v>
      </c>
    </row>
    <row r="92" spans="1:107" x14ac:dyDescent="0.2">
      <c r="A92" s="2" t="b">
        <v>0</v>
      </c>
      <c r="B92" s="2" t="s">
        <v>79</v>
      </c>
      <c r="C92" s="2" t="s">
        <v>80</v>
      </c>
      <c r="D92" s="2" t="s">
        <v>364</v>
      </c>
      <c r="E92" s="2" t="s">
        <v>365</v>
      </c>
      <c r="F92" s="2">
        <v>13</v>
      </c>
      <c r="G92" s="2">
        <v>13</v>
      </c>
      <c r="H92" s="2">
        <v>112.9</v>
      </c>
      <c r="I92" s="2">
        <v>5.99</v>
      </c>
      <c r="J92" s="2" t="s">
        <v>366</v>
      </c>
      <c r="K92" s="2" t="s">
        <v>179</v>
      </c>
      <c r="L92" s="2" t="s">
        <v>218</v>
      </c>
      <c r="M92" s="2" t="s">
        <v>367</v>
      </c>
      <c r="N92" s="2" t="s">
        <v>364</v>
      </c>
      <c r="O92" s="2">
        <v>22.997</v>
      </c>
      <c r="P92" s="2">
        <v>1.5920000000000001</v>
      </c>
      <c r="Q92" s="2">
        <v>2.4649999999999999</v>
      </c>
      <c r="R92" s="2">
        <v>1.02</v>
      </c>
      <c r="S92" s="2">
        <v>25.242999999999999</v>
      </c>
      <c r="T92" s="2">
        <v>1.7130000000000001</v>
      </c>
      <c r="U92" s="2">
        <v>1.704</v>
      </c>
      <c r="V92" s="2">
        <v>6.5000000000000002E-2</v>
      </c>
      <c r="W92" s="2">
        <v>9.6000000000000002E-2</v>
      </c>
      <c r="X92" s="2">
        <v>1.6830000000000001</v>
      </c>
      <c r="Y92" s="2">
        <v>19.899999999999999</v>
      </c>
      <c r="Z92" s="2">
        <v>10.5</v>
      </c>
      <c r="AA92" s="2">
        <v>430.5</v>
      </c>
      <c r="AB92" s="2">
        <v>24.8</v>
      </c>
      <c r="AC92" s="2">
        <v>14.3</v>
      </c>
      <c r="AD92" s="2">
        <v>2178581.4453125</v>
      </c>
      <c r="AE92" s="2">
        <v>1854515.3671875</v>
      </c>
      <c r="AF92" s="2">
        <v>1533277.0625</v>
      </c>
      <c r="AG92" s="2">
        <v>1542395.1015625</v>
      </c>
      <c r="AH92" s="2">
        <v>1447948.921875</v>
      </c>
      <c r="AI92" s="2">
        <v>23271.691894531301</v>
      </c>
      <c r="AJ92" s="2">
        <v>17211.1413574219</v>
      </c>
      <c r="AK92" s="2">
        <v>22095.5832519531</v>
      </c>
      <c r="AL92" s="2">
        <v>4622.47509765625</v>
      </c>
      <c r="AM92" s="2" t="s">
        <v>83</v>
      </c>
      <c r="AN92" s="2">
        <v>653189.27294921898</v>
      </c>
      <c r="AO92" s="2">
        <v>687905.93652343797</v>
      </c>
      <c r="AP92" s="2">
        <v>892477.1171875</v>
      </c>
      <c r="AQ92" s="2">
        <v>833282.88183593797</v>
      </c>
      <c r="AR92" s="2">
        <v>914867.45410156297</v>
      </c>
      <c r="AS92" s="2">
        <v>312432.13671875</v>
      </c>
      <c r="AT92" s="2">
        <v>648027.84375</v>
      </c>
      <c r="AU92" s="2">
        <v>277414.380859375</v>
      </c>
      <c r="AV92" s="2">
        <v>317155.4453125</v>
      </c>
      <c r="AW92" s="2">
        <v>290111.03125</v>
      </c>
      <c r="AX92" s="2">
        <v>67537.14453125</v>
      </c>
      <c r="AY92" s="2">
        <v>84548.171875</v>
      </c>
      <c r="AZ92" s="2">
        <v>43841.2265625</v>
      </c>
      <c r="BA92" s="2">
        <v>62960.322265625</v>
      </c>
      <c r="BB92" s="2">
        <v>68008.486328125</v>
      </c>
      <c r="BC92" s="2" t="s">
        <v>79</v>
      </c>
      <c r="BD92" s="2" t="s">
        <v>79</v>
      </c>
      <c r="BE92" s="2" t="s">
        <v>79</v>
      </c>
      <c r="BF92" s="2" t="s">
        <v>79</v>
      </c>
      <c r="BG92" s="2" t="s">
        <v>79</v>
      </c>
      <c r="BH92" s="2" t="s">
        <v>91</v>
      </c>
      <c r="BI92" s="2" t="s">
        <v>91</v>
      </c>
      <c r="BJ92" s="2" t="s">
        <v>91</v>
      </c>
      <c r="BK92" s="2" t="s">
        <v>91</v>
      </c>
      <c r="BL92" s="2" t="s">
        <v>98</v>
      </c>
      <c r="BM92" s="2" t="s">
        <v>79</v>
      </c>
      <c r="BN92" s="2" t="s">
        <v>79</v>
      </c>
      <c r="BO92" s="2" t="s">
        <v>79</v>
      </c>
      <c r="BP92" s="2" t="s">
        <v>79</v>
      </c>
      <c r="BQ92" s="2" t="s">
        <v>79</v>
      </c>
      <c r="BR92" s="2" t="s">
        <v>79</v>
      </c>
      <c r="BS92" s="2" t="s">
        <v>79</v>
      </c>
      <c r="BT92" s="2" t="s">
        <v>79</v>
      </c>
      <c r="BU92" s="2" t="s">
        <v>79</v>
      </c>
      <c r="BV92" s="2" t="s">
        <v>79</v>
      </c>
      <c r="BW92" s="2" t="s">
        <v>91</v>
      </c>
      <c r="BX92" s="2" t="s">
        <v>91</v>
      </c>
      <c r="BY92" s="2" t="s">
        <v>91</v>
      </c>
      <c r="BZ92" s="2" t="s">
        <v>91</v>
      </c>
      <c r="CA92" s="2" t="s">
        <v>91</v>
      </c>
      <c r="CB92">
        <f>TTEST(AS92:AW92,AI92:AM92,2,2)</f>
        <v>3.063766314329816E-3</v>
      </c>
      <c r="CC92">
        <f>TTEST(AD92:AH92,AI92:AM92,2,2)</f>
        <v>1.1325286818975691E-5</v>
      </c>
      <c r="CD92">
        <f>TTEST(AN92:AR92,AI92:AM92,2,2)</f>
        <v>3.9825576404129915E-6</v>
      </c>
      <c r="CE92">
        <f>TTEST(AX92:BB92,AI92:AM92,2,2)</f>
        <v>6.2098645427627124E-4</v>
      </c>
      <c r="CF92">
        <v>118</v>
      </c>
      <c r="CG92">
        <v>82</v>
      </c>
      <c r="CH92">
        <v>16</v>
      </c>
      <c r="CI92">
        <v>50</v>
      </c>
      <c r="CJ92">
        <f>0.05*CF92/464</f>
        <v>1.2715517241379311E-2</v>
      </c>
      <c r="CK92">
        <f>0.05*CG92/464</f>
        <v>8.8362068965517244E-3</v>
      </c>
      <c r="CL92">
        <f>0.05*CH92/464</f>
        <v>1.724137931034483E-3</v>
      </c>
      <c r="CM92">
        <f>0.05*CI92/464</f>
        <v>5.387931034482759E-3</v>
      </c>
      <c r="CN92" t="str">
        <f>IF(CB92&lt;CJ92,"yes","no")</f>
        <v>yes</v>
      </c>
      <c r="CO92" t="str">
        <f>IF(CC92&lt;CK92,"yes","no")</f>
        <v>yes</v>
      </c>
      <c r="CP92" t="str">
        <f>IF(CD92&lt;CL92,"yes","no")</f>
        <v>yes</v>
      </c>
      <c r="CQ92" t="str">
        <f>IF(CE92&lt;CM92,"yes","no")</f>
        <v>yes</v>
      </c>
      <c r="CR92">
        <f>TTEST(AS92:AW92,AD92:AH92,2,2)</f>
        <v>2.2103953552696535E-5</v>
      </c>
      <c r="CS92">
        <f>TTEST(AS92:AW92,AN92:AR92,2,2)</f>
        <v>1.2720228001692837E-3</v>
      </c>
      <c r="CT92">
        <f>TTEST(AS92:AW92,AX92:BB92,2,2)</f>
        <v>2.5756794536973145E-3</v>
      </c>
      <c r="CU92">
        <v>104</v>
      </c>
      <c r="CV92">
        <v>96</v>
      </c>
      <c r="CW92">
        <v>91</v>
      </c>
      <c r="CX92">
        <f t="shared" si="3"/>
        <v>1.1206896551724138E-2</v>
      </c>
      <c r="CY92">
        <f t="shared" si="4"/>
        <v>1.0344827586206898E-2</v>
      </c>
      <c r="CZ92">
        <f t="shared" si="5"/>
        <v>9.8060344827586195E-3</v>
      </c>
      <c r="DA92" t="str">
        <f>IF(CR92&lt;CX92,"yes","no")</f>
        <v>yes</v>
      </c>
      <c r="DB92" t="str">
        <f>IF(CS92&lt;CY92,"yes","no")</f>
        <v>yes</v>
      </c>
      <c r="DC92" t="str">
        <f>IF(CT92&lt;CZ92,"yes","no")</f>
        <v>yes</v>
      </c>
    </row>
    <row r="93" spans="1:107" x14ac:dyDescent="0.2">
      <c r="A93" s="2" t="b">
        <v>0</v>
      </c>
      <c r="B93" s="2" t="s">
        <v>79</v>
      </c>
      <c r="C93" s="2" t="s">
        <v>80</v>
      </c>
      <c r="D93" s="2" t="s">
        <v>190</v>
      </c>
      <c r="E93" s="2" t="s">
        <v>191</v>
      </c>
      <c r="F93" s="2">
        <v>19</v>
      </c>
      <c r="G93" s="2">
        <v>19</v>
      </c>
      <c r="H93" s="2">
        <v>123.6</v>
      </c>
      <c r="I93" s="2">
        <v>5.68</v>
      </c>
      <c r="J93" s="2" t="s">
        <v>150</v>
      </c>
      <c r="K93" s="2" t="s">
        <v>84</v>
      </c>
      <c r="L93" s="2" t="s">
        <v>119</v>
      </c>
      <c r="M93" s="2" t="s">
        <v>83</v>
      </c>
      <c r="N93" s="2" t="s">
        <v>192</v>
      </c>
      <c r="O93" s="2">
        <v>1.077</v>
      </c>
      <c r="P93" s="2">
        <v>1.022</v>
      </c>
      <c r="Q93" s="2">
        <v>2.1909999999999998</v>
      </c>
      <c r="R93" s="2">
        <v>0.65</v>
      </c>
      <c r="S93" s="2">
        <v>0.84</v>
      </c>
      <c r="T93" s="2">
        <v>0.75600000000000001</v>
      </c>
      <c r="U93" s="2">
        <v>1.462</v>
      </c>
      <c r="V93" s="2">
        <v>0.97799999999999998</v>
      </c>
      <c r="W93" s="2">
        <v>2.0720000000000001</v>
      </c>
      <c r="X93" s="2">
        <v>2.12</v>
      </c>
      <c r="Y93" s="2">
        <v>130.9</v>
      </c>
      <c r="Z93" s="2">
        <v>117</v>
      </c>
      <c r="AA93" s="2">
        <v>78.400000000000006</v>
      </c>
      <c r="AB93" s="2">
        <v>67.8</v>
      </c>
      <c r="AC93" s="2">
        <v>106</v>
      </c>
      <c r="AD93" s="2">
        <v>88886914.099609405</v>
      </c>
      <c r="AE93" s="2">
        <v>86898384.638671905</v>
      </c>
      <c r="AF93" s="2">
        <v>92064621.363281295</v>
      </c>
      <c r="AG93" s="2">
        <v>42680915.251953103</v>
      </c>
      <c r="AH93" s="2">
        <v>36521858.953125</v>
      </c>
      <c r="AI93" s="2">
        <v>1510132.4401855499</v>
      </c>
      <c r="AJ93" s="2">
        <v>1074578.8339843799</v>
      </c>
      <c r="AK93" s="2">
        <v>1299248.8144531299</v>
      </c>
      <c r="AL93" s="2">
        <v>1407978.0683593799</v>
      </c>
      <c r="AM93" s="2">
        <v>1165815.3505859401</v>
      </c>
      <c r="AN93" s="2">
        <v>737940.14892578102</v>
      </c>
      <c r="AO93" s="2">
        <v>805651.27832031297</v>
      </c>
      <c r="AP93" s="2">
        <v>964956.53808593797</v>
      </c>
      <c r="AQ93" s="2">
        <v>779673.32421875</v>
      </c>
      <c r="AR93" s="2">
        <v>1236576.375</v>
      </c>
      <c r="AS93" s="2">
        <v>5762047.81176758</v>
      </c>
      <c r="AT93" s="2">
        <v>9087861.79541016</v>
      </c>
      <c r="AU93" s="2">
        <v>5138617.0996093797</v>
      </c>
      <c r="AV93" s="2">
        <v>5805376.4033203097</v>
      </c>
      <c r="AW93" s="2">
        <v>6323238.4223632803</v>
      </c>
      <c r="AX93" s="2">
        <v>2931474.2675781301</v>
      </c>
      <c r="AY93" s="2">
        <v>3626744.2636718801</v>
      </c>
      <c r="AZ93" s="2">
        <v>3814688.8076171898</v>
      </c>
      <c r="BA93" s="2">
        <v>3388787.54833984</v>
      </c>
      <c r="BB93" s="2">
        <v>2978516.8994140602</v>
      </c>
      <c r="BC93" s="2" t="s">
        <v>79</v>
      </c>
      <c r="BD93" s="2" t="s">
        <v>79</v>
      </c>
      <c r="BE93" s="2" t="s">
        <v>79</v>
      </c>
      <c r="BF93" s="2" t="s">
        <v>79</v>
      </c>
      <c r="BG93" s="2" t="s">
        <v>79</v>
      </c>
      <c r="BH93" s="2" t="s">
        <v>79</v>
      </c>
      <c r="BI93" s="2" t="s">
        <v>79</v>
      </c>
      <c r="BJ93" s="2" t="s">
        <v>79</v>
      </c>
      <c r="BK93" s="2" t="s">
        <v>79</v>
      </c>
      <c r="BL93" s="2" t="s">
        <v>79</v>
      </c>
      <c r="BM93" s="2" t="s">
        <v>79</v>
      </c>
      <c r="BN93" s="2" t="s">
        <v>79</v>
      </c>
      <c r="BO93" s="2" t="s">
        <v>79</v>
      </c>
      <c r="BP93" s="2" t="s">
        <v>79</v>
      </c>
      <c r="BQ93" s="2" t="s">
        <v>79</v>
      </c>
      <c r="BR93" s="2" t="s">
        <v>79</v>
      </c>
      <c r="BS93" s="2" t="s">
        <v>79</v>
      </c>
      <c r="BT93" s="2" t="s">
        <v>79</v>
      </c>
      <c r="BU93" s="2" t="s">
        <v>79</v>
      </c>
      <c r="BV93" s="2" t="s">
        <v>79</v>
      </c>
      <c r="BW93" s="2" t="s">
        <v>79</v>
      </c>
      <c r="BX93" s="2" t="s">
        <v>79</v>
      </c>
      <c r="BY93" s="2" t="s">
        <v>79</v>
      </c>
      <c r="BZ93" s="2" t="s">
        <v>79</v>
      </c>
      <c r="CA93" s="2" t="s">
        <v>79</v>
      </c>
      <c r="CB93">
        <f>TTEST(AS93:AW93,AI93:AM93,2,2)</f>
        <v>7.8602074489046473E-5</v>
      </c>
      <c r="CC93">
        <f>TTEST(AD93:AH93,AI93:AM93,2,2)</f>
        <v>5.3037707755392222E-4</v>
      </c>
      <c r="CD93">
        <f>TTEST(AN93:AR93,AI93:AM93,2,2)</f>
        <v>1.2550337240911645E-2</v>
      </c>
      <c r="CE93">
        <f>TTEST(AX93:BB93,AI93:AM93,2,2)</f>
        <v>4.9224155865485166E-6</v>
      </c>
      <c r="CF93">
        <v>59</v>
      </c>
      <c r="CG93">
        <v>128</v>
      </c>
      <c r="CH93">
        <v>98</v>
      </c>
      <c r="CI93">
        <v>25</v>
      </c>
      <c r="CJ93">
        <f>0.05*CF93/464</f>
        <v>6.3577586206896557E-3</v>
      </c>
      <c r="CK93">
        <f>0.05*CG93/464</f>
        <v>1.3793103448275864E-2</v>
      </c>
      <c r="CL93">
        <f>0.05*CH93/464</f>
        <v>1.0560344827586207E-2</v>
      </c>
      <c r="CM93">
        <f>0.05*CI93/464</f>
        <v>2.6939655172413795E-3</v>
      </c>
      <c r="CN93" t="str">
        <f>IF(CB93&lt;CJ93,"yes","no")</f>
        <v>yes</v>
      </c>
      <c r="CO93" t="str">
        <f>IF(CC93&lt;CK93,"yes","no")</f>
        <v>yes</v>
      </c>
      <c r="CP93" t="str">
        <f>IF(CD93&lt;CL93,"yes","no")</f>
        <v>no</v>
      </c>
      <c r="CQ93" t="str">
        <f>IF(CE93&lt;CM93,"yes","no")</f>
        <v>yes</v>
      </c>
      <c r="CR93">
        <f>TTEST(AS93:AW93,AD93:AH93,2,2)</f>
        <v>8.8580316378226889E-4</v>
      </c>
      <c r="CS93">
        <f>TTEST(AS93:AW93,AN93:AR93,2,2)</f>
        <v>4.7577505999765534E-5</v>
      </c>
      <c r="CT93">
        <f>TTEST(AS93:AW93,AX93:BB93,2,2)</f>
        <v>2.5833075685960855E-3</v>
      </c>
      <c r="CU93">
        <v>160</v>
      </c>
      <c r="CV93">
        <v>31</v>
      </c>
      <c r="CW93">
        <v>92</v>
      </c>
      <c r="CX93">
        <f t="shared" si="3"/>
        <v>1.7241379310344827E-2</v>
      </c>
      <c r="CY93">
        <f t="shared" si="4"/>
        <v>3.3405172413793105E-3</v>
      </c>
      <c r="CZ93">
        <f t="shared" si="5"/>
        <v>9.9137931034482766E-3</v>
      </c>
      <c r="DA93" t="str">
        <f>IF(CR93&lt;CX93,"yes","no")</f>
        <v>yes</v>
      </c>
      <c r="DB93" t="str">
        <f>IF(CS93&lt;CY93,"yes","no")</f>
        <v>yes</v>
      </c>
      <c r="DC93" t="str">
        <f>IF(CT93&lt;CZ93,"yes","no")</f>
        <v>yes</v>
      </c>
    </row>
    <row r="94" spans="1:107" x14ac:dyDescent="0.2">
      <c r="A94" s="2" t="b">
        <v>0</v>
      </c>
      <c r="B94" s="2" t="s">
        <v>79</v>
      </c>
      <c r="C94" s="2" t="s">
        <v>80</v>
      </c>
      <c r="D94" s="2" t="s">
        <v>403</v>
      </c>
      <c r="E94" s="2" t="s">
        <v>404</v>
      </c>
      <c r="F94" s="2">
        <v>11</v>
      </c>
      <c r="G94" s="2">
        <v>3</v>
      </c>
      <c r="H94" s="2">
        <v>60.6</v>
      </c>
      <c r="I94" s="2">
        <v>5.17</v>
      </c>
      <c r="J94" s="2" t="s">
        <v>228</v>
      </c>
      <c r="K94" s="2" t="s">
        <v>271</v>
      </c>
      <c r="L94" s="2" t="s">
        <v>405</v>
      </c>
      <c r="M94" s="2" t="s">
        <v>406</v>
      </c>
      <c r="N94" s="2" t="s">
        <v>403</v>
      </c>
      <c r="O94" s="2">
        <v>9.2539999999999996</v>
      </c>
      <c r="P94" s="2">
        <v>0.72499999999999998</v>
      </c>
      <c r="Q94" s="2">
        <v>2.1219999999999999</v>
      </c>
      <c r="R94" s="2">
        <v>0.63</v>
      </c>
      <c r="S94" s="2">
        <v>4.8710000000000004</v>
      </c>
      <c r="T94" s="2">
        <v>0.46500000000000002</v>
      </c>
      <c r="U94" s="2">
        <v>1.7450000000000001</v>
      </c>
      <c r="V94" s="2">
        <v>9.1999999999999998E-2</v>
      </c>
      <c r="W94" s="2">
        <v>0.20399999999999999</v>
      </c>
      <c r="X94" s="2">
        <v>2.5859999999999999</v>
      </c>
      <c r="Y94" s="2">
        <v>38</v>
      </c>
      <c r="Z94" s="2">
        <v>10</v>
      </c>
      <c r="AA94" s="2">
        <v>301.7</v>
      </c>
      <c r="AB94" s="2">
        <v>24.3</v>
      </c>
      <c r="AC94" s="2">
        <v>126.1</v>
      </c>
      <c r="AD94" s="2">
        <v>2912563.4042968801</v>
      </c>
      <c r="AE94" s="2">
        <v>2027221.5078125</v>
      </c>
      <c r="AF94" s="2">
        <v>2327242.1191406301</v>
      </c>
      <c r="AG94" s="2">
        <v>3178538.453125</v>
      </c>
      <c r="AH94" s="2">
        <v>2140846.49609375</v>
      </c>
      <c r="AI94" s="2">
        <v>11822.791015625</v>
      </c>
      <c r="AJ94" s="2">
        <v>10530.341796875</v>
      </c>
      <c r="AK94" s="2">
        <v>11523.3828125</v>
      </c>
      <c r="AL94" s="2">
        <v>304151.92724609398</v>
      </c>
      <c r="AM94" s="2">
        <v>24150.0764160156</v>
      </c>
      <c r="AN94" s="2">
        <v>277223.64746093802</v>
      </c>
      <c r="AO94" s="2">
        <v>318547.076171875</v>
      </c>
      <c r="AP94" s="2">
        <v>477475.142578125</v>
      </c>
      <c r="AQ94" s="2">
        <v>366958.94775390602</v>
      </c>
      <c r="AR94" s="2">
        <v>572759.03271484398</v>
      </c>
      <c r="AS94" s="2">
        <v>203435.93066406299</v>
      </c>
      <c r="AT94" s="2">
        <v>376700.90478515602</v>
      </c>
      <c r="AU94" s="2">
        <v>185679.71386718799</v>
      </c>
      <c r="AV94" s="2">
        <v>241798.37402343799</v>
      </c>
      <c r="AW94" s="2">
        <v>262009.91015625</v>
      </c>
      <c r="AX94" s="2">
        <v>351153.47265625</v>
      </c>
      <c r="AY94" s="2">
        <v>481251.60546875</v>
      </c>
      <c r="AZ94" s="2">
        <v>509789.66503906302</v>
      </c>
      <c r="BA94" s="2">
        <v>420145.939453125</v>
      </c>
      <c r="BB94" s="2">
        <v>400575.849609375</v>
      </c>
      <c r="BC94" s="2" t="s">
        <v>79</v>
      </c>
      <c r="BD94" s="2" t="s">
        <v>91</v>
      </c>
      <c r="BE94" s="2" t="s">
        <v>79</v>
      </c>
      <c r="BF94" s="2" t="s">
        <v>79</v>
      </c>
      <c r="BG94" s="2" t="s">
        <v>79</v>
      </c>
      <c r="BH94" s="2" t="s">
        <v>98</v>
      </c>
      <c r="BI94" s="2" t="s">
        <v>98</v>
      </c>
      <c r="BJ94" s="2" t="s">
        <v>98</v>
      </c>
      <c r="BK94" s="2" t="s">
        <v>79</v>
      </c>
      <c r="BL94" s="2" t="s">
        <v>98</v>
      </c>
      <c r="BM94" s="2" t="s">
        <v>79</v>
      </c>
      <c r="BN94" s="2" t="s">
        <v>79</v>
      </c>
      <c r="BO94" s="2" t="s">
        <v>79</v>
      </c>
      <c r="BP94" s="2" t="s">
        <v>91</v>
      </c>
      <c r="BQ94" s="2" t="s">
        <v>79</v>
      </c>
      <c r="BR94" s="2" t="s">
        <v>91</v>
      </c>
      <c r="BS94" s="2" t="s">
        <v>91</v>
      </c>
      <c r="BT94" s="2" t="s">
        <v>91</v>
      </c>
      <c r="BU94" s="2" t="s">
        <v>79</v>
      </c>
      <c r="BV94" s="2" t="s">
        <v>79</v>
      </c>
      <c r="BW94" s="2" t="s">
        <v>91</v>
      </c>
      <c r="BX94" s="2" t="s">
        <v>91</v>
      </c>
      <c r="BY94" s="2" t="s">
        <v>91</v>
      </c>
      <c r="BZ94" s="2" t="s">
        <v>91</v>
      </c>
      <c r="CA94" s="2" t="s">
        <v>91</v>
      </c>
      <c r="CB94">
        <f>TTEST(AS94:AW94,AI94:AM94,2,2)</f>
        <v>2.6678766561432938E-2</v>
      </c>
      <c r="CC94">
        <f>TTEST(AD94:AH94,AI94:AM94,2,2)</f>
        <v>5.7768320851174129E-6</v>
      </c>
      <c r="CD94">
        <f>TTEST(AN94:AR94,AI94:AM94,2,2)</f>
        <v>3.1566282943561214E-3</v>
      </c>
      <c r="CE94">
        <f>TTEST(AX94:BB94,AI94:AM94,2,2)</f>
        <v>5.2362947850295618E-4</v>
      </c>
      <c r="CF94">
        <v>142</v>
      </c>
      <c r="CG94">
        <v>78</v>
      </c>
      <c r="CH94">
        <v>84</v>
      </c>
      <c r="CI94">
        <v>48</v>
      </c>
      <c r="CJ94">
        <f>0.05*CF94/464</f>
        <v>1.5301724137931036E-2</v>
      </c>
      <c r="CK94">
        <f>0.05*CG94/464</f>
        <v>8.4051724137931046E-3</v>
      </c>
      <c r="CL94">
        <f>0.05*CH94/464</f>
        <v>9.0517241379310352E-3</v>
      </c>
      <c r="CM94">
        <f>0.05*CI94/464</f>
        <v>5.1724137931034491E-3</v>
      </c>
      <c r="CN94" t="str">
        <f>IF(CB94&lt;CJ94,"yes","no")</f>
        <v>no</v>
      </c>
      <c r="CO94" t="str">
        <f>IF(CC94&lt;CK94,"yes","no")</f>
        <v>yes</v>
      </c>
      <c r="CP94" t="str">
        <f>IF(CD94&lt;CL94,"yes","no")</f>
        <v>yes</v>
      </c>
      <c r="CQ94" t="str">
        <f>IF(CE94&lt;CM94,"yes","no")</f>
        <v>yes</v>
      </c>
      <c r="CR94">
        <f>TTEST(AS94:AW94,AD94:AH94,2,2)</f>
        <v>8.7831368583818377E-6</v>
      </c>
      <c r="CS94">
        <f>TTEST(AS94:AW94,AN94:AR94,2,2)</f>
        <v>4.7821737909571206E-2</v>
      </c>
      <c r="CT94">
        <f>TTEST(AS94:AW94,AX94:BB94,2,2)</f>
        <v>3.6082268866818295E-3</v>
      </c>
      <c r="CU94">
        <v>94</v>
      </c>
      <c r="CV94">
        <v>162</v>
      </c>
      <c r="CW94">
        <v>93</v>
      </c>
      <c r="CX94">
        <f t="shared" si="3"/>
        <v>1.0129310344827587E-2</v>
      </c>
      <c r="CY94">
        <f t="shared" si="4"/>
        <v>1.7456896551724138E-2</v>
      </c>
      <c r="CZ94">
        <f t="shared" si="5"/>
        <v>1.0021551724137932E-2</v>
      </c>
      <c r="DA94" t="str">
        <f>IF(CR94&lt;CX94,"yes","no")</f>
        <v>yes</v>
      </c>
      <c r="DB94" t="str">
        <f>IF(CS94&lt;CY94,"yes","no")</f>
        <v>no</v>
      </c>
      <c r="DC94" t="str">
        <f>IF(CT94&lt;CZ94,"yes","no")</f>
        <v>yes</v>
      </c>
    </row>
    <row r="95" spans="1:107" x14ac:dyDescent="0.2">
      <c r="A95" s="2" t="b">
        <v>0</v>
      </c>
      <c r="B95" s="2" t="s">
        <v>79</v>
      </c>
      <c r="C95" s="2" t="s">
        <v>80</v>
      </c>
      <c r="D95" s="2" t="s">
        <v>804</v>
      </c>
      <c r="E95" s="2" t="s">
        <v>805</v>
      </c>
      <c r="F95" s="2">
        <v>6</v>
      </c>
      <c r="G95" s="2">
        <v>6</v>
      </c>
      <c r="H95" s="2">
        <v>83.4</v>
      </c>
      <c r="I95" s="2">
        <v>5.03</v>
      </c>
      <c r="J95" s="2" t="s">
        <v>806</v>
      </c>
      <c r="K95" s="2" t="s">
        <v>807</v>
      </c>
      <c r="L95" s="2" t="s">
        <v>808</v>
      </c>
      <c r="M95" s="2" t="s">
        <v>809</v>
      </c>
      <c r="N95" s="2" t="s">
        <v>804</v>
      </c>
      <c r="O95" s="2">
        <v>10.429</v>
      </c>
      <c r="P95" s="2">
        <v>0.65700000000000003</v>
      </c>
      <c r="Q95" s="2">
        <v>1.466</v>
      </c>
      <c r="R95" s="2">
        <v>4.7E-2</v>
      </c>
      <c r="S95" s="2">
        <v>1.35</v>
      </c>
      <c r="T95" s="2">
        <v>0.11600000000000001</v>
      </c>
      <c r="U95" s="2">
        <v>1.2549999999999999</v>
      </c>
      <c r="V95" s="2">
        <v>7.8E-2</v>
      </c>
      <c r="W95" s="2">
        <v>0.98899999999999999</v>
      </c>
      <c r="X95" s="2">
        <v>9.9339999999999993</v>
      </c>
      <c r="Y95" s="2">
        <v>13.8</v>
      </c>
      <c r="Z95" s="2">
        <v>70.599999999999994</v>
      </c>
      <c r="AA95" s="2">
        <v>338.4</v>
      </c>
      <c r="AB95" s="2">
        <v>11.5</v>
      </c>
      <c r="AC95" s="2">
        <v>65.599999999999994</v>
      </c>
      <c r="AD95" s="2">
        <v>121407.302734375</v>
      </c>
      <c r="AE95" s="2" t="s">
        <v>83</v>
      </c>
      <c r="AF95" s="2">
        <v>114943.6953125</v>
      </c>
      <c r="AG95" s="2">
        <v>774469.703125</v>
      </c>
      <c r="AH95" s="2">
        <v>56366.134765625</v>
      </c>
      <c r="AI95" s="2" t="s">
        <v>83</v>
      </c>
      <c r="AJ95" s="2">
        <v>4917.7939453125</v>
      </c>
      <c r="AK95" s="2">
        <v>10097.8029785156</v>
      </c>
      <c r="AL95" s="2">
        <v>538578.76171875</v>
      </c>
      <c r="AM95" s="2">
        <v>10412.055175781299</v>
      </c>
      <c r="AN95" s="2">
        <v>46132.791748046897</v>
      </c>
      <c r="AO95" s="2">
        <v>42830.408691406301</v>
      </c>
      <c r="AP95" s="2">
        <v>81371.01953125</v>
      </c>
      <c r="AQ95" s="2">
        <v>59893.543457031301</v>
      </c>
      <c r="AR95" s="2">
        <v>101542.38671875</v>
      </c>
      <c r="AS95" s="2">
        <v>13797.185546875</v>
      </c>
      <c r="AT95" s="2">
        <v>16549.16796875</v>
      </c>
      <c r="AU95" s="2">
        <v>21527.6796875</v>
      </c>
      <c r="AV95" s="2">
        <v>21710.6474609375</v>
      </c>
      <c r="AW95" s="2">
        <v>9079.001953125</v>
      </c>
      <c r="AX95" s="2">
        <v>30199.662109375</v>
      </c>
      <c r="AY95" s="2">
        <v>37084.0810546875</v>
      </c>
      <c r="AZ95" s="2" t="s">
        <v>83</v>
      </c>
      <c r="BA95" s="2">
        <v>27934.53515625</v>
      </c>
      <c r="BB95" s="2">
        <v>26779.974609375</v>
      </c>
      <c r="BC95" s="2" t="s">
        <v>91</v>
      </c>
      <c r="BD95" s="2" t="s">
        <v>98</v>
      </c>
      <c r="BE95" s="2" t="s">
        <v>79</v>
      </c>
      <c r="BF95" s="2" t="s">
        <v>79</v>
      </c>
      <c r="BG95" s="2" t="s">
        <v>91</v>
      </c>
      <c r="BH95" s="2" t="s">
        <v>98</v>
      </c>
      <c r="BI95" s="2" t="s">
        <v>91</v>
      </c>
      <c r="BJ95" s="2" t="s">
        <v>91</v>
      </c>
      <c r="BK95" s="2" t="s">
        <v>79</v>
      </c>
      <c r="BL95" s="2" t="s">
        <v>91</v>
      </c>
      <c r="BM95" s="2" t="s">
        <v>91</v>
      </c>
      <c r="BN95" s="2" t="s">
        <v>91</v>
      </c>
      <c r="BO95" s="2" t="s">
        <v>79</v>
      </c>
      <c r="BP95" s="2" t="s">
        <v>91</v>
      </c>
      <c r="BQ95" s="2" t="s">
        <v>79</v>
      </c>
      <c r="BR95" s="2" t="s">
        <v>91</v>
      </c>
      <c r="BS95" s="2" t="s">
        <v>91</v>
      </c>
      <c r="BT95" s="2" t="s">
        <v>91</v>
      </c>
      <c r="BU95" s="2" t="s">
        <v>91</v>
      </c>
      <c r="BV95" s="2" t="s">
        <v>91</v>
      </c>
      <c r="BW95" s="2" t="s">
        <v>91</v>
      </c>
      <c r="BX95" s="2" t="s">
        <v>91</v>
      </c>
      <c r="BY95" s="2" t="s">
        <v>98</v>
      </c>
      <c r="BZ95" s="2" t="s">
        <v>91</v>
      </c>
      <c r="CA95" s="2" t="s">
        <v>91</v>
      </c>
      <c r="CB95">
        <f>TTEST(AS95:AW95,AI95:AM95,2,2)</f>
        <v>0.32054396522340861</v>
      </c>
      <c r="CC95">
        <f>TTEST(AD95:AH95,AI95:AM95,2,2)</f>
        <v>0.58056515426337274</v>
      </c>
      <c r="CD95">
        <f>TTEST(AN95:AR95,AI95:AM95,2,2)</f>
        <v>0.54404285231985927</v>
      </c>
      <c r="CE95">
        <f>TTEST(AX95:BB95,AI95:AM95,2,2)</f>
        <v>0.43640057190069376</v>
      </c>
      <c r="CF95">
        <v>182</v>
      </c>
      <c r="CG95">
        <v>225</v>
      </c>
      <c r="CH95">
        <v>191</v>
      </c>
      <c r="CI95">
        <v>153</v>
      </c>
      <c r="CJ95">
        <f>0.05*CF95/464</f>
        <v>1.9612068965517239E-2</v>
      </c>
      <c r="CK95">
        <f>0.05*CG95/464</f>
        <v>2.4245689655172414E-2</v>
      </c>
      <c r="CL95">
        <f>0.05*CH95/464</f>
        <v>2.0581896551724141E-2</v>
      </c>
      <c r="CM95">
        <f>0.05*CI95/464</f>
        <v>1.6487068965517243E-2</v>
      </c>
      <c r="CN95" t="str">
        <f>IF(CB95&lt;CJ95,"yes","no")</f>
        <v>no</v>
      </c>
      <c r="CO95" t="str">
        <f>IF(CC95&lt;CK95,"yes","no")</f>
        <v>no</v>
      </c>
      <c r="CP95" t="str">
        <f>IF(CD95&lt;CL95,"yes","no")</f>
        <v>no</v>
      </c>
      <c r="CQ95" t="str">
        <f>IF(CE95&lt;CM95,"yes","no")</f>
        <v>no</v>
      </c>
      <c r="CR95">
        <f>TTEST(AS95:AW95,AD95:AH95,2,2)</f>
        <v>0.13739336830861604</v>
      </c>
      <c r="CS95">
        <f>TTEST(AS95:AW95,AN95:AR95,2,2)</f>
        <v>2.3350748735396229E-3</v>
      </c>
      <c r="CT95">
        <f>TTEST(AS95:AW95,AX95:BB95,2,2)</f>
        <v>4.4528435948468651E-3</v>
      </c>
      <c r="CU95">
        <v>261</v>
      </c>
      <c r="CV95">
        <v>104</v>
      </c>
      <c r="CW95">
        <v>94</v>
      </c>
      <c r="CX95">
        <f t="shared" si="3"/>
        <v>2.8125000000000001E-2</v>
      </c>
      <c r="CY95">
        <f t="shared" si="4"/>
        <v>1.1206896551724138E-2</v>
      </c>
      <c r="CZ95">
        <f t="shared" si="5"/>
        <v>1.0129310344827587E-2</v>
      </c>
      <c r="DA95" t="str">
        <f>IF(CR95&lt;CX95,"yes","no")</f>
        <v>no</v>
      </c>
      <c r="DB95" t="str">
        <f>IF(CS95&lt;CY95,"yes","no")</f>
        <v>yes</v>
      </c>
      <c r="DC95" t="str">
        <f>IF(CT95&lt;CZ95,"yes","no")</f>
        <v>yes</v>
      </c>
    </row>
    <row r="96" spans="1:107" x14ac:dyDescent="0.2">
      <c r="A96" s="2" t="b">
        <v>0</v>
      </c>
      <c r="B96" s="2" t="s">
        <v>79</v>
      </c>
      <c r="C96" s="2" t="s">
        <v>80</v>
      </c>
      <c r="D96" s="2" t="s">
        <v>1045</v>
      </c>
      <c r="E96" s="2" t="s">
        <v>1046</v>
      </c>
      <c r="F96" s="2">
        <v>3</v>
      </c>
      <c r="G96" s="2">
        <v>3</v>
      </c>
      <c r="H96" s="2">
        <v>29.4</v>
      </c>
      <c r="I96" s="2">
        <v>8.41</v>
      </c>
      <c r="J96" s="2" t="s">
        <v>380</v>
      </c>
      <c r="K96" s="2" t="s">
        <v>607</v>
      </c>
      <c r="L96" s="2" t="s">
        <v>83</v>
      </c>
      <c r="M96" s="2" t="s">
        <v>1047</v>
      </c>
      <c r="N96" s="2" t="s">
        <v>1045</v>
      </c>
      <c r="O96" s="2">
        <v>1.135</v>
      </c>
      <c r="P96" s="2">
        <v>1.085</v>
      </c>
      <c r="Q96" s="2">
        <v>0.67600000000000005</v>
      </c>
      <c r="R96" s="2">
        <v>0.65400000000000003</v>
      </c>
      <c r="S96" s="2">
        <v>0.58099999999999996</v>
      </c>
      <c r="T96" s="2">
        <v>0.74399999999999999</v>
      </c>
      <c r="U96" s="2">
        <v>0.53800000000000003</v>
      </c>
      <c r="V96" s="2">
        <v>0.96899999999999997</v>
      </c>
      <c r="W96" s="2">
        <v>0.95499999999999996</v>
      </c>
      <c r="X96" s="2">
        <v>0.81200000000000006</v>
      </c>
      <c r="Y96" s="2">
        <v>136.69999999999999</v>
      </c>
      <c r="Z96" s="2">
        <v>111.3</v>
      </c>
      <c r="AA96" s="2">
        <v>62.3</v>
      </c>
      <c r="AB96" s="2">
        <v>122.9</v>
      </c>
      <c r="AC96" s="2">
        <v>66.8</v>
      </c>
      <c r="AD96" s="2">
        <v>970651.0078125</v>
      </c>
      <c r="AE96" s="2">
        <v>803793.2421875</v>
      </c>
      <c r="AF96" s="2">
        <v>759904.34375</v>
      </c>
      <c r="AG96" s="2">
        <v>770530.5625</v>
      </c>
      <c r="AH96" s="2">
        <v>501118.6171875</v>
      </c>
      <c r="AI96" s="2">
        <v>10571.1884765625</v>
      </c>
      <c r="AJ96" s="2">
        <v>14573.935546875</v>
      </c>
      <c r="AK96" s="2">
        <v>20288.0234375</v>
      </c>
      <c r="AL96" s="2">
        <v>7170.859375</v>
      </c>
      <c r="AM96" s="2">
        <v>11607.33203125</v>
      </c>
      <c r="AN96" s="2">
        <v>5921.865234375</v>
      </c>
      <c r="AO96" s="2">
        <v>8036.15673828125</v>
      </c>
      <c r="AP96" s="2">
        <v>6820.48828125</v>
      </c>
      <c r="AQ96" s="2">
        <v>8747.822265625</v>
      </c>
      <c r="AR96" s="2" t="s">
        <v>83</v>
      </c>
      <c r="AS96" s="2">
        <v>87541.46875</v>
      </c>
      <c r="AT96" s="2">
        <v>172073.80078125</v>
      </c>
      <c r="AU96" s="2">
        <v>79749.373046875</v>
      </c>
      <c r="AV96" s="2">
        <v>115498.15625</v>
      </c>
      <c r="AW96" s="2">
        <v>122785.48730468799</v>
      </c>
      <c r="AX96" s="2">
        <v>20126.974609375</v>
      </c>
      <c r="AY96" s="2" t="s">
        <v>83</v>
      </c>
      <c r="AZ96" s="2">
        <v>13563.70703125</v>
      </c>
      <c r="BA96" s="2">
        <v>25142.533203125</v>
      </c>
      <c r="BB96" s="2" t="s">
        <v>83</v>
      </c>
      <c r="BC96" s="2" t="s">
        <v>79</v>
      </c>
      <c r="BD96" s="2" t="s">
        <v>79</v>
      </c>
      <c r="BE96" s="2" t="s">
        <v>79</v>
      </c>
      <c r="BF96" s="2" t="s">
        <v>79</v>
      </c>
      <c r="BG96" s="2" t="s">
        <v>79</v>
      </c>
      <c r="BH96" s="2" t="s">
        <v>91</v>
      </c>
      <c r="BI96" s="2" t="s">
        <v>91</v>
      </c>
      <c r="BJ96" s="2" t="s">
        <v>91</v>
      </c>
      <c r="BK96" s="2" t="s">
        <v>91</v>
      </c>
      <c r="BL96" s="2" t="s">
        <v>91</v>
      </c>
      <c r="BM96" s="2" t="s">
        <v>91</v>
      </c>
      <c r="BN96" s="2" t="s">
        <v>91</v>
      </c>
      <c r="BO96" s="2" t="s">
        <v>91</v>
      </c>
      <c r="BP96" s="2" t="s">
        <v>91</v>
      </c>
      <c r="BQ96" s="2" t="s">
        <v>98</v>
      </c>
      <c r="BR96" s="2" t="s">
        <v>91</v>
      </c>
      <c r="BS96" s="2" t="s">
        <v>91</v>
      </c>
      <c r="BT96" s="2" t="s">
        <v>79</v>
      </c>
      <c r="BU96" s="2" t="s">
        <v>91</v>
      </c>
      <c r="BV96" s="2" t="s">
        <v>91</v>
      </c>
      <c r="BW96" s="2" t="s">
        <v>91</v>
      </c>
      <c r="BX96" s="2" t="s">
        <v>98</v>
      </c>
      <c r="BY96" s="2" t="s">
        <v>91</v>
      </c>
      <c r="BZ96" s="2" t="s">
        <v>91</v>
      </c>
      <c r="CA96" s="2" t="s">
        <v>98</v>
      </c>
      <c r="CB96">
        <f>TTEST(AS96:AW96,AI96:AM96,2,2)</f>
        <v>2.4754109113282551E-4</v>
      </c>
      <c r="CC96">
        <f>TTEST(AD96:AH96,AI96:AM96,2,2)</f>
        <v>8.9214800349040487E-6</v>
      </c>
      <c r="CD96">
        <f>TTEST(AN96:AR96,AI96:AM96,2,2)</f>
        <v>7.0438077016843292E-2</v>
      </c>
      <c r="CE96">
        <f>TTEST(AX96:BB96,AI96:AM96,2,2)</f>
        <v>0.12730878991752462</v>
      </c>
      <c r="CF96">
        <v>81</v>
      </c>
      <c r="CG96">
        <v>80</v>
      </c>
      <c r="CH96">
        <v>127</v>
      </c>
      <c r="CI96">
        <v>124</v>
      </c>
      <c r="CJ96">
        <f>0.05*CF96/464</f>
        <v>8.7284482758620691E-3</v>
      </c>
      <c r="CK96">
        <f>0.05*CG96/464</f>
        <v>8.6206896551724137E-3</v>
      </c>
      <c r="CL96">
        <f>0.05*CH96/464</f>
        <v>1.3685344827586208E-2</v>
      </c>
      <c r="CM96">
        <f>0.05*CI96/464</f>
        <v>1.3362068965517242E-2</v>
      </c>
      <c r="CN96" t="str">
        <f>IF(CB96&lt;CJ96,"yes","no")</f>
        <v>yes</v>
      </c>
      <c r="CO96" t="str">
        <f>IF(CC96&lt;CK96,"yes","no")</f>
        <v>yes</v>
      </c>
      <c r="CP96" t="str">
        <f>IF(CD96&lt;CL96,"yes","no")</f>
        <v>no</v>
      </c>
      <c r="CQ96" t="str">
        <f>IF(CE96&lt;CM96,"yes","no")</f>
        <v>no</v>
      </c>
      <c r="CR96">
        <f>TTEST(AS96:AW96,AD96:AH96,2,2)</f>
        <v>3.1218141137746575E-5</v>
      </c>
      <c r="CS96">
        <f>TTEST(AS96:AW96,AN96:AR96,2,2)</f>
        <v>6.3126125992098332E-4</v>
      </c>
      <c r="CT96">
        <f>TTEST(AS96:AW96,AX96:BB96,2,2)</f>
        <v>4.6388397686833172E-3</v>
      </c>
      <c r="CU96">
        <v>112</v>
      </c>
      <c r="CV96">
        <v>85</v>
      </c>
      <c r="CW96">
        <v>95</v>
      </c>
      <c r="CX96">
        <f t="shared" si="3"/>
        <v>1.2068965517241381E-2</v>
      </c>
      <c r="CY96">
        <f t="shared" si="4"/>
        <v>9.1594827586206889E-3</v>
      </c>
      <c r="CZ96">
        <f t="shared" si="5"/>
        <v>1.0237068965517241E-2</v>
      </c>
      <c r="DA96" t="str">
        <f>IF(CR96&lt;CX96,"yes","no")</f>
        <v>yes</v>
      </c>
      <c r="DB96" t="str">
        <f>IF(CS96&lt;CY96,"yes","no")</f>
        <v>yes</v>
      </c>
      <c r="DC96" t="str">
        <f>IF(CT96&lt;CZ96,"yes","no")</f>
        <v>yes</v>
      </c>
    </row>
    <row r="97" spans="1:107" x14ac:dyDescent="0.2">
      <c r="A97" s="2" t="b">
        <v>0</v>
      </c>
      <c r="B97" s="2" t="s">
        <v>79</v>
      </c>
      <c r="C97" s="2" t="s">
        <v>80</v>
      </c>
      <c r="D97" s="2" t="s">
        <v>737</v>
      </c>
      <c r="E97" s="2" t="s">
        <v>738</v>
      </c>
      <c r="F97" s="2">
        <v>3</v>
      </c>
      <c r="G97" s="2">
        <v>3</v>
      </c>
      <c r="H97" s="2">
        <v>51.4</v>
      </c>
      <c r="I97" s="2">
        <v>7.75</v>
      </c>
      <c r="J97" s="2" t="s">
        <v>380</v>
      </c>
      <c r="K97" s="2" t="s">
        <v>739</v>
      </c>
      <c r="L97" s="2" t="s">
        <v>119</v>
      </c>
      <c r="M97" s="2" t="s">
        <v>740</v>
      </c>
      <c r="N97" s="2" t="s">
        <v>737</v>
      </c>
      <c r="O97" s="2">
        <v>0.01</v>
      </c>
      <c r="P97" s="2">
        <v>0.73699999999999999</v>
      </c>
      <c r="Q97" s="2">
        <v>0.53200000000000003</v>
      </c>
      <c r="R97" s="2">
        <v>1.22</v>
      </c>
      <c r="S97" s="2">
        <v>0.01</v>
      </c>
      <c r="T97" s="2">
        <v>0.88100000000000001</v>
      </c>
      <c r="U97" s="2">
        <v>0.64300000000000002</v>
      </c>
      <c r="V97" s="2">
        <v>100</v>
      </c>
      <c r="W97" s="2">
        <v>100</v>
      </c>
      <c r="X97" s="2">
        <v>0.72499999999999998</v>
      </c>
      <c r="Y97" s="2">
        <v>213.1</v>
      </c>
      <c r="Z97" s="2">
        <v>80.099999999999994</v>
      </c>
      <c r="AA97" s="2" t="s">
        <v>83</v>
      </c>
      <c r="AB97" s="2">
        <v>155.4</v>
      </c>
      <c r="AC97" s="2">
        <v>51.5</v>
      </c>
      <c r="AD97" s="2">
        <v>1220767.296875</v>
      </c>
      <c r="AE97" s="2">
        <v>985441.7734375</v>
      </c>
      <c r="AF97" s="2">
        <v>777583.8515625</v>
      </c>
      <c r="AG97" s="2">
        <v>786452.4140625</v>
      </c>
      <c r="AH97" s="2">
        <v>776416.7421875</v>
      </c>
      <c r="AI97" s="2" t="s">
        <v>83</v>
      </c>
      <c r="AJ97" s="2" t="s">
        <v>83</v>
      </c>
      <c r="AK97" s="2" t="s">
        <v>83</v>
      </c>
      <c r="AL97" s="2" t="s">
        <v>83</v>
      </c>
      <c r="AM97" s="2">
        <v>5583.96142578125</v>
      </c>
      <c r="AN97" s="2" t="s">
        <v>83</v>
      </c>
      <c r="AO97" s="2" t="s">
        <v>83</v>
      </c>
      <c r="AP97" s="2" t="s">
        <v>83</v>
      </c>
      <c r="AQ97" s="2" t="s">
        <v>83</v>
      </c>
      <c r="AR97" s="2" t="s">
        <v>83</v>
      </c>
      <c r="AS97" s="2">
        <v>69840.4453125</v>
      </c>
      <c r="AT97" s="2">
        <v>132839.99511718799</v>
      </c>
      <c r="AU97" s="2">
        <v>88589.52734375</v>
      </c>
      <c r="AV97" s="2">
        <v>95628.765625</v>
      </c>
      <c r="AW97" s="2">
        <v>105215.2109375</v>
      </c>
      <c r="AX97" s="2" t="s">
        <v>83</v>
      </c>
      <c r="AY97" s="2">
        <v>15250.6298828125</v>
      </c>
      <c r="AZ97" s="2" t="s">
        <v>83</v>
      </c>
      <c r="BA97" s="2" t="s">
        <v>83</v>
      </c>
      <c r="BB97" s="2">
        <v>13349.0498046875</v>
      </c>
      <c r="BC97" s="2" t="s">
        <v>79</v>
      </c>
      <c r="BD97" s="2" t="s">
        <v>79</v>
      </c>
      <c r="BE97" s="2" t="s">
        <v>79</v>
      </c>
      <c r="BF97" s="2" t="s">
        <v>79</v>
      </c>
      <c r="BG97" s="2" t="s">
        <v>79</v>
      </c>
      <c r="BH97" s="2" t="s">
        <v>98</v>
      </c>
      <c r="BI97" s="2" t="s">
        <v>98</v>
      </c>
      <c r="BJ97" s="2" t="s">
        <v>98</v>
      </c>
      <c r="BK97" s="2" t="s">
        <v>98</v>
      </c>
      <c r="BL97" s="2" t="s">
        <v>91</v>
      </c>
      <c r="BM97" s="2" t="s">
        <v>98</v>
      </c>
      <c r="BN97" s="2" t="s">
        <v>98</v>
      </c>
      <c r="BO97" s="2" t="s">
        <v>98</v>
      </c>
      <c r="BP97" s="2" t="s">
        <v>98</v>
      </c>
      <c r="BQ97" s="2" t="s">
        <v>98</v>
      </c>
      <c r="BR97" s="2" t="s">
        <v>91</v>
      </c>
      <c r="BS97" s="2" t="s">
        <v>79</v>
      </c>
      <c r="BT97" s="2" t="s">
        <v>79</v>
      </c>
      <c r="BU97" s="2" t="s">
        <v>79</v>
      </c>
      <c r="BV97" s="2" t="s">
        <v>91</v>
      </c>
      <c r="BW97" s="2" t="s">
        <v>98</v>
      </c>
      <c r="BX97" s="2" t="s">
        <v>91</v>
      </c>
      <c r="BY97" s="2" t="s">
        <v>98</v>
      </c>
      <c r="BZ97" s="2" t="s">
        <v>98</v>
      </c>
      <c r="CA97" s="2" t="s">
        <v>91</v>
      </c>
      <c r="CB97" t="e">
        <f>TTEST(AS97:AW97,AI97:AM97,2,2)</f>
        <v>#DIV/0!</v>
      </c>
      <c r="CC97" t="e">
        <f>TTEST(AD97:AH97,AI97:AM97,2,2)</f>
        <v>#DIV/0!</v>
      </c>
      <c r="CD97" t="e">
        <f>TTEST(AN97:AR97,AI97:AM97,2,2)</f>
        <v>#DIV/0!</v>
      </c>
      <c r="CE97" t="e">
        <f>TTEST(AX97:BB97,AI97:AM97,2,2)</f>
        <v>#DIV/0!</v>
      </c>
      <c r="CF97">
        <v>245</v>
      </c>
      <c r="CG97">
        <v>259</v>
      </c>
      <c r="CH97">
        <v>263</v>
      </c>
      <c r="CI97">
        <v>289</v>
      </c>
      <c r="CJ97">
        <f>0.05*CF97/464</f>
        <v>2.6400862068965518E-2</v>
      </c>
      <c r="CK97">
        <f>0.05*CG97/464</f>
        <v>2.7909482758620693E-2</v>
      </c>
      <c r="CL97">
        <f>0.05*CH97/464</f>
        <v>2.8340517241379311E-2</v>
      </c>
      <c r="CM97">
        <f>0.05*CI97/464</f>
        <v>3.1142241379310348E-2</v>
      </c>
      <c r="CN97" t="e">
        <f>IF(CB97&lt;CJ97,"yes","no")</f>
        <v>#DIV/0!</v>
      </c>
      <c r="CO97" t="e">
        <f>IF(CC97&lt;CK97,"yes","no")</f>
        <v>#DIV/0!</v>
      </c>
      <c r="CP97" t="e">
        <f>IF(CD97&lt;CL97,"yes","no")</f>
        <v>#DIV/0!</v>
      </c>
      <c r="CQ97" t="e">
        <f>IF(CE97&lt;CM97,"yes","no")</f>
        <v>#DIV/0!</v>
      </c>
      <c r="CR97">
        <f>TTEST(AS97:AW97,AD97:AH97,2,2)</f>
        <v>1.5641905469601494E-5</v>
      </c>
      <c r="CS97" t="e">
        <f>TTEST(AS97:AW97,AN97:AR97,2,2)</f>
        <v>#DIV/0!</v>
      </c>
      <c r="CT97">
        <f>TTEST(AS97:AW97,AX97:BB97,2,2)</f>
        <v>4.6970952510669867E-3</v>
      </c>
      <c r="CU97">
        <v>102</v>
      </c>
      <c r="CV97">
        <v>281</v>
      </c>
      <c r="CW97">
        <v>96</v>
      </c>
      <c r="CX97">
        <f t="shared" si="3"/>
        <v>1.0991379310344829E-2</v>
      </c>
      <c r="CY97">
        <f t="shared" si="4"/>
        <v>3.0280172413793105E-2</v>
      </c>
      <c r="CZ97">
        <f t="shared" si="5"/>
        <v>1.0344827586206898E-2</v>
      </c>
      <c r="DA97" t="str">
        <f>IF(CR97&lt;CX97,"yes","no")</f>
        <v>yes</v>
      </c>
      <c r="DB97" t="e">
        <f>IF(CS97&lt;CY97,"yes","no")</f>
        <v>#DIV/0!</v>
      </c>
      <c r="DC97" t="str">
        <f>IF(CT97&lt;CZ97,"yes","no")</f>
        <v>yes</v>
      </c>
    </row>
    <row r="98" spans="1:107" x14ac:dyDescent="0.2">
      <c r="A98" s="2" t="b">
        <v>0</v>
      </c>
      <c r="B98" s="2" t="s">
        <v>79</v>
      </c>
      <c r="C98" s="2" t="s">
        <v>80</v>
      </c>
      <c r="D98" s="2" t="s">
        <v>262</v>
      </c>
      <c r="E98" s="2" t="s">
        <v>263</v>
      </c>
      <c r="F98" s="2">
        <v>10</v>
      </c>
      <c r="G98" s="2">
        <v>3</v>
      </c>
      <c r="H98" s="2">
        <v>42.1</v>
      </c>
      <c r="I98" s="2">
        <v>5.48</v>
      </c>
      <c r="J98" s="2" t="s">
        <v>228</v>
      </c>
      <c r="K98" s="2" t="s">
        <v>264</v>
      </c>
      <c r="L98" s="2" t="s">
        <v>146</v>
      </c>
      <c r="M98" s="2" t="s">
        <v>265</v>
      </c>
      <c r="N98" s="2" t="s">
        <v>262</v>
      </c>
      <c r="O98" s="2">
        <v>31.748000000000001</v>
      </c>
      <c r="P98" s="2">
        <v>2.5840000000000001</v>
      </c>
      <c r="Q98" s="2">
        <v>3.09</v>
      </c>
      <c r="R98" s="2">
        <v>0.17199999999999999</v>
      </c>
      <c r="S98" s="2">
        <v>6.0519999999999996</v>
      </c>
      <c r="T98" s="2">
        <v>0.42599999999999999</v>
      </c>
      <c r="U98" s="2">
        <v>0.70799999999999996</v>
      </c>
      <c r="V98" s="2">
        <v>7.0999999999999994E-2</v>
      </c>
      <c r="W98" s="2">
        <v>0.11700000000000001</v>
      </c>
      <c r="X98" s="2">
        <v>1.1299999999999999</v>
      </c>
      <c r="Y98" s="2">
        <v>12.3</v>
      </c>
      <c r="Z98" s="2">
        <v>52.2</v>
      </c>
      <c r="AA98" s="2">
        <v>367.1</v>
      </c>
      <c r="AB98" s="2">
        <v>31.5</v>
      </c>
      <c r="AC98" s="2">
        <v>37</v>
      </c>
      <c r="AD98" s="2">
        <v>5566253.91015625</v>
      </c>
      <c r="AE98" s="2">
        <v>4884899.3208007803</v>
      </c>
      <c r="AF98" s="2">
        <v>4694553.59375</v>
      </c>
      <c r="AG98" s="2">
        <v>6516865.7392578097</v>
      </c>
      <c r="AH98" s="2">
        <v>3107987.03125</v>
      </c>
      <c r="AI98" s="2">
        <v>493308.4296875</v>
      </c>
      <c r="AJ98" s="2">
        <v>452119.26074218802</v>
      </c>
      <c r="AK98" s="2">
        <v>434488.599609375</v>
      </c>
      <c r="AL98" s="2">
        <v>2210404.01953125</v>
      </c>
      <c r="AM98" s="2">
        <v>373983.72363281302</v>
      </c>
      <c r="AN98" s="2">
        <v>2531777.3447265602</v>
      </c>
      <c r="AO98" s="2">
        <v>2888586.7568359398</v>
      </c>
      <c r="AP98" s="2">
        <v>3706386.3378906301</v>
      </c>
      <c r="AQ98" s="2">
        <v>3293311.4404296898</v>
      </c>
      <c r="AR98" s="2">
        <v>4542024.1787109403</v>
      </c>
      <c r="AS98" s="2">
        <v>1767389.43994141</v>
      </c>
      <c r="AT98" s="2">
        <v>2924617.0893554701</v>
      </c>
      <c r="AU98" s="2">
        <v>1833635.14306641</v>
      </c>
      <c r="AV98" s="2">
        <v>2004493.34619141</v>
      </c>
      <c r="AW98" s="2">
        <v>2336183.1640625</v>
      </c>
      <c r="AX98" s="2">
        <v>728416.400390625</v>
      </c>
      <c r="AY98" s="2">
        <v>1892357.75</v>
      </c>
      <c r="AZ98" s="2">
        <v>915670.56640625</v>
      </c>
      <c r="BA98" s="2">
        <v>893803.49511718797</v>
      </c>
      <c r="BB98" s="2">
        <v>761144.630859375</v>
      </c>
      <c r="BC98" s="2" t="s">
        <v>79</v>
      </c>
      <c r="BD98" s="2" t="s">
        <v>79</v>
      </c>
      <c r="BE98" s="2" t="s">
        <v>79</v>
      </c>
      <c r="BF98" s="2" t="s">
        <v>79</v>
      </c>
      <c r="BG98" s="2" t="s">
        <v>79</v>
      </c>
      <c r="BH98" s="2" t="s">
        <v>91</v>
      </c>
      <c r="BI98" s="2" t="s">
        <v>79</v>
      </c>
      <c r="BJ98" s="2" t="s">
        <v>79</v>
      </c>
      <c r="BK98" s="2" t="s">
        <v>79</v>
      </c>
      <c r="BL98" s="2" t="s">
        <v>91</v>
      </c>
      <c r="BM98" s="2" t="s">
        <v>79</v>
      </c>
      <c r="BN98" s="2" t="s">
        <v>79</v>
      </c>
      <c r="BO98" s="2" t="s">
        <v>79</v>
      </c>
      <c r="BP98" s="2" t="s">
        <v>79</v>
      </c>
      <c r="BQ98" s="2" t="s">
        <v>79</v>
      </c>
      <c r="BR98" s="2" t="s">
        <v>79</v>
      </c>
      <c r="BS98" s="2" t="s">
        <v>79</v>
      </c>
      <c r="BT98" s="2" t="s">
        <v>79</v>
      </c>
      <c r="BU98" s="2" t="s">
        <v>79</v>
      </c>
      <c r="BV98" s="2" t="s">
        <v>79</v>
      </c>
      <c r="BW98" s="2" t="s">
        <v>79</v>
      </c>
      <c r="BX98" s="2" t="s">
        <v>79</v>
      </c>
      <c r="BY98" s="2" t="s">
        <v>79</v>
      </c>
      <c r="BZ98" s="2" t="s">
        <v>79</v>
      </c>
      <c r="CA98" s="2" t="s">
        <v>79</v>
      </c>
      <c r="CB98">
        <f>TTEST(AS98:AW98,AI98:AM98,2,2)</f>
        <v>1.0250122896409907E-2</v>
      </c>
      <c r="CC98">
        <f>TTEST(AD98:AH98,AI98:AM98,2,2)</f>
        <v>2.4110373476671524E-4</v>
      </c>
      <c r="CD98">
        <f>TTEST(AN98:AR98,AI98:AM98,2,2)</f>
        <v>7.9419123850640329E-4</v>
      </c>
      <c r="CE98">
        <f>TTEST(AX98:BB98,AI98:AM98,2,2)</f>
        <v>0.5713023948848841</v>
      </c>
      <c r="CF98">
        <v>132</v>
      </c>
      <c r="CG98">
        <v>119</v>
      </c>
      <c r="CH98">
        <v>71</v>
      </c>
      <c r="CI98">
        <v>166</v>
      </c>
      <c r="CJ98">
        <f>0.05*CF98/464</f>
        <v>1.4224137931034483E-2</v>
      </c>
      <c r="CK98">
        <f>0.05*CG98/464</f>
        <v>1.2823275862068965E-2</v>
      </c>
      <c r="CL98">
        <f>0.05*CH98/464</f>
        <v>7.6508620689655178E-3</v>
      </c>
      <c r="CM98">
        <f>0.05*CI98/464</f>
        <v>1.788793103448276E-2</v>
      </c>
      <c r="CN98" t="str">
        <f>IF(CB98&lt;CJ98,"yes","no")</f>
        <v>yes</v>
      </c>
      <c r="CO98" t="str">
        <f>IF(CC98&lt;CK98,"yes","no")</f>
        <v>yes</v>
      </c>
      <c r="CP98" t="str">
        <f>IF(CD98&lt;CL98,"yes","no")</f>
        <v>yes</v>
      </c>
      <c r="CQ98" t="str">
        <f>IF(CE98&lt;CM98,"yes","no")</f>
        <v>no</v>
      </c>
      <c r="CR98">
        <f>TTEST(AS98:AW98,AD98:AH98,2,2)</f>
        <v>1.675461826784749E-3</v>
      </c>
      <c r="CS98">
        <f>TTEST(AS98:AW98,AN98:AR98,2,2)</f>
        <v>1.732304201964039E-2</v>
      </c>
      <c r="CT98">
        <f>TTEST(AS98:AW98,AX98:BB98,2,2)</f>
        <v>5.6714662185875795E-3</v>
      </c>
      <c r="CU98">
        <v>169</v>
      </c>
      <c r="CV98">
        <v>142</v>
      </c>
      <c r="CW98">
        <v>97</v>
      </c>
      <c r="CX98">
        <f t="shared" si="3"/>
        <v>1.8211206896551726E-2</v>
      </c>
      <c r="CY98">
        <f t="shared" si="4"/>
        <v>1.5301724137931036E-2</v>
      </c>
      <c r="CZ98">
        <f t="shared" si="5"/>
        <v>1.0452586206896554E-2</v>
      </c>
      <c r="DA98" t="str">
        <f>IF(CR98&lt;CX98,"yes","no")</f>
        <v>yes</v>
      </c>
      <c r="DB98" t="str">
        <f>IF(CS98&lt;CY98,"yes","no")</f>
        <v>no</v>
      </c>
      <c r="DC98" t="str">
        <f>IF(CT98&lt;CZ98,"yes","no")</f>
        <v>yes</v>
      </c>
    </row>
    <row r="99" spans="1:107" x14ac:dyDescent="0.2">
      <c r="A99" s="2" t="b">
        <v>0</v>
      </c>
      <c r="B99" s="2" t="s">
        <v>79</v>
      </c>
      <c r="C99" s="2" t="s">
        <v>80</v>
      </c>
      <c r="D99" s="2" t="s">
        <v>745</v>
      </c>
      <c r="E99" s="2" t="s">
        <v>746</v>
      </c>
      <c r="F99" s="2">
        <v>2</v>
      </c>
      <c r="G99" s="2">
        <v>1</v>
      </c>
      <c r="H99" s="2">
        <v>13.1</v>
      </c>
      <c r="I99" s="2">
        <v>7.84</v>
      </c>
      <c r="J99" s="2" t="s">
        <v>83</v>
      </c>
      <c r="K99" s="2" t="s">
        <v>83</v>
      </c>
      <c r="L99" s="2" t="s">
        <v>83</v>
      </c>
      <c r="M99" s="2" t="s">
        <v>83</v>
      </c>
      <c r="N99" s="2" t="s">
        <v>745</v>
      </c>
      <c r="O99" s="2">
        <v>4.7039999999999997</v>
      </c>
      <c r="P99" s="2">
        <v>0.77900000000000003</v>
      </c>
      <c r="Q99" s="2">
        <v>1.0129999999999999</v>
      </c>
      <c r="R99" s="2">
        <v>1.3680000000000001</v>
      </c>
      <c r="S99" s="2">
        <v>7.0730000000000004</v>
      </c>
      <c r="T99" s="2">
        <v>1.1679999999999999</v>
      </c>
      <c r="U99" s="2">
        <v>1.5920000000000001</v>
      </c>
      <c r="V99" s="2">
        <v>0.17100000000000001</v>
      </c>
      <c r="W99" s="2">
        <v>0.218</v>
      </c>
      <c r="X99" s="2">
        <v>1.3</v>
      </c>
      <c r="Y99" s="2">
        <v>65</v>
      </c>
      <c r="Z99" s="2">
        <v>40.799999999999997</v>
      </c>
      <c r="AA99" s="2">
        <v>287</v>
      </c>
      <c r="AB99" s="2">
        <v>49.1</v>
      </c>
      <c r="AC99" s="2">
        <v>58.1</v>
      </c>
      <c r="AD99" s="2">
        <v>1055818.09375</v>
      </c>
      <c r="AE99" s="2">
        <v>910553.9375</v>
      </c>
      <c r="AF99" s="2">
        <v>725384.09765625</v>
      </c>
      <c r="AG99" s="2">
        <v>799253.71875</v>
      </c>
      <c r="AH99" s="2">
        <v>788343.03125</v>
      </c>
      <c r="AI99" s="2">
        <v>9375.1730957031305</v>
      </c>
      <c r="AJ99" s="2" t="s">
        <v>83</v>
      </c>
      <c r="AK99" s="2">
        <v>11047.85546875</v>
      </c>
      <c r="AL99" s="2">
        <v>47533.3388671875</v>
      </c>
      <c r="AM99" s="2">
        <v>4810.18408203125</v>
      </c>
      <c r="AN99" s="2">
        <v>44734.8046875</v>
      </c>
      <c r="AO99" s="2">
        <v>57176.9912109375</v>
      </c>
      <c r="AP99" s="2">
        <v>87173.125</v>
      </c>
      <c r="AQ99" s="2">
        <v>72328.095703125</v>
      </c>
      <c r="AR99" s="2">
        <v>124391.2890625</v>
      </c>
      <c r="AS99" s="2">
        <v>87969.34375</v>
      </c>
      <c r="AT99" s="2">
        <v>124786.287109375</v>
      </c>
      <c r="AU99" s="2">
        <v>98195.943359375</v>
      </c>
      <c r="AV99" s="2">
        <v>75427.4765625</v>
      </c>
      <c r="AW99" s="2">
        <v>115854.5390625</v>
      </c>
      <c r="AX99" s="2">
        <v>36347.8828125</v>
      </c>
      <c r="AY99" s="2">
        <v>91883.4140625</v>
      </c>
      <c r="AZ99" s="2">
        <v>41443.9140625</v>
      </c>
      <c r="BA99" s="2">
        <v>34695.63671875</v>
      </c>
      <c r="BB99" s="2">
        <v>38881.53515625</v>
      </c>
      <c r="BC99" s="2" t="s">
        <v>79</v>
      </c>
      <c r="BD99" s="2" t="s">
        <v>91</v>
      </c>
      <c r="BE99" s="2" t="s">
        <v>91</v>
      </c>
      <c r="BF99" s="2" t="s">
        <v>79</v>
      </c>
      <c r="BG99" s="2" t="s">
        <v>79</v>
      </c>
      <c r="BH99" s="2" t="s">
        <v>98</v>
      </c>
      <c r="BI99" s="2" t="s">
        <v>98</v>
      </c>
      <c r="BJ99" s="2" t="s">
        <v>98</v>
      </c>
      <c r="BK99" s="2" t="s">
        <v>98</v>
      </c>
      <c r="BL99" s="2" t="s">
        <v>98</v>
      </c>
      <c r="BM99" s="2" t="s">
        <v>98</v>
      </c>
      <c r="BN99" s="2" t="s">
        <v>98</v>
      </c>
      <c r="BO99" s="2" t="s">
        <v>98</v>
      </c>
      <c r="BP99" s="2" t="s">
        <v>98</v>
      </c>
      <c r="BQ99" s="2" t="s">
        <v>98</v>
      </c>
      <c r="BR99" s="2" t="s">
        <v>98</v>
      </c>
      <c r="BS99" s="2" t="s">
        <v>79</v>
      </c>
      <c r="BT99" s="2" t="s">
        <v>91</v>
      </c>
      <c r="BU99" s="2" t="s">
        <v>98</v>
      </c>
      <c r="BV99" s="2" t="s">
        <v>79</v>
      </c>
      <c r="BW99" s="2" t="s">
        <v>98</v>
      </c>
      <c r="BX99" s="2" t="s">
        <v>98</v>
      </c>
      <c r="BY99" s="2" t="s">
        <v>98</v>
      </c>
      <c r="BZ99" s="2" t="s">
        <v>98</v>
      </c>
      <c r="CA99" s="2" t="s">
        <v>98</v>
      </c>
      <c r="CB99">
        <f>TTEST(AS99:AW99,AI99:AM99,2,2)</f>
        <v>4.688699778950693E-4</v>
      </c>
      <c r="CC99">
        <f>TTEST(AD99:AH99,AI99:AM99,2,2)</f>
        <v>4.6195155810927112E-6</v>
      </c>
      <c r="CD99">
        <f>TTEST(AN99:AR99,AI99:AM99,2,2)</f>
        <v>1.3161012905919766E-2</v>
      </c>
      <c r="CE99">
        <f>TTEST(AX99:BB99,AI99:AM99,2,2)</f>
        <v>8.2938246426513457E-2</v>
      </c>
      <c r="CF99">
        <v>90</v>
      </c>
      <c r="CG99">
        <v>76</v>
      </c>
      <c r="CH99">
        <v>100</v>
      </c>
      <c r="CI99">
        <v>119</v>
      </c>
      <c r="CJ99">
        <f>0.05*CF99/464</f>
        <v>9.6982758620689658E-3</v>
      </c>
      <c r="CK99">
        <f>0.05*CG99/464</f>
        <v>8.1896551724137939E-3</v>
      </c>
      <c r="CL99">
        <f>0.05*CH99/464</f>
        <v>1.0775862068965518E-2</v>
      </c>
      <c r="CM99">
        <f>0.05*CI99/464</f>
        <v>1.2823275862068965E-2</v>
      </c>
      <c r="CN99" t="str">
        <f>IF(CB99&lt;CJ99,"yes","no")</f>
        <v>yes</v>
      </c>
      <c r="CO99" t="str">
        <f>IF(CC99&lt;CK99,"yes","no")</f>
        <v>yes</v>
      </c>
      <c r="CP99" t="str">
        <f>IF(CD99&lt;CL99,"yes","no")</f>
        <v>no</v>
      </c>
      <c r="CQ99" t="str">
        <f>IF(CE99&lt;CM99,"yes","no")</f>
        <v>no</v>
      </c>
      <c r="CR99">
        <f>TTEST(AS99:AW99,AD99:AH99,2,2)</f>
        <v>1.2888124046379322E-6</v>
      </c>
      <c r="CS99">
        <f>TTEST(AS99:AW99,AN99:AR99,2,2)</f>
        <v>0.19499099830190575</v>
      </c>
      <c r="CT99">
        <f>TTEST(AS99:AW99,AX99:BB99,2,2)</f>
        <v>6.2898041476656631E-3</v>
      </c>
      <c r="CU99">
        <v>60</v>
      </c>
      <c r="CV99">
        <v>196</v>
      </c>
      <c r="CW99">
        <v>98</v>
      </c>
      <c r="CX99">
        <f t="shared" si="3"/>
        <v>6.4655172413793103E-3</v>
      </c>
      <c r="CY99">
        <f t="shared" si="4"/>
        <v>2.1120689655172414E-2</v>
      </c>
      <c r="CZ99">
        <f t="shared" si="5"/>
        <v>1.0560344827586207E-2</v>
      </c>
      <c r="DA99" t="str">
        <f>IF(CR99&lt;CX99,"yes","no")</f>
        <v>yes</v>
      </c>
      <c r="DB99" t="str">
        <f>IF(CS99&lt;CY99,"yes","no")</f>
        <v>no</v>
      </c>
      <c r="DC99" t="str">
        <f>IF(CT99&lt;CZ99,"yes","no")</f>
        <v>yes</v>
      </c>
    </row>
    <row r="100" spans="1:107" x14ac:dyDescent="0.2">
      <c r="A100" s="2" t="b">
        <v>0</v>
      </c>
      <c r="B100" s="2" t="s">
        <v>79</v>
      </c>
      <c r="C100" s="2" t="s">
        <v>80</v>
      </c>
      <c r="D100" s="2" t="s">
        <v>1184</v>
      </c>
      <c r="E100" s="2" t="s">
        <v>1185</v>
      </c>
      <c r="F100" s="2">
        <v>2</v>
      </c>
      <c r="G100" s="2">
        <v>1</v>
      </c>
      <c r="H100" s="2">
        <v>17.399999999999999</v>
      </c>
      <c r="I100" s="2">
        <v>7.3</v>
      </c>
      <c r="J100" s="2" t="s">
        <v>254</v>
      </c>
      <c r="K100" s="2" t="s">
        <v>84</v>
      </c>
      <c r="L100" s="2" t="s">
        <v>83</v>
      </c>
      <c r="M100" s="2" t="s">
        <v>83</v>
      </c>
      <c r="N100" s="2" t="s">
        <v>1184</v>
      </c>
      <c r="O100" s="2">
        <v>0.69499999999999995</v>
      </c>
      <c r="P100" s="2">
        <v>0.88100000000000001</v>
      </c>
      <c r="Q100" s="2">
        <v>0.63400000000000001</v>
      </c>
      <c r="R100" s="2">
        <v>0.65900000000000003</v>
      </c>
      <c r="S100" s="2">
        <v>0.45800000000000002</v>
      </c>
      <c r="T100" s="2">
        <v>0.86499999999999999</v>
      </c>
      <c r="U100" s="2">
        <v>0.59899999999999998</v>
      </c>
      <c r="V100" s="2">
        <v>1.796</v>
      </c>
      <c r="W100" s="2">
        <v>1.3069999999999999</v>
      </c>
      <c r="X100" s="2">
        <v>0.71799999999999997</v>
      </c>
      <c r="Y100" s="2">
        <v>92</v>
      </c>
      <c r="Z100" s="2">
        <v>139.6</v>
      </c>
      <c r="AA100" s="2">
        <v>64</v>
      </c>
      <c r="AB100" s="2">
        <v>120.8</v>
      </c>
      <c r="AC100" s="2">
        <v>83.6</v>
      </c>
      <c r="AD100" s="2">
        <v>663954.6875</v>
      </c>
      <c r="AE100" s="2">
        <v>437110.65625</v>
      </c>
      <c r="AF100" s="2">
        <v>410071.8125</v>
      </c>
      <c r="AG100" s="2">
        <v>1246526.875</v>
      </c>
      <c r="AH100" s="2">
        <v>899624.8125</v>
      </c>
      <c r="AI100" s="2" t="s">
        <v>83</v>
      </c>
      <c r="AJ100" s="2" t="s">
        <v>83</v>
      </c>
      <c r="AK100" s="2" t="s">
        <v>83</v>
      </c>
      <c r="AL100" s="2">
        <v>26257.439453125</v>
      </c>
      <c r="AM100" s="2" t="s">
        <v>83</v>
      </c>
      <c r="AN100" s="2">
        <v>6056.64794921875</v>
      </c>
      <c r="AO100" s="2" t="s">
        <v>83</v>
      </c>
      <c r="AP100" s="2" t="s">
        <v>83</v>
      </c>
      <c r="AQ100" s="2">
        <v>9312.4501953125</v>
      </c>
      <c r="AR100" s="2" t="s">
        <v>83</v>
      </c>
      <c r="AS100" s="2">
        <v>58303.78515625</v>
      </c>
      <c r="AT100" s="2">
        <v>165583.921875</v>
      </c>
      <c r="AU100" s="2">
        <v>101930.9296875</v>
      </c>
      <c r="AV100" s="2">
        <v>111302.53125</v>
      </c>
      <c r="AW100" s="2">
        <v>82298.9140625</v>
      </c>
      <c r="AX100" s="2">
        <v>26739.021484375</v>
      </c>
      <c r="AY100" s="2">
        <v>26997.064453125</v>
      </c>
      <c r="AZ100" s="2">
        <v>34666.32421875</v>
      </c>
      <c r="BA100" s="2">
        <v>25110.498046875</v>
      </c>
      <c r="BB100" s="2" t="s">
        <v>83</v>
      </c>
      <c r="BC100" s="2" t="s">
        <v>79</v>
      </c>
      <c r="BD100" s="2" t="s">
        <v>79</v>
      </c>
      <c r="BE100" s="2" t="s">
        <v>79</v>
      </c>
      <c r="BF100" s="2" t="s">
        <v>79</v>
      </c>
      <c r="BG100" s="2" t="s">
        <v>79</v>
      </c>
      <c r="BH100" s="2" t="s">
        <v>98</v>
      </c>
      <c r="BI100" s="2" t="s">
        <v>98</v>
      </c>
      <c r="BJ100" s="2" t="s">
        <v>98</v>
      </c>
      <c r="BK100" s="2" t="s">
        <v>91</v>
      </c>
      <c r="BL100" s="2" t="s">
        <v>98</v>
      </c>
      <c r="BM100" s="2" t="s">
        <v>91</v>
      </c>
      <c r="BN100" s="2" t="s">
        <v>98</v>
      </c>
      <c r="BO100" s="2" t="s">
        <v>98</v>
      </c>
      <c r="BP100" s="2" t="s">
        <v>91</v>
      </c>
      <c r="BQ100" s="2" t="s">
        <v>98</v>
      </c>
      <c r="BR100" s="2" t="s">
        <v>79</v>
      </c>
      <c r="BS100" s="2" t="s">
        <v>79</v>
      </c>
      <c r="BT100" s="2" t="s">
        <v>79</v>
      </c>
      <c r="BU100" s="2" t="s">
        <v>79</v>
      </c>
      <c r="BV100" s="2" t="s">
        <v>79</v>
      </c>
      <c r="BW100" s="2" t="s">
        <v>91</v>
      </c>
      <c r="BX100" s="2" t="s">
        <v>91</v>
      </c>
      <c r="BY100" s="2" t="s">
        <v>91</v>
      </c>
      <c r="BZ100" s="2" t="s">
        <v>91</v>
      </c>
      <c r="CA100" s="2" t="s">
        <v>98</v>
      </c>
      <c r="CB100" t="e">
        <f>TTEST(AS100:AW100,AI100:AM100,2,2)</f>
        <v>#DIV/0!</v>
      </c>
      <c r="CC100" t="e">
        <f>TTEST(AD100:AH100,AI100:AM100,2,2)</f>
        <v>#DIV/0!</v>
      </c>
      <c r="CD100" t="e">
        <f>TTEST(AN100:AR100,AI100:AM100,2,2)</f>
        <v>#DIV/0!</v>
      </c>
      <c r="CE100" t="e">
        <f>TTEST(AX100:BB100,AI100:AM100,2,2)</f>
        <v>#DIV/0!</v>
      </c>
      <c r="CF100">
        <v>269</v>
      </c>
      <c r="CG100">
        <v>283</v>
      </c>
      <c r="CH100">
        <v>287</v>
      </c>
      <c r="CI100">
        <v>246</v>
      </c>
      <c r="CJ100">
        <f>0.05*CF100/464</f>
        <v>2.8987068965517244E-2</v>
      </c>
      <c r="CK100">
        <f>0.05*CG100/464</f>
        <v>3.0495689655172416E-2</v>
      </c>
      <c r="CL100">
        <f>0.05*CH100/464</f>
        <v>3.0926724137931037E-2</v>
      </c>
      <c r="CM100">
        <f>0.05*CI100/464</f>
        <v>2.6508620689655173E-2</v>
      </c>
      <c r="CN100" t="e">
        <f>IF(CB100&lt;CJ100,"yes","no")</f>
        <v>#DIV/0!</v>
      </c>
      <c r="CO100" t="e">
        <f>IF(CC100&lt;CK100,"yes","no")</f>
        <v>#DIV/0!</v>
      </c>
      <c r="CP100" t="e">
        <f>IF(CD100&lt;CL100,"yes","no")</f>
        <v>#DIV/0!</v>
      </c>
      <c r="CQ100" t="e">
        <f>IF(CE100&lt;CM100,"yes","no")</f>
        <v>#DIV/0!</v>
      </c>
      <c r="CR100">
        <f>TTEST(AS100:AW100,AD100:AH100,2,2)</f>
        <v>3.9983125238136769E-3</v>
      </c>
      <c r="CS100">
        <f>TTEST(AS100:AW100,AN100:AR100,2,2)</f>
        <v>2.372440783464291E-2</v>
      </c>
      <c r="CT100">
        <f>TTEST(AS100:AW100,AX100:BB100,2,2)</f>
        <v>7.6146763194938046E-3</v>
      </c>
      <c r="CU100">
        <v>182</v>
      </c>
      <c r="CV100">
        <v>153</v>
      </c>
      <c r="CW100">
        <v>99</v>
      </c>
      <c r="CX100">
        <f t="shared" si="3"/>
        <v>1.9612068965517239E-2</v>
      </c>
      <c r="CY100">
        <f t="shared" si="4"/>
        <v>1.6487068965517243E-2</v>
      </c>
      <c r="CZ100">
        <f t="shared" si="5"/>
        <v>1.0668103448275863E-2</v>
      </c>
      <c r="DA100" t="str">
        <f>IF(CR100&lt;CX100,"yes","no")</f>
        <v>yes</v>
      </c>
      <c r="DB100" t="str">
        <f>IF(CS100&lt;CY100,"yes","no")</f>
        <v>no</v>
      </c>
      <c r="DC100" t="str">
        <f>IF(CT100&lt;CZ100,"yes","no")</f>
        <v>yes</v>
      </c>
    </row>
    <row r="101" spans="1:107" x14ac:dyDescent="0.2">
      <c r="A101" s="2" t="b">
        <v>0</v>
      </c>
      <c r="B101" s="2" t="s">
        <v>79</v>
      </c>
      <c r="C101" s="2" t="s">
        <v>80</v>
      </c>
      <c r="D101" s="2" t="s">
        <v>386</v>
      </c>
      <c r="E101" s="2" t="s">
        <v>387</v>
      </c>
      <c r="F101" s="2">
        <v>11</v>
      </c>
      <c r="G101" s="2">
        <v>4</v>
      </c>
      <c r="H101" s="2">
        <v>52.6</v>
      </c>
      <c r="I101" s="2">
        <v>5.49</v>
      </c>
      <c r="J101" s="2" t="s">
        <v>228</v>
      </c>
      <c r="K101" s="2" t="s">
        <v>271</v>
      </c>
      <c r="L101" s="2" t="s">
        <v>146</v>
      </c>
      <c r="M101" s="2" t="s">
        <v>388</v>
      </c>
      <c r="N101" s="2" t="s">
        <v>386</v>
      </c>
      <c r="O101" s="2">
        <v>7.3559999999999999</v>
      </c>
      <c r="P101" s="2">
        <v>0.64</v>
      </c>
      <c r="Q101" s="2">
        <v>1.2689999999999999</v>
      </c>
      <c r="R101" s="2">
        <v>0.86899999999999999</v>
      </c>
      <c r="S101" s="2">
        <v>6.2050000000000001</v>
      </c>
      <c r="T101" s="2">
        <v>0.76200000000000001</v>
      </c>
      <c r="U101" s="2">
        <v>1.143</v>
      </c>
      <c r="V101" s="2">
        <v>0.112</v>
      </c>
      <c r="W101" s="2">
        <v>0.251</v>
      </c>
      <c r="X101" s="2">
        <v>1.774</v>
      </c>
      <c r="Y101" s="2">
        <v>193.2</v>
      </c>
      <c r="Z101" s="2">
        <v>43.1</v>
      </c>
      <c r="AA101" s="2">
        <v>147.80000000000001</v>
      </c>
      <c r="AB101" s="2">
        <v>73.8</v>
      </c>
      <c r="AC101" s="2">
        <v>42.1</v>
      </c>
      <c r="AD101" s="2">
        <v>108631860.509766</v>
      </c>
      <c r="AE101" s="2">
        <v>75006729.176757798</v>
      </c>
      <c r="AF101" s="2">
        <v>51272178.449218802</v>
      </c>
      <c r="AG101" s="2">
        <v>45900900.6875</v>
      </c>
      <c r="AH101" s="2">
        <v>22624127.291015599</v>
      </c>
      <c r="AI101" s="2">
        <v>231162.93652343799</v>
      </c>
      <c r="AJ101" s="2">
        <v>411562.076171875</v>
      </c>
      <c r="AK101" s="2">
        <v>409572.31201171898</v>
      </c>
      <c r="AL101" s="2">
        <v>392741.97509765602</v>
      </c>
      <c r="AM101" s="2">
        <v>23019.982421875</v>
      </c>
      <c r="AN101" s="2">
        <v>350996.30981445301</v>
      </c>
      <c r="AO101" s="2">
        <v>793142.00170898403</v>
      </c>
      <c r="AP101" s="2">
        <v>1067281.71728516</v>
      </c>
      <c r="AQ101" s="2">
        <v>661347.47998046898</v>
      </c>
      <c r="AR101" s="2">
        <v>1167619.7636718799</v>
      </c>
      <c r="AS101" s="2">
        <v>4354509.1191406297</v>
      </c>
      <c r="AT101" s="2">
        <v>6968602.4653320303</v>
      </c>
      <c r="AU101" s="2">
        <v>3020979.5449218801</v>
      </c>
      <c r="AV101" s="2">
        <v>2655635.3823242201</v>
      </c>
      <c r="AW101" s="2">
        <v>2470546.7011718801</v>
      </c>
      <c r="AX101" s="2">
        <v>1489726.2294921901</v>
      </c>
      <c r="AY101" s="2">
        <v>1044687.23632813</v>
      </c>
      <c r="AZ101" s="2">
        <v>736036.88964843797</v>
      </c>
      <c r="BA101" s="2">
        <v>664217.8984375</v>
      </c>
      <c r="BB101" s="2">
        <v>585791.28222656297</v>
      </c>
      <c r="BC101" s="2" t="s">
        <v>79</v>
      </c>
      <c r="BD101" s="2" t="s">
        <v>79</v>
      </c>
      <c r="BE101" s="2" t="s">
        <v>79</v>
      </c>
      <c r="BF101" s="2" t="s">
        <v>79</v>
      </c>
      <c r="BG101" s="2" t="s">
        <v>79</v>
      </c>
      <c r="BH101" s="2" t="s">
        <v>91</v>
      </c>
      <c r="BI101" s="2" t="s">
        <v>91</v>
      </c>
      <c r="BJ101" s="2" t="s">
        <v>91</v>
      </c>
      <c r="BK101" s="2" t="s">
        <v>79</v>
      </c>
      <c r="BL101" s="2" t="s">
        <v>91</v>
      </c>
      <c r="BM101" s="2" t="s">
        <v>79</v>
      </c>
      <c r="BN101" s="2" t="s">
        <v>79</v>
      </c>
      <c r="BO101" s="2" t="s">
        <v>79</v>
      </c>
      <c r="BP101" s="2" t="s">
        <v>79</v>
      </c>
      <c r="BQ101" s="2" t="s">
        <v>79</v>
      </c>
      <c r="BR101" s="2" t="s">
        <v>79</v>
      </c>
      <c r="BS101" s="2" t="s">
        <v>79</v>
      </c>
      <c r="BT101" s="2" t="s">
        <v>79</v>
      </c>
      <c r="BU101" s="2" t="s">
        <v>79</v>
      </c>
      <c r="BV101" s="2" t="s">
        <v>79</v>
      </c>
      <c r="BW101" s="2" t="s">
        <v>79</v>
      </c>
      <c r="BX101" s="2" t="s">
        <v>79</v>
      </c>
      <c r="BY101" s="2" t="s">
        <v>91</v>
      </c>
      <c r="BZ101" s="2" t="s">
        <v>79</v>
      </c>
      <c r="CA101" s="2" t="s">
        <v>91</v>
      </c>
      <c r="CB101">
        <f>TTEST(AS101:AW101,AI101:AM101,2,2)</f>
        <v>2.6591333982501153E-3</v>
      </c>
      <c r="CC101">
        <f>TTEST(AD101:AH101,AI101:AM101,2,2)</f>
        <v>3.2617503870331541E-3</v>
      </c>
      <c r="CD101">
        <f>TTEST(AN101:AR101,AI101:AM101,2,2)</f>
        <v>1.4083754565431001E-2</v>
      </c>
      <c r="CE101">
        <f>TTEST(AX101:BB101,AI101:AM101,2,2)</f>
        <v>1.0078839878465074E-2</v>
      </c>
      <c r="CF101">
        <v>113</v>
      </c>
      <c r="CG101">
        <v>149</v>
      </c>
      <c r="CH101">
        <v>102</v>
      </c>
      <c r="CI101">
        <v>82</v>
      </c>
      <c r="CJ101">
        <f>0.05*CF101/464</f>
        <v>1.2176724137931035E-2</v>
      </c>
      <c r="CK101">
        <f>0.05*CG101/464</f>
        <v>1.6056034482758622E-2</v>
      </c>
      <c r="CL101">
        <f>0.05*CH101/464</f>
        <v>1.0991379310344829E-2</v>
      </c>
      <c r="CM101">
        <f>0.05*CI101/464</f>
        <v>8.8362068965517244E-3</v>
      </c>
      <c r="CN101" t="str">
        <f>IF(CB101&lt;CJ101,"yes","no")</f>
        <v>yes</v>
      </c>
      <c r="CO101" t="str">
        <f>IF(CC101&lt;CK101,"yes","no")</f>
        <v>yes</v>
      </c>
      <c r="CP101" t="str">
        <f>IF(CD101&lt;CL101,"yes","no")</f>
        <v>no</v>
      </c>
      <c r="CQ101" t="str">
        <f>IF(CE101&lt;CM101,"yes","no")</f>
        <v>no</v>
      </c>
      <c r="CR101">
        <f>TTEST(AS101:AW101,AD101:AH101,2,2)</f>
        <v>4.641154494141775E-3</v>
      </c>
      <c r="CS101">
        <f>TTEST(AS101:AW101,AN101:AR101,2,2)</f>
        <v>6.6363057438057396E-3</v>
      </c>
      <c r="CT101">
        <f>TTEST(AS101:AW101,AX101:BB101,2,2)</f>
        <v>7.9959402131575385E-3</v>
      </c>
      <c r="CU101">
        <v>186</v>
      </c>
      <c r="CV101">
        <v>124</v>
      </c>
      <c r="CW101">
        <v>100</v>
      </c>
      <c r="CX101">
        <f t="shared" si="3"/>
        <v>2.0043103448275864E-2</v>
      </c>
      <c r="CY101">
        <f t="shared" si="4"/>
        <v>1.3362068965517242E-2</v>
      </c>
      <c r="CZ101">
        <f t="shared" si="5"/>
        <v>1.0775862068965518E-2</v>
      </c>
      <c r="DA101" t="str">
        <f>IF(CR101&lt;CX101,"yes","no")</f>
        <v>yes</v>
      </c>
      <c r="DB101" t="str">
        <f>IF(CS101&lt;CY101,"yes","no")</f>
        <v>yes</v>
      </c>
      <c r="DC101" t="str">
        <f>IF(CT101&lt;CZ101,"yes","no")</f>
        <v>yes</v>
      </c>
    </row>
    <row r="102" spans="1:107" x14ac:dyDescent="0.2">
      <c r="A102" s="2" t="b">
        <v>0</v>
      </c>
      <c r="B102" s="2" t="s">
        <v>79</v>
      </c>
      <c r="C102" s="2" t="s">
        <v>80</v>
      </c>
      <c r="D102" s="2" t="s">
        <v>675</v>
      </c>
      <c r="E102" s="2" t="s">
        <v>676</v>
      </c>
      <c r="F102" s="2">
        <v>5</v>
      </c>
      <c r="G102" s="2">
        <v>5</v>
      </c>
      <c r="H102" s="2">
        <v>28.4</v>
      </c>
      <c r="I102" s="2">
        <v>8.4600000000000009</v>
      </c>
      <c r="J102" s="2" t="s">
        <v>380</v>
      </c>
      <c r="K102" s="2" t="s">
        <v>607</v>
      </c>
      <c r="L102" s="2" t="s">
        <v>119</v>
      </c>
      <c r="M102" s="2" t="s">
        <v>677</v>
      </c>
      <c r="N102" s="2" t="s">
        <v>675</v>
      </c>
      <c r="O102" s="2">
        <v>1.02</v>
      </c>
      <c r="P102" s="2">
        <v>0.79100000000000004</v>
      </c>
      <c r="Q102" s="2">
        <v>0.56599999999999995</v>
      </c>
      <c r="R102" s="2">
        <v>0.81599999999999995</v>
      </c>
      <c r="S102" s="2">
        <v>0.80200000000000005</v>
      </c>
      <c r="T102" s="2">
        <v>0.60199999999999998</v>
      </c>
      <c r="U102" s="2">
        <v>0.53400000000000003</v>
      </c>
      <c r="V102" s="2">
        <v>0.71399999999999997</v>
      </c>
      <c r="W102" s="2">
        <v>0.439</v>
      </c>
      <c r="X102" s="2">
        <v>0.64900000000000002</v>
      </c>
      <c r="Y102" s="2">
        <v>170.2</v>
      </c>
      <c r="Z102" s="2">
        <v>106.3</v>
      </c>
      <c r="AA102" s="2">
        <v>89.2</v>
      </c>
      <c r="AB102" s="2">
        <v>92.5</v>
      </c>
      <c r="AC102" s="2">
        <v>41.7</v>
      </c>
      <c r="AD102" s="2">
        <v>2258568.34375</v>
      </c>
      <c r="AE102" s="2">
        <v>1739811.9375</v>
      </c>
      <c r="AF102" s="2">
        <v>1697134.328125</v>
      </c>
      <c r="AG102" s="2">
        <v>1851439.09375</v>
      </c>
      <c r="AH102" s="2">
        <v>1588075.484375</v>
      </c>
      <c r="AI102" s="2">
        <v>38417.1328125</v>
      </c>
      <c r="AJ102" s="2">
        <v>20647.973144531301</v>
      </c>
      <c r="AK102" s="2">
        <v>20480.147949218801</v>
      </c>
      <c r="AL102" s="2">
        <v>40461.2578125</v>
      </c>
      <c r="AM102" s="2">
        <v>16077.65625</v>
      </c>
      <c r="AN102" s="2">
        <v>15800.9375</v>
      </c>
      <c r="AO102" s="2">
        <v>7849.6259765625</v>
      </c>
      <c r="AP102" s="2">
        <v>23349.470703125</v>
      </c>
      <c r="AQ102" s="2">
        <v>31932.298828125</v>
      </c>
      <c r="AR102" s="2">
        <v>30597.30078125</v>
      </c>
      <c r="AS102" s="2">
        <v>137719.765625</v>
      </c>
      <c r="AT102" s="2">
        <v>314819.56640625</v>
      </c>
      <c r="AU102" s="2">
        <v>138208.37109375</v>
      </c>
      <c r="AV102" s="2">
        <v>165430.5625</v>
      </c>
      <c r="AW102" s="2">
        <v>125884.17578125</v>
      </c>
      <c r="AX102" s="2">
        <v>8609.63671875</v>
      </c>
      <c r="AY102" s="2">
        <v>31653.5908203125</v>
      </c>
      <c r="AZ102" s="2">
        <v>35802.3330078125</v>
      </c>
      <c r="BA102" s="2" t="s">
        <v>83</v>
      </c>
      <c r="BB102" s="2">
        <v>41738.931640625</v>
      </c>
      <c r="BC102" s="2" t="s">
        <v>79</v>
      </c>
      <c r="BD102" s="2" t="s">
        <v>79</v>
      </c>
      <c r="BE102" s="2" t="s">
        <v>79</v>
      </c>
      <c r="BF102" s="2" t="s">
        <v>79</v>
      </c>
      <c r="BG102" s="2" t="s">
        <v>79</v>
      </c>
      <c r="BH102" s="2" t="s">
        <v>91</v>
      </c>
      <c r="BI102" s="2" t="s">
        <v>91</v>
      </c>
      <c r="BJ102" s="2" t="s">
        <v>91</v>
      </c>
      <c r="BK102" s="2" t="s">
        <v>91</v>
      </c>
      <c r="BL102" s="2" t="s">
        <v>91</v>
      </c>
      <c r="BM102" s="2" t="s">
        <v>91</v>
      </c>
      <c r="BN102" s="2" t="s">
        <v>91</v>
      </c>
      <c r="BO102" s="2" t="s">
        <v>91</v>
      </c>
      <c r="BP102" s="2" t="s">
        <v>91</v>
      </c>
      <c r="BQ102" s="2" t="s">
        <v>91</v>
      </c>
      <c r="BR102" s="2" t="s">
        <v>79</v>
      </c>
      <c r="BS102" s="2" t="s">
        <v>79</v>
      </c>
      <c r="BT102" s="2" t="s">
        <v>79</v>
      </c>
      <c r="BU102" s="2" t="s">
        <v>79</v>
      </c>
      <c r="BV102" s="2" t="s">
        <v>79</v>
      </c>
      <c r="BW102" s="2" t="s">
        <v>91</v>
      </c>
      <c r="BX102" s="2" t="s">
        <v>91</v>
      </c>
      <c r="BY102" s="2" t="s">
        <v>91</v>
      </c>
      <c r="BZ102" s="2" t="s">
        <v>98</v>
      </c>
      <c r="CA102" s="2" t="s">
        <v>91</v>
      </c>
      <c r="CB102">
        <f>TTEST(AS102:AW102,AI102:AM102,2,2)</f>
        <v>3.0180327606507233E-3</v>
      </c>
      <c r="CC102">
        <f>TTEST(AD102:AH102,AI102:AM102,2,2)</f>
        <v>2.9558946869693134E-7</v>
      </c>
      <c r="CD102">
        <f>TTEST(AN102:AR102,AI102:AM102,2,2)</f>
        <v>0.45767325961194594</v>
      </c>
      <c r="CE102">
        <f>TTEST(AX102:BB102,AI102:AM102,2,2)</f>
        <v>0.80194947964481622</v>
      </c>
      <c r="CF102">
        <v>116</v>
      </c>
      <c r="CG102">
        <v>35</v>
      </c>
      <c r="CH102">
        <v>180</v>
      </c>
      <c r="CI102">
        <v>192</v>
      </c>
      <c r="CJ102">
        <f>0.05*CF102/464</f>
        <v>1.2500000000000001E-2</v>
      </c>
      <c r="CK102">
        <f>0.05*CG102/464</f>
        <v>3.7715517241379312E-3</v>
      </c>
      <c r="CL102">
        <f>0.05*CH102/464</f>
        <v>1.9396551724137932E-2</v>
      </c>
      <c r="CM102">
        <f>0.05*CI102/464</f>
        <v>2.0689655172413796E-2</v>
      </c>
      <c r="CN102" t="str">
        <f>IF(CB102&lt;CJ102,"yes","no")</f>
        <v>yes</v>
      </c>
      <c r="CO102" t="str">
        <f>IF(CC102&lt;CK102,"yes","no")</f>
        <v>yes</v>
      </c>
      <c r="CP102" t="str">
        <f>IF(CD102&lt;CL102,"yes","no")</f>
        <v>no</v>
      </c>
      <c r="CQ102" t="str">
        <f>IF(CE102&lt;CM102,"yes","no")</f>
        <v>no</v>
      </c>
      <c r="CR102">
        <f>TTEST(AS102:AW102,AD102:AH102,2,2)</f>
        <v>8.0657130932062731E-7</v>
      </c>
      <c r="CS102">
        <f>TTEST(AS102:AW102,AN102:AR102,2,2)</f>
        <v>2.4363006624668524E-3</v>
      </c>
      <c r="CT102">
        <f>TTEST(AS102:AW102,AX102:BB102,2,2)</f>
        <v>8.3352789373159278E-3</v>
      </c>
      <c r="CU102">
        <v>48</v>
      </c>
      <c r="CV102">
        <v>105</v>
      </c>
      <c r="CW102">
        <v>101</v>
      </c>
      <c r="CX102">
        <f t="shared" si="3"/>
        <v>5.1724137931034491E-3</v>
      </c>
      <c r="CY102">
        <f t="shared" si="4"/>
        <v>1.1314655172413793E-2</v>
      </c>
      <c r="CZ102">
        <f t="shared" si="5"/>
        <v>1.0883620689655173E-2</v>
      </c>
      <c r="DA102" t="str">
        <f>IF(CR102&lt;CX102,"yes","no")</f>
        <v>yes</v>
      </c>
      <c r="DB102" t="str">
        <f>IF(CS102&lt;CY102,"yes","no")</f>
        <v>yes</v>
      </c>
      <c r="DC102" t="str">
        <f>IF(CT102&lt;CZ102,"yes","no")</f>
        <v>yes</v>
      </c>
    </row>
    <row r="103" spans="1:107" x14ac:dyDescent="0.2">
      <c r="A103" s="2" t="b">
        <v>0</v>
      </c>
      <c r="B103" s="2" t="s">
        <v>79</v>
      </c>
      <c r="C103" s="2" t="s">
        <v>80</v>
      </c>
      <c r="D103" s="2" t="s">
        <v>1260</v>
      </c>
      <c r="E103" s="2" t="s">
        <v>1261</v>
      </c>
      <c r="F103" s="2">
        <v>2</v>
      </c>
      <c r="G103" s="2">
        <v>2</v>
      </c>
      <c r="H103" s="2">
        <v>32.9</v>
      </c>
      <c r="I103" s="2">
        <v>9.74</v>
      </c>
      <c r="J103" s="2" t="s">
        <v>1262</v>
      </c>
      <c r="K103" s="2" t="s">
        <v>654</v>
      </c>
      <c r="L103" s="2" t="s">
        <v>1242</v>
      </c>
      <c r="M103" s="2" t="s">
        <v>83</v>
      </c>
      <c r="N103" s="2" t="s">
        <v>1263</v>
      </c>
      <c r="O103" s="2">
        <v>6.72</v>
      </c>
      <c r="P103" s="2">
        <v>1.2829999999999999</v>
      </c>
      <c r="Q103" s="2">
        <v>1.706</v>
      </c>
      <c r="R103" s="2">
        <v>0.224</v>
      </c>
      <c r="S103" s="2">
        <v>2.0579999999999998</v>
      </c>
      <c r="T103" s="2">
        <v>0.34499999999999997</v>
      </c>
      <c r="U103" s="2">
        <v>1.109</v>
      </c>
      <c r="V103" s="2">
        <v>0.14399999999999999</v>
      </c>
      <c r="W103" s="2">
        <v>0.61299999999999999</v>
      </c>
      <c r="X103" s="2">
        <v>5.9470000000000001</v>
      </c>
      <c r="Y103" s="2">
        <v>31</v>
      </c>
      <c r="Z103" s="2">
        <v>96</v>
      </c>
      <c r="AA103" s="2">
        <v>283.3</v>
      </c>
      <c r="AB103" s="2">
        <v>40.1</v>
      </c>
      <c r="AC103" s="2">
        <v>49.6</v>
      </c>
      <c r="AD103" s="2">
        <v>188359.7265625</v>
      </c>
      <c r="AE103" s="2">
        <v>117947.546875</v>
      </c>
      <c r="AF103" s="2">
        <v>202611.8125</v>
      </c>
      <c r="AG103" s="2">
        <v>562132.875</v>
      </c>
      <c r="AH103" s="2" t="s">
        <v>83</v>
      </c>
      <c r="AI103" s="2" t="s">
        <v>83</v>
      </c>
      <c r="AJ103" s="2">
        <v>12708.6591796875</v>
      </c>
      <c r="AK103" s="2" t="s">
        <v>83</v>
      </c>
      <c r="AL103" s="2">
        <v>27771.876953125</v>
      </c>
      <c r="AM103" s="2">
        <v>10046.1162109375</v>
      </c>
      <c r="AN103" s="2">
        <v>15538.84765625</v>
      </c>
      <c r="AO103" s="2">
        <v>26816.901855468801</v>
      </c>
      <c r="AP103" s="2">
        <v>44585.9482421875</v>
      </c>
      <c r="AQ103" s="2">
        <v>39065.0302734375</v>
      </c>
      <c r="AR103" s="2">
        <v>63909.05078125</v>
      </c>
      <c r="AS103" s="2" t="s">
        <v>83</v>
      </c>
      <c r="AT103" s="2">
        <v>30650.12109375</v>
      </c>
      <c r="AU103" s="2">
        <v>33647.96875</v>
      </c>
      <c r="AV103" s="2">
        <v>36879.500488281301</v>
      </c>
      <c r="AW103" s="2">
        <v>50532.2109375</v>
      </c>
      <c r="AX103" s="2">
        <v>16494.908203125</v>
      </c>
      <c r="AY103" s="2" t="s">
        <v>83</v>
      </c>
      <c r="AZ103" s="2">
        <v>16563.068359375</v>
      </c>
      <c r="BA103" s="2" t="s">
        <v>83</v>
      </c>
      <c r="BB103" s="2">
        <v>14827.4609375</v>
      </c>
      <c r="BC103" s="2" t="s">
        <v>79</v>
      </c>
      <c r="BD103" s="2" t="s">
        <v>91</v>
      </c>
      <c r="BE103" s="2" t="s">
        <v>91</v>
      </c>
      <c r="BF103" s="2" t="s">
        <v>79</v>
      </c>
      <c r="BG103" s="2" t="s">
        <v>98</v>
      </c>
      <c r="BH103" s="2" t="s">
        <v>98</v>
      </c>
      <c r="BI103" s="2" t="s">
        <v>91</v>
      </c>
      <c r="BJ103" s="2" t="s">
        <v>98</v>
      </c>
      <c r="BK103" s="2" t="s">
        <v>91</v>
      </c>
      <c r="BL103" s="2" t="s">
        <v>91</v>
      </c>
      <c r="BM103" s="2" t="s">
        <v>91</v>
      </c>
      <c r="BN103" s="2" t="s">
        <v>91</v>
      </c>
      <c r="BO103" s="2" t="s">
        <v>91</v>
      </c>
      <c r="BP103" s="2" t="s">
        <v>91</v>
      </c>
      <c r="BQ103" s="2" t="s">
        <v>91</v>
      </c>
      <c r="BR103" s="2" t="s">
        <v>98</v>
      </c>
      <c r="BS103" s="2" t="s">
        <v>91</v>
      </c>
      <c r="BT103" s="2" t="s">
        <v>91</v>
      </c>
      <c r="BU103" s="2" t="s">
        <v>91</v>
      </c>
      <c r="BV103" s="2" t="s">
        <v>91</v>
      </c>
      <c r="BW103" s="2" t="s">
        <v>91</v>
      </c>
      <c r="BX103" s="2" t="s">
        <v>98</v>
      </c>
      <c r="BY103" s="2" t="s">
        <v>91</v>
      </c>
      <c r="BZ103" s="2" t="s">
        <v>98</v>
      </c>
      <c r="CA103" s="2" t="s">
        <v>91</v>
      </c>
      <c r="CB103">
        <f>TTEST(AS103:AW103,AI103:AM103,2,2)</f>
        <v>2.8949008751366943E-2</v>
      </c>
      <c r="CC103">
        <f>TTEST(AD103:AH103,AI103:AM103,2,2)</f>
        <v>8.7265736794560039E-2</v>
      </c>
      <c r="CD103">
        <f>TTEST(AN103:AR103,AI103:AM103,2,2)</f>
        <v>0.11961742409755956</v>
      </c>
      <c r="CE103">
        <f>TTEST(AX103:BB103,AI103:AM103,2,2)</f>
        <v>0.88159785671369717</v>
      </c>
      <c r="CF103">
        <v>144</v>
      </c>
      <c r="CG103">
        <v>188</v>
      </c>
      <c r="CH103">
        <v>135</v>
      </c>
      <c r="CI103">
        <v>197</v>
      </c>
      <c r="CJ103">
        <f>0.05*CF103/464</f>
        <v>1.5517241379310345E-2</v>
      </c>
      <c r="CK103">
        <f>0.05*CG103/464</f>
        <v>2.0258620689655175E-2</v>
      </c>
      <c r="CL103">
        <f>0.05*CH103/464</f>
        <v>1.4547413793103448E-2</v>
      </c>
      <c r="CM103">
        <f>0.05*CI103/464</f>
        <v>2.1228448275862073E-2</v>
      </c>
      <c r="CN103" t="str">
        <f>IF(CB103&lt;CJ103,"yes","no")</f>
        <v>no</v>
      </c>
      <c r="CO103" t="str">
        <f>IF(CC103&lt;CK103,"yes","no")</f>
        <v>no</v>
      </c>
      <c r="CP103" t="str">
        <f>IF(CD103&lt;CL103,"yes","no")</f>
        <v>no</v>
      </c>
      <c r="CQ103" t="str">
        <f>IF(CE103&lt;CM103,"yes","no")</f>
        <v>no</v>
      </c>
      <c r="CR103">
        <f>TTEST(AS103:AW103,AD103:AH103,2,2)</f>
        <v>6.1141182284236789E-2</v>
      </c>
      <c r="CS103">
        <f>TTEST(AS103:AW103,AN103:AR103,2,2)</f>
        <v>0.99573952766046658</v>
      </c>
      <c r="CT103">
        <f>TTEST(AS103:AW103,AX103:BB103,2,2)</f>
        <v>8.3973543679661655E-3</v>
      </c>
      <c r="CU103">
        <v>235</v>
      </c>
      <c r="CV103">
        <v>275</v>
      </c>
      <c r="CW103">
        <v>102</v>
      </c>
      <c r="CX103">
        <f t="shared" si="3"/>
        <v>2.5323275862068964E-2</v>
      </c>
      <c r="CY103">
        <f t="shared" si="4"/>
        <v>2.9633620689655173E-2</v>
      </c>
      <c r="CZ103">
        <f t="shared" si="5"/>
        <v>1.0991379310344829E-2</v>
      </c>
      <c r="DA103" t="str">
        <f>IF(CR103&lt;CX103,"yes","no")</f>
        <v>no</v>
      </c>
      <c r="DB103" t="str">
        <f>IF(CS103&lt;CY103,"yes","no")</f>
        <v>no</v>
      </c>
      <c r="DC103" t="str">
        <f>IF(CT103&lt;CZ103,"yes","no")</f>
        <v>yes</v>
      </c>
    </row>
    <row r="104" spans="1:107" x14ac:dyDescent="0.2">
      <c r="A104" s="2" t="b">
        <v>0</v>
      </c>
      <c r="B104" s="2" t="s">
        <v>79</v>
      </c>
      <c r="C104" s="2" t="s">
        <v>80</v>
      </c>
      <c r="D104" s="2" t="s">
        <v>496</v>
      </c>
      <c r="E104" s="2" t="s">
        <v>497</v>
      </c>
      <c r="F104" s="2">
        <v>7</v>
      </c>
      <c r="G104" s="2">
        <v>2</v>
      </c>
      <c r="H104" s="2">
        <v>73.099999999999994</v>
      </c>
      <c r="I104" s="2">
        <v>6.76</v>
      </c>
      <c r="J104" s="2" t="s">
        <v>498</v>
      </c>
      <c r="K104" s="2" t="s">
        <v>84</v>
      </c>
      <c r="L104" s="2" t="s">
        <v>499</v>
      </c>
      <c r="M104" s="2" t="s">
        <v>500</v>
      </c>
      <c r="N104" s="2" t="s">
        <v>496</v>
      </c>
      <c r="O104" s="2">
        <v>4.2510000000000003</v>
      </c>
      <c r="P104" s="2">
        <v>1.345</v>
      </c>
      <c r="Q104" s="2">
        <v>2.8290000000000002</v>
      </c>
      <c r="R104" s="2">
        <v>0.67100000000000004</v>
      </c>
      <c r="S104" s="2">
        <v>6.6829999999999998</v>
      </c>
      <c r="T104" s="2">
        <v>1.429</v>
      </c>
      <c r="U104" s="2">
        <v>1.8180000000000001</v>
      </c>
      <c r="V104" s="2">
        <v>0.35299999999999998</v>
      </c>
      <c r="W104" s="2">
        <v>0.45100000000000001</v>
      </c>
      <c r="X104" s="2">
        <v>0.83499999999999996</v>
      </c>
      <c r="Y104" s="2">
        <v>23.4</v>
      </c>
      <c r="Z104" s="2">
        <v>16.3</v>
      </c>
      <c r="AA104" s="2">
        <v>387.2</v>
      </c>
      <c r="AB104" s="2">
        <v>38.700000000000003</v>
      </c>
      <c r="AC104" s="2">
        <v>34.4</v>
      </c>
      <c r="AD104" s="2">
        <v>4003461.87890625</v>
      </c>
      <c r="AE104" s="2">
        <v>3360424.0449218801</v>
      </c>
      <c r="AF104" s="2">
        <v>3069504.9785156301</v>
      </c>
      <c r="AG104" s="2">
        <v>2360080.6875</v>
      </c>
      <c r="AH104" s="2">
        <v>2914344.2421875</v>
      </c>
      <c r="AI104" s="2">
        <v>220745.203125</v>
      </c>
      <c r="AJ104" s="2">
        <v>51570.06640625</v>
      </c>
      <c r="AK104" s="2">
        <v>33377.50390625</v>
      </c>
      <c r="AL104" s="2">
        <v>35326.71875</v>
      </c>
      <c r="AM104" s="2">
        <v>101235.18066406299</v>
      </c>
      <c r="AN104" s="2">
        <v>194563.38671875</v>
      </c>
      <c r="AO104" s="2">
        <v>1435950.6840820301</v>
      </c>
      <c r="AP104" s="2">
        <v>3317933.84375</v>
      </c>
      <c r="AQ104" s="2">
        <v>1266467.7392578099</v>
      </c>
      <c r="AR104" s="2">
        <v>254741.70361328099</v>
      </c>
      <c r="AS104" s="2">
        <v>1756454.7011718799</v>
      </c>
      <c r="AT104" s="2">
        <v>1244919.61889648</v>
      </c>
      <c r="AU104" s="2">
        <v>677419.62597656297</v>
      </c>
      <c r="AV104" s="2">
        <v>764163.791015625</v>
      </c>
      <c r="AW104" s="2">
        <v>1378469.86474609</v>
      </c>
      <c r="AX104" s="2">
        <v>770161.06640625</v>
      </c>
      <c r="AY104" s="2">
        <v>257239.140625</v>
      </c>
      <c r="AZ104" s="2">
        <v>491582.671875</v>
      </c>
      <c r="BA104" s="2">
        <v>194929.890625</v>
      </c>
      <c r="BB104" s="2">
        <v>243989.6875</v>
      </c>
      <c r="BC104" s="2" t="s">
        <v>79</v>
      </c>
      <c r="BD104" s="2" t="s">
        <v>79</v>
      </c>
      <c r="BE104" s="2" t="s">
        <v>79</v>
      </c>
      <c r="BF104" s="2" t="s">
        <v>79</v>
      </c>
      <c r="BG104" s="2" t="s">
        <v>79</v>
      </c>
      <c r="BH104" s="2" t="s">
        <v>98</v>
      </c>
      <c r="BI104" s="2" t="s">
        <v>98</v>
      </c>
      <c r="BJ104" s="2" t="s">
        <v>98</v>
      </c>
      <c r="BK104" s="2" t="s">
        <v>98</v>
      </c>
      <c r="BL104" s="2" t="s">
        <v>98</v>
      </c>
      <c r="BM104" s="2" t="s">
        <v>91</v>
      </c>
      <c r="BN104" s="2" t="s">
        <v>91</v>
      </c>
      <c r="BO104" s="2" t="s">
        <v>91</v>
      </c>
      <c r="BP104" s="2" t="s">
        <v>91</v>
      </c>
      <c r="BQ104" s="2" t="s">
        <v>91</v>
      </c>
      <c r="BR104" s="2" t="s">
        <v>91</v>
      </c>
      <c r="BS104" s="2" t="s">
        <v>91</v>
      </c>
      <c r="BT104" s="2" t="s">
        <v>91</v>
      </c>
      <c r="BU104" s="2" t="s">
        <v>91</v>
      </c>
      <c r="BV104" s="2" t="s">
        <v>91</v>
      </c>
      <c r="BW104" s="2" t="s">
        <v>98</v>
      </c>
      <c r="BX104" s="2" t="s">
        <v>98</v>
      </c>
      <c r="BY104" s="2" t="s">
        <v>98</v>
      </c>
      <c r="BZ104" s="2" t="s">
        <v>98</v>
      </c>
      <c r="CA104" s="2" t="s">
        <v>98</v>
      </c>
      <c r="CB104">
        <f>TTEST(AS104:AW104,AI104:AM104,2,2)</f>
        <v>7.3115674862154708E-4</v>
      </c>
      <c r="CC104">
        <f>TTEST(AD104:AH104,AI104:AM104,2,2)</f>
        <v>3.5926825734488751E-6</v>
      </c>
      <c r="CD104">
        <f>TTEST(AN104:AR104,AI104:AM104,2,2)</f>
        <v>6.621630940215549E-2</v>
      </c>
      <c r="CE104">
        <f>TTEST(AX104:BB104,AI104:AM104,2,2)</f>
        <v>2.811610704994405E-2</v>
      </c>
      <c r="CF104">
        <v>96</v>
      </c>
      <c r="CG104">
        <v>74</v>
      </c>
      <c r="CH104">
        <v>126</v>
      </c>
      <c r="CI104">
        <v>99</v>
      </c>
      <c r="CJ104">
        <f>0.05*CF104/464</f>
        <v>1.0344827586206898E-2</v>
      </c>
      <c r="CK104">
        <f>0.05*CG104/464</f>
        <v>7.9741379310344831E-3</v>
      </c>
      <c r="CL104">
        <f>0.05*CH104/464</f>
        <v>1.3577586206896553E-2</v>
      </c>
      <c r="CM104">
        <f>0.05*CI104/464</f>
        <v>1.0668103448275863E-2</v>
      </c>
      <c r="CN104" t="str">
        <f>IF(CB104&lt;CJ104,"yes","no")</f>
        <v>yes</v>
      </c>
      <c r="CO104" t="str">
        <f>IF(CC104&lt;CK104,"yes","no")</f>
        <v>yes</v>
      </c>
      <c r="CP104" t="str">
        <f>IF(CD104&lt;CL104,"yes","no")</f>
        <v>no</v>
      </c>
      <c r="CQ104" t="str">
        <f>IF(CE104&lt;CM104,"yes","no")</f>
        <v>no</v>
      </c>
      <c r="CR104">
        <f>TTEST(AS104:AW104,AD104:AH104,2,2)</f>
        <v>3.6832469084112227E-4</v>
      </c>
      <c r="CS104">
        <f>TTEST(AS104:AW104,AN104:AR104,2,2)</f>
        <v>0.83440595451685251</v>
      </c>
      <c r="CT104">
        <f>TTEST(AS104:AW104,AX104:BB104,2,2)</f>
        <v>9.3378029872044736E-3</v>
      </c>
      <c r="CU104">
        <v>151</v>
      </c>
      <c r="CV104">
        <v>255</v>
      </c>
      <c r="CW104">
        <v>103</v>
      </c>
      <c r="CX104">
        <f t="shared" si="3"/>
        <v>1.6271551724137932E-2</v>
      </c>
      <c r="CY104">
        <f t="shared" si="4"/>
        <v>2.7478448275862068E-2</v>
      </c>
      <c r="CZ104">
        <f t="shared" si="5"/>
        <v>1.1099137931034484E-2</v>
      </c>
      <c r="DA104" t="str">
        <f>IF(CR104&lt;CX104,"yes","no")</f>
        <v>yes</v>
      </c>
      <c r="DB104" t="str">
        <f>IF(CS104&lt;CY104,"yes","no")</f>
        <v>no</v>
      </c>
      <c r="DC104" t="str">
        <f>IF(CT104&lt;CZ104,"yes","no")</f>
        <v>yes</v>
      </c>
    </row>
    <row r="105" spans="1:107" x14ac:dyDescent="0.2">
      <c r="A105" s="2" t="b">
        <v>0</v>
      </c>
      <c r="B105" s="2" t="s">
        <v>79</v>
      </c>
      <c r="C105" s="2" t="s">
        <v>80</v>
      </c>
      <c r="D105" s="2" t="s">
        <v>1123</v>
      </c>
      <c r="E105" s="2" t="s">
        <v>1124</v>
      </c>
      <c r="F105" s="2">
        <v>1</v>
      </c>
      <c r="G105" s="2">
        <v>1</v>
      </c>
      <c r="H105" s="2">
        <v>12.9</v>
      </c>
      <c r="I105" s="2">
        <v>4.8099999999999996</v>
      </c>
      <c r="J105" s="2" t="s">
        <v>83</v>
      </c>
      <c r="K105" s="2" t="s">
        <v>83</v>
      </c>
      <c r="L105" s="2" t="s">
        <v>83</v>
      </c>
      <c r="M105" s="2" t="s">
        <v>83</v>
      </c>
      <c r="N105" s="2" t="s">
        <v>1123</v>
      </c>
      <c r="O105" s="2">
        <v>3.0209999999999999</v>
      </c>
      <c r="P105" s="2">
        <v>1.7270000000000001</v>
      </c>
      <c r="Q105" s="2">
        <v>2.4</v>
      </c>
      <c r="R105" s="2">
        <v>100</v>
      </c>
      <c r="S105" s="2">
        <v>100</v>
      </c>
      <c r="T105" s="2">
        <v>100</v>
      </c>
      <c r="U105" s="2">
        <v>100</v>
      </c>
      <c r="V105" s="2">
        <v>0.496</v>
      </c>
      <c r="W105" s="2">
        <v>0.85399999999999998</v>
      </c>
      <c r="X105" s="2">
        <v>1.4810000000000001</v>
      </c>
      <c r="Y105" s="2">
        <v>65.8</v>
      </c>
      <c r="Z105" s="2" t="s">
        <v>83</v>
      </c>
      <c r="AA105" s="2">
        <v>183.4</v>
      </c>
      <c r="AB105" s="2">
        <v>92.7</v>
      </c>
      <c r="AC105" s="2">
        <v>158</v>
      </c>
      <c r="AD105" s="2">
        <v>666317.609375</v>
      </c>
      <c r="AE105" s="2">
        <v>241139.15625</v>
      </c>
      <c r="AF105" s="2">
        <v>196040.4375</v>
      </c>
      <c r="AG105" s="2">
        <v>674688.625</v>
      </c>
      <c r="AH105" s="2">
        <v>501753.9375</v>
      </c>
      <c r="AI105" s="2" t="s">
        <v>83</v>
      </c>
      <c r="AJ105" s="2" t="s">
        <v>83</v>
      </c>
      <c r="AK105" s="2" t="s">
        <v>83</v>
      </c>
      <c r="AL105" s="2" t="s">
        <v>83</v>
      </c>
      <c r="AM105" s="2" t="s">
        <v>83</v>
      </c>
      <c r="AN105" s="2" t="s">
        <v>83</v>
      </c>
      <c r="AO105" s="2">
        <v>26674.2275390625</v>
      </c>
      <c r="AP105" s="2">
        <v>33185.87890625</v>
      </c>
      <c r="AQ105" s="2" t="s">
        <v>83</v>
      </c>
      <c r="AR105" s="2">
        <v>37166.5859375</v>
      </c>
      <c r="AS105" s="2">
        <v>93824.2734375</v>
      </c>
      <c r="AT105" s="2">
        <v>158799.0625</v>
      </c>
      <c r="AU105" s="2">
        <v>116672.046875</v>
      </c>
      <c r="AV105" s="2">
        <v>146279.1796875</v>
      </c>
      <c r="AW105" s="2">
        <v>109613.0390625</v>
      </c>
      <c r="AX105" s="2" t="s">
        <v>83</v>
      </c>
      <c r="AY105" s="2" t="s">
        <v>83</v>
      </c>
      <c r="AZ105" s="2">
        <v>24343.72265625</v>
      </c>
      <c r="BA105" s="2">
        <v>74621.7451171875</v>
      </c>
      <c r="BB105" s="2">
        <v>59691.3896484375</v>
      </c>
      <c r="BC105" s="2" t="s">
        <v>79</v>
      </c>
      <c r="BD105" s="2" t="s">
        <v>79</v>
      </c>
      <c r="BE105" s="2" t="s">
        <v>79</v>
      </c>
      <c r="BF105" s="2" t="s">
        <v>79</v>
      </c>
      <c r="BG105" s="2" t="s">
        <v>79</v>
      </c>
      <c r="BH105" s="2" t="s">
        <v>98</v>
      </c>
      <c r="BI105" s="2" t="s">
        <v>98</v>
      </c>
      <c r="BJ105" s="2" t="s">
        <v>98</v>
      </c>
      <c r="BK105" s="2" t="s">
        <v>98</v>
      </c>
      <c r="BL105" s="2" t="s">
        <v>98</v>
      </c>
      <c r="BM105" s="2" t="s">
        <v>98</v>
      </c>
      <c r="BN105" s="2" t="s">
        <v>91</v>
      </c>
      <c r="BO105" s="2" t="s">
        <v>91</v>
      </c>
      <c r="BP105" s="2" t="s">
        <v>98</v>
      </c>
      <c r="BQ105" s="2" t="s">
        <v>91</v>
      </c>
      <c r="BR105" s="2" t="s">
        <v>79</v>
      </c>
      <c r="BS105" s="2" t="s">
        <v>79</v>
      </c>
      <c r="BT105" s="2" t="s">
        <v>79</v>
      </c>
      <c r="BU105" s="2" t="s">
        <v>79</v>
      </c>
      <c r="BV105" s="2" t="s">
        <v>79</v>
      </c>
      <c r="BW105" s="2" t="s">
        <v>98</v>
      </c>
      <c r="BX105" s="2" t="s">
        <v>98</v>
      </c>
      <c r="BY105" s="2" t="s">
        <v>91</v>
      </c>
      <c r="BZ105" s="2" t="s">
        <v>91</v>
      </c>
      <c r="CA105" s="2" t="s">
        <v>91</v>
      </c>
      <c r="CB105" t="e">
        <f>TTEST(AS105:AW105,AI105:AM105,2,2)</f>
        <v>#DIV/0!</v>
      </c>
      <c r="CC105" t="e">
        <f>TTEST(AD105:AH105,AI105:AM105,2,2)</f>
        <v>#DIV/0!</v>
      </c>
      <c r="CD105" t="e">
        <f>TTEST(AN105:AR105,AI105:AM105,2,2)</f>
        <v>#DIV/0!</v>
      </c>
      <c r="CE105" t="e">
        <f>TTEST(AX105:BB105,AI105:AM105,2,2)</f>
        <v>#DIV/0!</v>
      </c>
      <c r="CF105">
        <v>275</v>
      </c>
      <c r="CG105">
        <v>289</v>
      </c>
      <c r="CH105">
        <v>293</v>
      </c>
      <c r="CI105">
        <v>221</v>
      </c>
      <c r="CJ105">
        <f>0.05*CF105/464</f>
        <v>2.9633620689655173E-2</v>
      </c>
      <c r="CK105">
        <f>0.05*CG105/464</f>
        <v>3.1142241379310348E-2</v>
      </c>
      <c r="CL105">
        <f>0.05*CH105/464</f>
        <v>3.157327586206897E-2</v>
      </c>
      <c r="CM105">
        <f>0.05*CI105/464</f>
        <v>2.3814655172413796E-2</v>
      </c>
      <c r="CN105" t="e">
        <f>IF(CB105&lt;CJ105,"yes","no")</f>
        <v>#DIV/0!</v>
      </c>
      <c r="CO105" t="e">
        <f>IF(CC105&lt;CK105,"yes","no")</f>
        <v>#DIV/0!</v>
      </c>
      <c r="CP105" t="e">
        <f>IF(CD105&lt;CL105,"yes","no")</f>
        <v>#DIV/0!</v>
      </c>
      <c r="CQ105" t="e">
        <f>IF(CE105&lt;CM105,"yes","no")</f>
        <v>#DIV/0!</v>
      </c>
      <c r="CR105">
        <f>TTEST(AS105:AW105,AD105:AH105,2,2)</f>
        <v>1.2168737776006126E-2</v>
      </c>
      <c r="CS105">
        <f>TTEST(AS105:AW105,AN105:AR105,2,2)</f>
        <v>1.2104551132372597E-3</v>
      </c>
      <c r="CT105">
        <f>TTEST(AS105:AW105,AX105:BB105,2,2)</f>
        <v>9.7220626774705398E-3</v>
      </c>
      <c r="CU105">
        <v>196</v>
      </c>
      <c r="CV105">
        <v>95</v>
      </c>
      <c r="CW105">
        <v>104</v>
      </c>
      <c r="CX105">
        <f t="shared" si="3"/>
        <v>2.1120689655172414E-2</v>
      </c>
      <c r="CY105">
        <f t="shared" si="4"/>
        <v>1.0237068965517241E-2</v>
      </c>
      <c r="CZ105">
        <f t="shared" si="5"/>
        <v>1.1206896551724138E-2</v>
      </c>
      <c r="DA105" t="str">
        <f>IF(CR105&lt;CX105,"yes","no")</f>
        <v>yes</v>
      </c>
      <c r="DB105" t="str">
        <f>IF(CS105&lt;CY105,"yes","no")</f>
        <v>yes</v>
      </c>
      <c r="DC105" t="str">
        <f>IF(CT105&lt;CZ105,"yes","no")</f>
        <v>yes</v>
      </c>
    </row>
    <row r="106" spans="1:107" x14ac:dyDescent="0.2">
      <c r="A106" s="2" t="b">
        <v>0</v>
      </c>
      <c r="B106" s="2" t="s">
        <v>79</v>
      </c>
      <c r="C106" s="2" t="s">
        <v>80</v>
      </c>
      <c r="D106" s="2" t="s">
        <v>878</v>
      </c>
      <c r="E106" s="2" t="s">
        <v>879</v>
      </c>
      <c r="F106" s="2">
        <v>4</v>
      </c>
      <c r="G106" s="2">
        <v>4</v>
      </c>
      <c r="H106" s="2">
        <v>27.4</v>
      </c>
      <c r="I106" s="2">
        <v>6.76</v>
      </c>
      <c r="J106" s="2" t="s">
        <v>380</v>
      </c>
      <c r="K106" s="2" t="s">
        <v>669</v>
      </c>
      <c r="L106" s="2" t="s">
        <v>83</v>
      </c>
      <c r="M106" s="2" t="s">
        <v>83</v>
      </c>
      <c r="N106" s="2" t="s">
        <v>880</v>
      </c>
      <c r="O106" s="2">
        <v>0.77800000000000002</v>
      </c>
      <c r="P106" s="2">
        <v>1.105</v>
      </c>
      <c r="Q106" s="2">
        <v>0.95399999999999996</v>
      </c>
      <c r="R106" s="2">
        <v>0.95899999999999996</v>
      </c>
      <c r="S106" s="2">
        <v>1.042</v>
      </c>
      <c r="T106" s="2">
        <v>1.141</v>
      </c>
      <c r="U106" s="2">
        <v>1.228</v>
      </c>
      <c r="V106" s="2">
        <v>1.619</v>
      </c>
      <c r="W106" s="2">
        <v>1.1930000000000001</v>
      </c>
      <c r="X106" s="2">
        <v>0.879</v>
      </c>
      <c r="Y106" s="2">
        <v>126</v>
      </c>
      <c r="Z106" s="2">
        <v>72.3</v>
      </c>
      <c r="AA106" s="2">
        <v>111.2</v>
      </c>
      <c r="AB106" s="2">
        <v>131.9</v>
      </c>
      <c r="AC106" s="2">
        <v>58.6</v>
      </c>
      <c r="AD106" s="2">
        <v>2042333.7109375</v>
      </c>
      <c r="AE106" s="2">
        <v>1482511.90625</v>
      </c>
      <c r="AF106" s="2">
        <v>1537179.62890625</v>
      </c>
      <c r="AG106" s="2">
        <v>2090985.6015625</v>
      </c>
      <c r="AH106" s="2">
        <v>1415123.77734375</v>
      </c>
      <c r="AI106" s="2">
        <v>22111.7336425781</v>
      </c>
      <c r="AJ106" s="2">
        <v>13299.763671875</v>
      </c>
      <c r="AK106" s="2">
        <v>31470.2062988281</v>
      </c>
      <c r="AL106" s="2">
        <v>56628.484375</v>
      </c>
      <c r="AM106" s="2">
        <v>15445.998046875</v>
      </c>
      <c r="AN106" s="2">
        <v>24823.5771484375</v>
      </c>
      <c r="AO106" s="2">
        <v>24387.4025878906</v>
      </c>
      <c r="AP106" s="2">
        <v>29628.8642578125</v>
      </c>
      <c r="AQ106" s="2">
        <v>23580.089355468801</v>
      </c>
      <c r="AR106" s="2">
        <v>52835.671386718801</v>
      </c>
      <c r="AS106" s="2">
        <v>219752.037109375</v>
      </c>
      <c r="AT106" s="2">
        <v>582712.4921875</v>
      </c>
      <c r="AU106" s="2">
        <v>264241.73046875</v>
      </c>
      <c r="AV106" s="2">
        <v>249595.033203125</v>
      </c>
      <c r="AW106" s="2">
        <v>298792.49707031302</v>
      </c>
      <c r="AX106" s="2">
        <v>38046.453125</v>
      </c>
      <c r="AY106" s="2">
        <v>157191.4296875</v>
      </c>
      <c r="AZ106" s="2">
        <v>138651.62890625</v>
      </c>
      <c r="BA106" s="2">
        <v>40926.125</v>
      </c>
      <c r="BB106" s="2">
        <v>36843.75390625</v>
      </c>
      <c r="BC106" s="2" t="s">
        <v>79</v>
      </c>
      <c r="BD106" s="2" t="s">
        <v>79</v>
      </c>
      <c r="BE106" s="2" t="s">
        <v>79</v>
      </c>
      <c r="BF106" s="2" t="s">
        <v>79</v>
      </c>
      <c r="BG106" s="2" t="s">
        <v>79</v>
      </c>
      <c r="BH106" s="2" t="s">
        <v>91</v>
      </c>
      <c r="BI106" s="2" t="s">
        <v>91</v>
      </c>
      <c r="BJ106" s="2" t="s">
        <v>91</v>
      </c>
      <c r="BK106" s="2" t="s">
        <v>79</v>
      </c>
      <c r="BL106" s="2" t="s">
        <v>91</v>
      </c>
      <c r="BM106" s="2" t="s">
        <v>91</v>
      </c>
      <c r="BN106" s="2" t="s">
        <v>91</v>
      </c>
      <c r="BO106" s="2" t="s">
        <v>91</v>
      </c>
      <c r="BP106" s="2" t="s">
        <v>91</v>
      </c>
      <c r="BQ106" s="2" t="s">
        <v>91</v>
      </c>
      <c r="BR106" s="2" t="s">
        <v>91</v>
      </c>
      <c r="BS106" s="2" t="s">
        <v>79</v>
      </c>
      <c r="BT106" s="2" t="s">
        <v>91</v>
      </c>
      <c r="BU106" s="2" t="s">
        <v>91</v>
      </c>
      <c r="BV106" s="2" t="s">
        <v>91</v>
      </c>
      <c r="BW106" s="2" t="s">
        <v>91</v>
      </c>
      <c r="BX106" s="2" t="s">
        <v>91</v>
      </c>
      <c r="BY106" s="2" t="s">
        <v>91</v>
      </c>
      <c r="BZ106" s="2" t="s">
        <v>91</v>
      </c>
      <c r="CA106" s="2" t="s">
        <v>91</v>
      </c>
      <c r="CB106">
        <f>TTEST(AS106:AW106,AI106:AM106,2,2)</f>
        <v>2.1935150575589039E-3</v>
      </c>
      <c r="CC106">
        <f>TTEST(AD106:AH106,AI106:AM106,2,2)</f>
        <v>2.8482229394234504E-6</v>
      </c>
      <c r="CD106">
        <f>TTEST(AN106:AR106,AI106:AM106,2,2)</f>
        <v>0.74373193159947681</v>
      </c>
      <c r="CE106">
        <f>TTEST(AX106:BB106,AI106:AM106,2,2)</f>
        <v>8.7951305066855029E-2</v>
      </c>
      <c r="CF106">
        <v>110</v>
      </c>
      <c r="CG106">
        <v>70</v>
      </c>
      <c r="CH106">
        <v>212</v>
      </c>
      <c r="CI106">
        <v>121</v>
      </c>
      <c r="CJ106">
        <f>0.05*CF106/464</f>
        <v>1.1853448275862068E-2</v>
      </c>
      <c r="CK106">
        <f>0.05*CG106/464</f>
        <v>7.5431034482758624E-3</v>
      </c>
      <c r="CL106">
        <f>0.05*CH106/464</f>
        <v>2.2844827586206901E-2</v>
      </c>
      <c r="CM106">
        <f>0.05*CI106/464</f>
        <v>1.3038793103448278E-2</v>
      </c>
      <c r="CN106" t="str">
        <f>IF(CB106&lt;CJ106,"yes","no")</f>
        <v>yes</v>
      </c>
      <c r="CO106" t="str">
        <f>IF(CC106&lt;CK106,"yes","no")</f>
        <v>yes</v>
      </c>
      <c r="CP106" t="str">
        <f>IF(CD106&lt;CL106,"yes","no")</f>
        <v>no</v>
      </c>
      <c r="CQ106" t="str">
        <f>IF(CE106&lt;CM106,"yes","no")</f>
        <v>no</v>
      </c>
      <c r="CR106">
        <f>TTEST(AS106:AW106,AD106:AH106,2,2)</f>
        <v>2.3872368424370877E-5</v>
      </c>
      <c r="CS106">
        <f>TTEST(AS106:AW106,AN106:AR106,2,2)</f>
        <v>2.2936356833648283E-3</v>
      </c>
      <c r="CT106">
        <f>TTEST(AS106:AW106,AX106:BB106,2,2)</f>
        <v>9.795320927776123E-3</v>
      </c>
      <c r="CU106">
        <v>106</v>
      </c>
      <c r="CV106">
        <v>103</v>
      </c>
      <c r="CW106">
        <v>105</v>
      </c>
      <c r="CX106">
        <f t="shared" si="3"/>
        <v>1.142241379310345E-2</v>
      </c>
      <c r="CY106">
        <f t="shared" si="4"/>
        <v>1.1099137931034484E-2</v>
      </c>
      <c r="CZ106">
        <f t="shared" si="5"/>
        <v>1.1314655172413793E-2</v>
      </c>
      <c r="DA106" t="str">
        <f>IF(CR106&lt;CX106,"yes","no")</f>
        <v>yes</v>
      </c>
      <c r="DB106" t="str">
        <f>IF(CS106&lt;CY106,"yes","no")</f>
        <v>yes</v>
      </c>
      <c r="DC106" t="str">
        <f>IF(CT106&lt;CZ106,"yes","no")</f>
        <v>yes</v>
      </c>
    </row>
    <row r="107" spans="1:107" x14ac:dyDescent="0.2">
      <c r="A107" s="2" t="b">
        <v>0</v>
      </c>
      <c r="B107" s="2" t="s">
        <v>79</v>
      </c>
      <c r="C107" s="2" t="s">
        <v>80</v>
      </c>
      <c r="D107" s="2" t="s">
        <v>117</v>
      </c>
      <c r="E107" s="2" t="s">
        <v>118</v>
      </c>
      <c r="F107" s="2">
        <v>25</v>
      </c>
      <c r="G107" s="2">
        <v>1</v>
      </c>
      <c r="H107" s="2">
        <v>68.7</v>
      </c>
      <c r="I107" s="2">
        <v>6.48</v>
      </c>
      <c r="J107" s="2" t="s">
        <v>83</v>
      </c>
      <c r="K107" s="2" t="s">
        <v>84</v>
      </c>
      <c r="L107" s="2" t="s">
        <v>119</v>
      </c>
      <c r="M107" s="2" t="s">
        <v>120</v>
      </c>
      <c r="N107" s="2" t="s">
        <v>121</v>
      </c>
      <c r="O107" s="2">
        <v>2.7149999999999999</v>
      </c>
      <c r="P107" s="2">
        <v>2.52</v>
      </c>
      <c r="Q107" s="2">
        <v>4.7960000000000003</v>
      </c>
      <c r="R107" s="2">
        <v>0.35399999999999998</v>
      </c>
      <c r="S107" s="2">
        <v>0.99</v>
      </c>
      <c r="T107" s="2">
        <v>0.88300000000000001</v>
      </c>
      <c r="U107" s="2">
        <v>1.8320000000000001</v>
      </c>
      <c r="V107" s="2">
        <v>0.96499999999999997</v>
      </c>
      <c r="W107" s="2">
        <v>2.0750000000000002</v>
      </c>
      <c r="X107" s="2">
        <v>1.927</v>
      </c>
      <c r="Y107" s="2">
        <v>33.299999999999997</v>
      </c>
      <c r="Z107" s="2">
        <v>109.5</v>
      </c>
      <c r="AA107" s="2">
        <v>86.2</v>
      </c>
      <c r="AB107" s="2">
        <v>91.5</v>
      </c>
      <c r="AC107" s="2">
        <v>179.5</v>
      </c>
      <c r="AD107" s="2">
        <v>415908816.33837903</v>
      </c>
      <c r="AE107" s="2">
        <v>325310558.203125</v>
      </c>
      <c r="AF107" s="2">
        <v>309167719.17675799</v>
      </c>
      <c r="AG107" s="2">
        <v>391304508.95703101</v>
      </c>
      <c r="AH107" s="2">
        <v>285854152.82617199</v>
      </c>
      <c r="AI107" s="2">
        <v>25717361.8668213</v>
      </c>
      <c r="AJ107" s="2">
        <v>19779534.384277299</v>
      </c>
      <c r="AK107" s="2">
        <v>21656725.8129883</v>
      </c>
      <c r="AL107" s="2">
        <v>26351958.134765599</v>
      </c>
      <c r="AM107" s="2">
        <v>19371299.4990234</v>
      </c>
      <c r="AN107" s="2">
        <v>14685778.526367201</v>
      </c>
      <c r="AO107" s="2">
        <v>15885764.1083984</v>
      </c>
      <c r="AP107" s="2">
        <v>18449002.637695301</v>
      </c>
      <c r="AQ107" s="2">
        <v>15667465.1520996</v>
      </c>
      <c r="AR107" s="2">
        <v>23381466.084228501</v>
      </c>
      <c r="AS107" s="2">
        <v>138049640.77343801</v>
      </c>
      <c r="AT107" s="2">
        <v>217793038.44238299</v>
      </c>
      <c r="AU107" s="2">
        <v>130628266.628906</v>
      </c>
      <c r="AV107" s="2">
        <v>140299549.45800799</v>
      </c>
      <c r="AW107" s="2">
        <v>156027101.91699201</v>
      </c>
      <c r="AX107" s="2">
        <v>90740541.174072295</v>
      </c>
      <c r="AY107" s="2">
        <v>114221906.124512</v>
      </c>
      <c r="AZ107" s="2">
        <v>111499856.425781</v>
      </c>
      <c r="BA107" s="2">
        <v>96977327.444335893</v>
      </c>
      <c r="BB107" s="2">
        <v>90705043.462890595</v>
      </c>
      <c r="BC107" s="2" t="s">
        <v>79</v>
      </c>
      <c r="BD107" s="2" t="s">
        <v>79</v>
      </c>
      <c r="BE107" s="2" t="s">
        <v>79</v>
      </c>
      <c r="BF107" s="2" t="s">
        <v>79</v>
      </c>
      <c r="BG107" s="2" t="s">
        <v>79</v>
      </c>
      <c r="BH107" s="2" t="s">
        <v>79</v>
      </c>
      <c r="BI107" s="2" t="s">
        <v>79</v>
      </c>
      <c r="BJ107" s="2" t="s">
        <v>79</v>
      </c>
      <c r="BK107" s="2" t="s">
        <v>79</v>
      </c>
      <c r="BL107" s="2" t="s">
        <v>79</v>
      </c>
      <c r="BM107" s="2" t="s">
        <v>79</v>
      </c>
      <c r="BN107" s="2" t="s">
        <v>79</v>
      </c>
      <c r="BO107" s="2" t="s">
        <v>79</v>
      </c>
      <c r="BP107" s="2" t="s">
        <v>79</v>
      </c>
      <c r="BQ107" s="2" t="s">
        <v>79</v>
      </c>
      <c r="BR107" s="2" t="s">
        <v>79</v>
      </c>
      <c r="BS107" s="2" t="s">
        <v>79</v>
      </c>
      <c r="BT107" s="2" t="s">
        <v>79</v>
      </c>
      <c r="BU107" s="2" t="s">
        <v>79</v>
      </c>
      <c r="BV107" s="2" t="s">
        <v>79</v>
      </c>
      <c r="BW107" s="2" t="s">
        <v>79</v>
      </c>
      <c r="BX107" s="2" t="s">
        <v>79</v>
      </c>
      <c r="BY107" s="2" t="s">
        <v>79</v>
      </c>
      <c r="BZ107" s="2" t="s">
        <v>79</v>
      </c>
      <c r="CA107" s="2" t="s">
        <v>79</v>
      </c>
      <c r="CB107">
        <f>TTEST(AS107:AW107,AI107:AM107,2,2)</f>
        <v>3.0334308759410107E-5</v>
      </c>
      <c r="CC107">
        <f>TTEST(AD107:AH107,AI107:AM107,2,2)</f>
        <v>1.177668651417844E-6</v>
      </c>
      <c r="CD107">
        <f>TTEST(AN107:AR107,AI107:AM107,2,2)</f>
        <v>4.9795284128738855E-2</v>
      </c>
      <c r="CE107">
        <f>TTEST(AX107:BB107,AI107:AM107,2,2)</f>
        <v>4.1665065414417338E-7</v>
      </c>
      <c r="CF107">
        <v>43</v>
      </c>
      <c r="CG107">
        <v>54</v>
      </c>
      <c r="CH107">
        <v>120</v>
      </c>
      <c r="CI107">
        <v>11</v>
      </c>
      <c r="CJ107">
        <f>0.05*CF107/464</f>
        <v>4.6336206896551721E-3</v>
      </c>
      <c r="CK107">
        <f>0.05*CG107/464</f>
        <v>5.8189655172413797E-3</v>
      </c>
      <c r="CL107">
        <f>0.05*CH107/464</f>
        <v>1.2931034482758621E-2</v>
      </c>
      <c r="CM107">
        <f>0.05*CI107/464</f>
        <v>1.1853448275862071E-3</v>
      </c>
      <c r="CN107" t="str">
        <f>IF(CB107&lt;CJ107,"yes","no")</f>
        <v>yes</v>
      </c>
      <c r="CO107" t="str">
        <f>IF(CC107&lt;CK107,"yes","no")</f>
        <v>yes</v>
      </c>
      <c r="CP107" t="str">
        <f>IF(CD107&lt;CL107,"yes","no")</f>
        <v>no</v>
      </c>
      <c r="CQ107" t="str">
        <f>IF(CE107&lt;CM107,"yes","no")</f>
        <v>yes</v>
      </c>
      <c r="CR107">
        <f>TTEST(AS107:AW107,AD107:AH107,2,2)</f>
        <v>2.0658182719061928E-4</v>
      </c>
      <c r="CS107">
        <f>TTEST(AS107:AW107,AN107:AR107,2,2)</f>
        <v>2.3375078602783691E-5</v>
      </c>
      <c r="CT107">
        <f>TTEST(AS107:AW107,AX107:BB107,2,2)</f>
        <v>1.010965283283795E-2</v>
      </c>
      <c r="CU107">
        <v>144</v>
      </c>
      <c r="CV107">
        <v>21</v>
      </c>
      <c r="CW107">
        <v>106</v>
      </c>
      <c r="CX107">
        <f t="shared" si="3"/>
        <v>1.5517241379310345E-2</v>
      </c>
      <c r="CY107">
        <f t="shared" si="4"/>
        <v>2.2629310344827588E-3</v>
      </c>
      <c r="CZ107">
        <f t="shared" si="5"/>
        <v>1.142241379310345E-2</v>
      </c>
      <c r="DA107" t="str">
        <f>IF(CR107&lt;CX107,"yes","no")</f>
        <v>yes</v>
      </c>
      <c r="DB107" t="str">
        <f>IF(CS107&lt;CY107,"yes","no")</f>
        <v>yes</v>
      </c>
      <c r="DC107" t="str">
        <f>IF(CT107&lt;CZ107,"yes","no")</f>
        <v>yes</v>
      </c>
    </row>
    <row r="108" spans="1:107" x14ac:dyDescent="0.2">
      <c r="A108" s="2" t="b">
        <v>0</v>
      </c>
      <c r="B108" s="2" t="s">
        <v>79</v>
      </c>
      <c r="C108" s="2" t="s">
        <v>80</v>
      </c>
      <c r="D108" s="2" t="s">
        <v>317</v>
      </c>
      <c r="E108" s="2" t="s">
        <v>318</v>
      </c>
      <c r="F108" s="2">
        <v>4</v>
      </c>
      <c r="G108" s="2">
        <v>1</v>
      </c>
      <c r="H108" s="2">
        <v>11.7</v>
      </c>
      <c r="I108" s="2">
        <v>5.16</v>
      </c>
      <c r="J108" s="2" t="s">
        <v>254</v>
      </c>
      <c r="K108" s="2" t="s">
        <v>319</v>
      </c>
      <c r="L108" s="2" t="s">
        <v>83</v>
      </c>
      <c r="M108" s="2" t="s">
        <v>83</v>
      </c>
      <c r="N108" s="2" t="s">
        <v>83</v>
      </c>
      <c r="O108" s="2">
        <v>1.38</v>
      </c>
      <c r="P108" s="2">
        <v>0.56799999999999995</v>
      </c>
      <c r="Q108" s="2">
        <v>0.23899999999999999</v>
      </c>
      <c r="R108" s="2">
        <v>6.5659999999999998</v>
      </c>
      <c r="S108" s="2">
        <v>10.340999999999999</v>
      </c>
      <c r="T108" s="2">
        <v>3.1440000000000001</v>
      </c>
      <c r="U108" s="2">
        <v>1.9419999999999999</v>
      </c>
      <c r="V108" s="2">
        <v>0.27800000000000002</v>
      </c>
      <c r="W108" s="2">
        <v>0.19600000000000001</v>
      </c>
      <c r="X108" s="2">
        <v>0.68400000000000005</v>
      </c>
      <c r="Y108" s="2">
        <v>111.9</v>
      </c>
      <c r="Z108" s="2">
        <v>21.8</v>
      </c>
      <c r="AA108" s="2">
        <v>240.3</v>
      </c>
      <c r="AB108" s="2">
        <v>71.099999999999994</v>
      </c>
      <c r="AC108" s="2">
        <v>54.9</v>
      </c>
      <c r="AD108" s="2">
        <v>730959.619140625</v>
      </c>
      <c r="AE108" s="2">
        <v>678260.12597656297</v>
      </c>
      <c r="AF108" s="2">
        <v>1045772.52929688</v>
      </c>
      <c r="AG108" s="2">
        <v>3434936.96875</v>
      </c>
      <c r="AH108" s="2">
        <v>3431621.890625</v>
      </c>
      <c r="AI108" s="2">
        <v>8997.86083984375</v>
      </c>
      <c r="AJ108" s="2">
        <v>2445.86181640625</v>
      </c>
      <c r="AK108" s="2">
        <v>3084.29418945313</v>
      </c>
      <c r="AL108" s="2">
        <v>9153.5498046875</v>
      </c>
      <c r="AM108" s="2" t="s">
        <v>83</v>
      </c>
      <c r="AN108" s="2">
        <v>65431.955078125</v>
      </c>
      <c r="AO108" s="2">
        <v>29071.947265625</v>
      </c>
      <c r="AP108" s="2">
        <v>95237.5546875</v>
      </c>
      <c r="AQ108" s="2">
        <v>56491.6484375</v>
      </c>
      <c r="AR108" s="2">
        <v>16984.814453125</v>
      </c>
      <c r="AS108" s="2">
        <v>159581.125</v>
      </c>
      <c r="AT108" s="2">
        <v>218197.59375</v>
      </c>
      <c r="AU108" s="2">
        <v>71421.1640625</v>
      </c>
      <c r="AV108" s="2">
        <v>60739.99609375</v>
      </c>
      <c r="AW108" s="2">
        <v>123323.9609375</v>
      </c>
      <c r="AX108" s="2">
        <v>34697.12109375</v>
      </c>
      <c r="AY108" s="2">
        <v>12587.7646484375</v>
      </c>
      <c r="AZ108" s="2">
        <v>46249.03125</v>
      </c>
      <c r="BA108" s="2">
        <v>14309.3603515625</v>
      </c>
      <c r="BB108" s="2">
        <v>27989.28125</v>
      </c>
      <c r="BC108" s="2" t="s">
        <v>79</v>
      </c>
      <c r="BD108" s="2" t="s">
        <v>79</v>
      </c>
      <c r="BE108" s="2" t="s">
        <v>79</v>
      </c>
      <c r="BF108" s="2" t="s">
        <v>79</v>
      </c>
      <c r="BG108" s="2" t="s">
        <v>79</v>
      </c>
      <c r="BH108" s="2" t="s">
        <v>91</v>
      </c>
      <c r="BI108" s="2" t="s">
        <v>91</v>
      </c>
      <c r="BJ108" s="2" t="s">
        <v>91</v>
      </c>
      <c r="BK108" s="2" t="s">
        <v>91</v>
      </c>
      <c r="BL108" s="2" t="s">
        <v>98</v>
      </c>
      <c r="BM108" s="2" t="s">
        <v>79</v>
      </c>
      <c r="BN108" s="2" t="s">
        <v>91</v>
      </c>
      <c r="BO108" s="2" t="s">
        <v>79</v>
      </c>
      <c r="BP108" s="2" t="s">
        <v>91</v>
      </c>
      <c r="BQ108" s="2" t="s">
        <v>91</v>
      </c>
      <c r="BR108" s="2" t="s">
        <v>79</v>
      </c>
      <c r="BS108" s="2" t="s">
        <v>79</v>
      </c>
      <c r="BT108" s="2" t="s">
        <v>79</v>
      </c>
      <c r="BU108" s="2" t="s">
        <v>79</v>
      </c>
      <c r="BV108" s="2" t="s">
        <v>79</v>
      </c>
      <c r="BW108" s="2" t="s">
        <v>91</v>
      </c>
      <c r="BX108" s="2" t="s">
        <v>91</v>
      </c>
      <c r="BY108" s="2" t="s">
        <v>91</v>
      </c>
      <c r="BZ108" s="2" t="s">
        <v>91</v>
      </c>
      <c r="CA108" s="2" t="s">
        <v>91</v>
      </c>
      <c r="CB108">
        <f>TTEST(AS108:AW108,AI108:AM108,2,2)</f>
        <v>8.0521168180095557E-3</v>
      </c>
      <c r="CC108">
        <f>TTEST(AD108:AH108,AI108:AM108,2,2)</f>
        <v>3.829854454851956E-2</v>
      </c>
      <c r="CD108">
        <f>TTEST(AN108:AR108,AI108:AM108,2,2)</f>
        <v>2.0921801927054218E-2</v>
      </c>
      <c r="CE108">
        <f>TTEST(AX108:BB108,AI108:AM108,2,2)</f>
        <v>2.3241933152788059E-2</v>
      </c>
      <c r="CF108">
        <v>129</v>
      </c>
      <c r="CG108">
        <v>175</v>
      </c>
      <c r="CH108">
        <v>108</v>
      </c>
      <c r="CI108">
        <v>95</v>
      </c>
      <c r="CJ108">
        <f>0.05*CF108/464</f>
        <v>1.3900862068965517E-2</v>
      </c>
      <c r="CK108">
        <f>0.05*CG108/464</f>
        <v>1.8857758620689655E-2</v>
      </c>
      <c r="CL108">
        <f>0.05*CH108/464</f>
        <v>1.1637931034482759E-2</v>
      </c>
      <c r="CM108">
        <f>0.05*CI108/464</f>
        <v>1.0237068965517241E-2</v>
      </c>
      <c r="CN108" t="str">
        <f>IF(CB108&lt;CJ108,"yes","no")</f>
        <v>yes</v>
      </c>
      <c r="CO108" t="str">
        <f>IF(CC108&lt;CK108,"yes","no")</f>
        <v>no</v>
      </c>
      <c r="CP108" t="str">
        <f>IF(CD108&lt;CL108,"yes","no")</f>
        <v>no</v>
      </c>
      <c r="CQ108" t="str">
        <f>IF(CE108&lt;CM108,"yes","no")</f>
        <v>no</v>
      </c>
      <c r="CR108">
        <f>TTEST(AS108:AW108,AD108:AH108,2,2)</f>
        <v>2.7194263114725947E-2</v>
      </c>
      <c r="CS108">
        <f>TTEST(AS108:AW108,AN108:AR108,2,2)</f>
        <v>5.0393181807042831E-2</v>
      </c>
      <c r="CT108">
        <f>TTEST(AS108:AW108,AX108:BB108,2,2)</f>
        <v>1.0125134704241291E-2</v>
      </c>
      <c r="CU108">
        <v>213</v>
      </c>
      <c r="CV108">
        <v>164</v>
      </c>
      <c r="CW108">
        <v>107</v>
      </c>
      <c r="CX108">
        <f t="shared" si="3"/>
        <v>2.2952586206896552E-2</v>
      </c>
      <c r="CY108">
        <f t="shared" si="4"/>
        <v>1.7672413793103449E-2</v>
      </c>
      <c r="CZ108">
        <f t="shared" si="5"/>
        <v>1.1530172413793104E-2</v>
      </c>
      <c r="DA108" t="str">
        <f>IF(CR108&lt;CX108,"yes","no")</f>
        <v>no</v>
      </c>
      <c r="DB108" t="str">
        <f>IF(CS108&lt;CY108,"yes","no")</f>
        <v>no</v>
      </c>
      <c r="DC108" t="str">
        <f>IF(CT108&lt;CZ108,"yes","no")</f>
        <v>yes</v>
      </c>
    </row>
    <row r="109" spans="1:107" x14ac:dyDescent="0.2">
      <c r="A109" s="2" t="b">
        <v>0</v>
      </c>
      <c r="B109" s="2" t="s">
        <v>79</v>
      </c>
      <c r="C109" s="2" t="s">
        <v>80</v>
      </c>
      <c r="D109" s="2" t="s">
        <v>828</v>
      </c>
      <c r="E109" s="2" t="s">
        <v>829</v>
      </c>
      <c r="F109" s="2">
        <v>4</v>
      </c>
      <c r="G109" s="2">
        <v>4</v>
      </c>
      <c r="H109" s="2">
        <v>22.9</v>
      </c>
      <c r="I109" s="2">
        <v>7.44</v>
      </c>
      <c r="J109" s="2" t="s">
        <v>380</v>
      </c>
      <c r="K109" s="2" t="s">
        <v>669</v>
      </c>
      <c r="L109" s="2" t="s">
        <v>83</v>
      </c>
      <c r="M109" s="2" t="s">
        <v>83</v>
      </c>
      <c r="N109" s="2" t="s">
        <v>830</v>
      </c>
      <c r="O109" s="2">
        <v>1.3180000000000001</v>
      </c>
      <c r="P109" s="2">
        <v>1.9950000000000001</v>
      </c>
      <c r="Q109" s="2">
        <v>24.055</v>
      </c>
      <c r="R109" s="2">
        <v>1.504</v>
      </c>
      <c r="S109" s="2">
        <v>2.3119999999999998</v>
      </c>
      <c r="T109" s="2">
        <v>0.20399999999999999</v>
      </c>
      <c r="U109" s="2" t="s">
        <v>83</v>
      </c>
      <c r="V109" s="2">
        <v>0.10299999999999999</v>
      </c>
      <c r="W109" s="2" t="s">
        <v>83</v>
      </c>
      <c r="X109" s="2">
        <v>11.051</v>
      </c>
      <c r="Y109" s="2">
        <v>52.4</v>
      </c>
      <c r="Z109" s="2">
        <v>31.9</v>
      </c>
      <c r="AA109" s="2">
        <v>63</v>
      </c>
      <c r="AB109" s="2">
        <v>58.1</v>
      </c>
      <c r="AC109" s="2">
        <v>294.60000000000002</v>
      </c>
      <c r="AD109" s="2">
        <v>540677.921875</v>
      </c>
      <c r="AE109" s="2">
        <v>447473.6875</v>
      </c>
      <c r="AF109" s="2">
        <v>353549.53125</v>
      </c>
      <c r="AG109" s="2">
        <v>292027.52734375</v>
      </c>
      <c r="AH109" s="2">
        <v>419323.7421875</v>
      </c>
      <c r="AI109" s="2" t="s">
        <v>83</v>
      </c>
      <c r="AJ109" s="2">
        <v>7768.86572265625</v>
      </c>
      <c r="AK109" s="2" t="s">
        <v>83</v>
      </c>
      <c r="AL109" s="2">
        <v>5800.29638671875</v>
      </c>
      <c r="AM109" s="2" t="s">
        <v>83</v>
      </c>
      <c r="AN109" s="2">
        <v>8308.830078125</v>
      </c>
      <c r="AO109" s="2">
        <v>7595.296875</v>
      </c>
      <c r="AP109" s="2">
        <v>12567.423828125</v>
      </c>
      <c r="AQ109" s="2" t="s">
        <v>83</v>
      </c>
      <c r="AR109" s="2">
        <v>19411.5078125</v>
      </c>
      <c r="AS109" s="2">
        <v>36674.1953125</v>
      </c>
      <c r="AT109" s="2">
        <v>125393.72949218799</v>
      </c>
      <c r="AU109" s="2">
        <v>65195.4755859375</v>
      </c>
      <c r="AV109" s="2">
        <v>56851.533203125</v>
      </c>
      <c r="AW109" s="2">
        <v>82992.95703125</v>
      </c>
      <c r="AX109" s="2">
        <v>127439.515625</v>
      </c>
      <c r="AY109" s="2">
        <v>205303.75</v>
      </c>
      <c r="AZ109" s="2">
        <v>141018.046875</v>
      </c>
      <c r="BA109" s="2">
        <v>107468.1875</v>
      </c>
      <c r="BB109" s="2">
        <v>157905.828125</v>
      </c>
      <c r="BC109" s="2" t="s">
        <v>79</v>
      </c>
      <c r="BD109" s="2" t="s">
        <v>79</v>
      </c>
      <c r="BE109" s="2" t="s">
        <v>79</v>
      </c>
      <c r="BF109" s="2" t="s">
        <v>79</v>
      </c>
      <c r="BG109" s="2" t="s">
        <v>79</v>
      </c>
      <c r="BH109" s="2" t="s">
        <v>98</v>
      </c>
      <c r="BI109" s="2" t="s">
        <v>91</v>
      </c>
      <c r="BJ109" s="2" t="s">
        <v>98</v>
      </c>
      <c r="BK109" s="2" t="s">
        <v>91</v>
      </c>
      <c r="BL109" s="2" t="s">
        <v>98</v>
      </c>
      <c r="BM109" s="2" t="s">
        <v>91</v>
      </c>
      <c r="BN109" s="2" t="s">
        <v>91</v>
      </c>
      <c r="BO109" s="2" t="s">
        <v>91</v>
      </c>
      <c r="BP109" s="2" t="s">
        <v>98</v>
      </c>
      <c r="BQ109" s="2" t="s">
        <v>91</v>
      </c>
      <c r="BR109" s="2" t="s">
        <v>79</v>
      </c>
      <c r="BS109" s="2" t="s">
        <v>79</v>
      </c>
      <c r="BT109" s="2" t="s">
        <v>79</v>
      </c>
      <c r="BU109" s="2" t="s">
        <v>79</v>
      </c>
      <c r="BV109" s="2" t="s">
        <v>79</v>
      </c>
      <c r="BW109" s="2" t="s">
        <v>91</v>
      </c>
      <c r="BX109" s="2" t="s">
        <v>91</v>
      </c>
      <c r="BY109" s="2" t="s">
        <v>91</v>
      </c>
      <c r="BZ109" s="2" t="s">
        <v>91</v>
      </c>
      <c r="CA109" s="2" t="s">
        <v>91</v>
      </c>
      <c r="CB109">
        <f>TTEST(AS109:AW109,AI109:AM109,2,2)</f>
        <v>4.4956843530379348E-2</v>
      </c>
      <c r="CC109">
        <f>TTEST(AD109:AH109,AI109:AM109,2,2)</f>
        <v>2.2939496093556562E-3</v>
      </c>
      <c r="CD109">
        <f>TTEST(AN109:AR109,AI109:AM109,2,2)</f>
        <v>0.27584602190605584</v>
      </c>
      <c r="CE109">
        <f>TTEST(AX109:BB109,AI109:AM109,2,2)</f>
        <v>3.8222291042272799E-3</v>
      </c>
      <c r="CF109">
        <v>149</v>
      </c>
      <c r="CG109">
        <v>145</v>
      </c>
      <c r="CH109">
        <v>152</v>
      </c>
      <c r="CI109">
        <v>72</v>
      </c>
      <c r="CJ109">
        <f>0.05*CF109/464</f>
        <v>1.6056034482758622E-2</v>
      </c>
      <c r="CK109">
        <f>0.05*CG109/464</f>
        <v>1.5625E-2</v>
      </c>
      <c r="CL109">
        <f>0.05*CH109/464</f>
        <v>1.6379310344827588E-2</v>
      </c>
      <c r="CM109">
        <f>0.05*CI109/464</f>
        <v>7.7586206896551723E-3</v>
      </c>
      <c r="CN109" t="str">
        <f>IF(CB109&lt;CJ109,"yes","no")</f>
        <v>no</v>
      </c>
      <c r="CO109" t="str">
        <f>IF(CC109&lt;CK109,"yes","no")</f>
        <v>yes</v>
      </c>
      <c r="CP109" t="str">
        <f>IF(CD109&lt;CL109,"yes","no")</f>
        <v>no</v>
      </c>
      <c r="CQ109" t="str">
        <f>IF(CE109&lt;CM109,"yes","no")</f>
        <v>yes</v>
      </c>
      <c r="CR109">
        <f>TTEST(AS109:AW109,AD109:AH109,2,2)</f>
        <v>6.7648911159329261E-5</v>
      </c>
      <c r="CS109">
        <f>TTEST(AS109:AW109,AN109:AR109,2,2)</f>
        <v>8.930954565986908E-3</v>
      </c>
      <c r="CT109">
        <f>TTEST(AS109:AW109,AX109:BB109,2,2)</f>
        <v>1.037474248035943E-2</v>
      </c>
      <c r="CU109">
        <v>124</v>
      </c>
      <c r="CV109">
        <v>128</v>
      </c>
      <c r="CW109">
        <v>108</v>
      </c>
      <c r="CX109">
        <f t="shared" si="3"/>
        <v>1.3362068965517242E-2</v>
      </c>
      <c r="CY109">
        <f t="shared" si="4"/>
        <v>1.3793103448275864E-2</v>
      </c>
      <c r="CZ109">
        <f t="shared" si="5"/>
        <v>1.1637931034482759E-2</v>
      </c>
      <c r="DA109" t="str">
        <f>IF(CR109&lt;CX109,"yes","no")</f>
        <v>yes</v>
      </c>
      <c r="DB109" t="str">
        <f>IF(CS109&lt;CY109,"yes","no")</f>
        <v>yes</v>
      </c>
      <c r="DC109" t="str">
        <f>IF(CT109&lt;CZ109,"yes","no")</f>
        <v>yes</v>
      </c>
    </row>
    <row r="110" spans="1:107" x14ac:dyDescent="0.2">
      <c r="A110" s="2" t="b">
        <v>0</v>
      </c>
      <c r="B110" s="2" t="s">
        <v>79</v>
      </c>
      <c r="C110" s="2" t="s">
        <v>80</v>
      </c>
      <c r="D110" s="2" t="s">
        <v>448</v>
      </c>
      <c r="E110" s="2" t="s">
        <v>449</v>
      </c>
      <c r="F110" s="2">
        <v>8</v>
      </c>
      <c r="G110" s="2">
        <v>8</v>
      </c>
      <c r="H110" s="2">
        <v>52.6</v>
      </c>
      <c r="I110" s="2">
        <v>6.54</v>
      </c>
      <c r="J110" s="2" t="s">
        <v>83</v>
      </c>
      <c r="K110" s="2" t="s">
        <v>450</v>
      </c>
      <c r="L110" s="2" t="s">
        <v>102</v>
      </c>
      <c r="M110" s="2" t="s">
        <v>451</v>
      </c>
      <c r="N110" s="2" t="s">
        <v>448</v>
      </c>
      <c r="O110" s="2">
        <v>3.6030000000000002</v>
      </c>
      <c r="P110" s="2">
        <v>3.1949999999999998</v>
      </c>
      <c r="Q110" s="2">
        <v>5.8760000000000003</v>
      </c>
      <c r="R110" s="2">
        <v>0.26800000000000002</v>
      </c>
      <c r="S110" s="2">
        <v>1.129</v>
      </c>
      <c r="T110" s="2">
        <v>0.70399999999999996</v>
      </c>
      <c r="U110" s="2">
        <v>1.4650000000000001</v>
      </c>
      <c r="V110" s="2">
        <v>0.77600000000000002</v>
      </c>
      <c r="W110" s="2">
        <v>1.323</v>
      </c>
      <c r="X110" s="2">
        <v>1.8979999999999999</v>
      </c>
      <c r="Y110" s="2">
        <v>24.5</v>
      </c>
      <c r="Z110" s="2">
        <v>89.6</v>
      </c>
      <c r="AA110" s="2">
        <v>103.1</v>
      </c>
      <c r="AB110" s="2">
        <v>95.5</v>
      </c>
      <c r="AC110" s="2">
        <v>187.3</v>
      </c>
      <c r="AD110" s="2">
        <v>3645806.25</v>
      </c>
      <c r="AE110" s="2">
        <v>2677952.21875</v>
      </c>
      <c r="AF110" s="2">
        <v>2368640.6015625</v>
      </c>
      <c r="AG110" s="2">
        <v>4906060.703125</v>
      </c>
      <c r="AH110" s="2">
        <v>3800486.7734375</v>
      </c>
      <c r="AI110" s="2">
        <v>287191.29589843802</v>
      </c>
      <c r="AJ110" s="2">
        <v>236408.42871093799</v>
      </c>
      <c r="AK110" s="2">
        <v>216853.189453125</v>
      </c>
      <c r="AL110" s="2">
        <v>291587.90087890602</v>
      </c>
      <c r="AM110" s="2">
        <v>193429.43261718799</v>
      </c>
      <c r="AN110" s="2">
        <v>213062.22998046901</v>
      </c>
      <c r="AO110" s="2">
        <v>216208.605712891</v>
      </c>
      <c r="AP110" s="2">
        <v>280928.05322265602</v>
      </c>
      <c r="AQ110" s="2">
        <v>277732.69433593802</v>
      </c>
      <c r="AR110" s="2">
        <v>394176.556640625</v>
      </c>
      <c r="AS110" s="2">
        <v>1731135.4365234401</v>
      </c>
      <c r="AT110" s="2">
        <v>2800101.89453125</v>
      </c>
      <c r="AU110" s="2">
        <v>1581411.2583007801</v>
      </c>
      <c r="AV110" s="2">
        <v>1752419.7207031299</v>
      </c>
      <c r="AW110" s="2">
        <v>2055528.3769531299</v>
      </c>
      <c r="AX110" s="2">
        <v>1146085.43505859</v>
      </c>
      <c r="AY110" s="2">
        <v>1273682.1962890599</v>
      </c>
      <c r="AZ110" s="2">
        <v>1408083.3046875</v>
      </c>
      <c r="BA110" s="2">
        <v>1211445.2792968799</v>
      </c>
      <c r="BB110" s="2">
        <v>1170837.9990234401</v>
      </c>
      <c r="BC110" s="2" t="s">
        <v>79</v>
      </c>
      <c r="BD110" s="2" t="s">
        <v>79</v>
      </c>
      <c r="BE110" s="2" t="s">
        <v>79</v>
      </c>
      <c r="BF110" s="2" t="s">
        <v>79</v>
      </c>
      <c r="BG110" s="2" t="s">
        <v>79</v>
      </c>
      <c r="BH110" s="2" t="s">
        <v>79</v>
      </c>
      <c r="BI110" s="2" t="s">
        <v>79</v>
      </c>
      <c r="BJ110" s="2" t="s">
        <v>79</v>
      </c>
      <c r="BK110" s="2" t="s">
        <v>79</v>
      </c>
      <c r="BL110" s="2" t="s">
        <v>79</v>
      </c>
      <c r="BM110" s="2" t="s">
        <v>79</v>
      </c>
      <c r="BN110" s="2" t="s">
        <v>79</v>
      </c>
      <c r="BO110" s="2" t="s">
        <v>79</v>
      </c>
      <c r="BP110" s="2" t="s">
        <v>79</v>
      </c>
      <c r="BQ110" s="2" t="s">
        <v>79</v>
      </c>
      <c r="BR110" s="2" t="s">
        <v>79</v>
      </c>
      <c r="BS110" s="2" t="s">
        <v>79</v>
      </c>
      <c r="BT110" s="2" t="s">
        <v>79</v>
      </c>
      <c r="BU110" s="2" t="s">
        <v>79</v>
      </c>
      <c r="BV110" s="2" t="s">
        <v>79</v>
      </c>
      <c r="BW110" s="2" t="s">
        <v>79</v>
      </c>
      <c r="BX110" s="2" t="s">
        <v>79</v>
      </c>
      <c r="BY110" s="2" t="s">
        <v>79</v>
      </c>
      <c r="BZ110" s="2" t="s">
        <v>79</v>
      </c>
      <c r="CA110" s="2" t="s">
        <v>79</v>
      </c>
      <c r="CB110">
        <f>TTEST(AS110:AW110,AI110:AM110,2,2)</f>
        <v>4.5901543410280085E-5</v>
      </c>
      <c r="CC110">
        <f>TTEST(AD110:AH110,AI110:AM110,2,2)</f>
        <v>9.3500263079649803E-5</v>
      </c>
      <c r="CD110">
        <f>TTEST(AN110:AR110,AI110:AM110,2,2)</f>
        <v>0.43454555236885806</v>
      </c>
      <c r="CE110">
        <f>TTEST(AX110:BB110,AI110:AM110,2,2)</f>
        <v>4.6023266589921264E-8</v>
      </c>
      <c r="CF110">
        <v>52</v>
      </c>
      <c r="CG110">
        <v>112</v>
      </c>
      <c r="CH110">
        <v>176</v>
      </c>
      <c r="CI110">
        <v>4</v>
      </c>
      <c r="CJ110">
        <f>0.05*CF110/464</f>
        <v>5.6034482758620689E-3</v>
      </c>
      <c r="CK110">
        <f>0.05*CG110/464</f>
        <v>1.2068965517241381E-2</v>
      </c>
      <c r="CL110">
        <f>0.05*CH110/464</f>
        <v>1.8965517241379314E-2</v>
      </c>
      <c r="CM110">
        <f>0.05*CI110/464</f>
        <v>4.3103448275862074E-4</v>
      </c>
      <c r="CN110" t="str">
        <f>IF(CB110&lt;CJ110,"yes","no")</f>
        <v>yes</v>
      </c>
      <c r="CO110" t="str">
        <f>IF(CC110&lt;CK110,"yes","no")</f>
        <v>yes</v>
      </c>
      <c r="CP110" t="str">
        <f>IF(CD110&lt;CL110,"yes","no")</f>
        <v>no</v>
      </c>
      <c r="CQ110" t="str">
        <f>IF(CE110&lt;CM110,"yes","no")</f>
        <v>yes</v>
      </c>
      <c r="CR110">
        <f>TTEST(AS110:AW110,AD110:AH110,2,2)</f>
        <v>1.7243666618064642E-2</v>
      </c>
      <c r="CS110">
        <f>TTEST(AS110:AW110,AN110:AR110,2,2)</f>
        <v>5.5093125145086692E-5</v>
      </c>
      <c r="CT110">
        <f>TTEST(AS110:AW110,AX110:BB110,2,2)</f>
        <v>1.0418683670874358E-2</v>
      </c>
      <c r="CU110">
        <v>201</v>
      </c>
      <c r="CV110">
        <v>32</v>
      </c>
      <c r="CW110">
        <v>109</v>
      </c>
      <c r="CX110">
        <f t="shared" si="3"/>
        <v>2.1659482758620691E-2</v>
      </c>
      <c r="CY110">
        <f t="shared" si="4"/>
        <v>3.4482758620689659E-3</v>
      </c>
      <c r="CZ110">
        <f t="shared" si="5"/>
        <v>1.1745689655172415E-2</v>
      </c>
      <c r="DA110" t="str">
        <f>IF(CR110&lt;CX110,"yes","no")</f>
        <v>yes</v>
      </c>
      <c r="DB110" t="str">
        <f>IF(CS110&lt;CY110,"yes","no")</f>
        <v>yes</v>
      </c>
      <c r="DC110" t="str">
        <f>IF(CT110&lt;CZ110,"yes","no")</f>
        <v>yes</v>
      </c>
    </row>
    <row r="111" spans="1:107" x14ac:dyDescent="0.2">
      <c r="A111" s="2" t="b">
        <v>0</v>
      </c>
      <c r="B111" s="2" t="s">
        <v>79</v>
      </c>
      <c r="C111" s="2" t="s">
        <v>80</v>
      </c>
      <c r="D111" s="2" t="s">
        <v>214</v>
      </c>
      <c r="E111" s="2" t="s">
        <v>215</v>
      </c>
      <c r="F111" s="2">
        <v>13</v>
      </c>
      <c r="G111" s="2">
        <v>13</v>
      </c>
      <c r="H111" s="2">
        <v>50.6</v>
      </c>
      <c r="I111" s="2">
        <v>5.96</v>
      </c>
      <c r="J111" s="2" t="s">
        <v>216</v>
      </c>
      <c r="K111" s="2" t="s">
        <v>217</v>
      </c>
      <c r="L111" s="2" t="s">
        <v>218</v>
      </c>
      <c r="M111" s="2" t="s">
        <v>219</v>
      </c>
      <c r="N111" s="2" t="s">
        <v>220</v>
      </c>
      <c r="O111" s="2">
        <v>1.284</v>
      </c>
      <c r="P111" s="2">
        <v>8.6999999999999994E-2</v>
      </c>
      <c r="Q111" s="2">
        <v>0.16800000000000001</v>
      </c>
      <c r="R111" s="2">
        <v>9.5129999999999999</v>
      </c>
      <c r="S111" s="2">
        <v>16.382999999999999</v>
      </c>
      <c r="T111" s="2">
        <v>0.70899999999999996</v>
      </c>
      <c r="U111" s="2">
        <v>5.8419999999999996</v>
      </c>
      <c r="V111" s="2">
        <v>5.0999999999999997E-2</v>
      </c>
      <c r="W111" s="2">
        <v>0.21199999999999999</v>
      </c>
      <c r="X111" s="2">
        <v>1.919</v>
      </c>
      <c r="Y111" s="2">
        <v>176.4</v>
      </c>
      <c r="Z111" s="2">
        <v>8</v>
      </c>
      <c r="AA111" s="2">
        <v>262.7</v>
      </c>
      <c r="AB111" s="2">
        <v>19.2</v>
      </c>
      <c r="AC111" s="2">
        <v>33.700000000000003</v>
      </c>
      <c r="AD111" s="2">
        <v>31270537.349609401</v>
      </c>
      <c r="AE111" s="2">
        <v>23319713.4306641</v>
      </c>
      <c r="AF111" s="2">
        <v>24254591.496093798</v>
      </c>
      <c r="AG111" s="2">
        <v>45219754.425781302</v>
      </c>
      <c r="AH111" s="2">
        <v>45613714.730468802</v>
      </c>
      <c r="AI111" s="2">
        <v>46779.523925781301</v>
      </c>
      <c r="AJ111" s="2">
        <v>21964.043457031301</v>
      </c>
      <c r="AK111" s="2">
        <v>16091.650390625</v>
      </c>
      <c r="AL111" s="2">
        <v>37747.888183593801</v>
      </c>
      <c r="AM111" s="2">
        <v>22108.1809082031</v>
      </c>
      <c r="AN111" s="2">
        <v>660896.67871093797</v>
      </c>
      <c r="AO111" s="2">
        <v>656163.23535156297</v>
      </c>
      <c r="AP111" s="2">
        <v>895380.00341796898</v>
      </c>
      <c r="AQ111" s="2">
        <v>960432.82861328102</v>
      </c>
      <c r="AR111" s="2">
        <v>1037565.3408203101</v>
      </c>
      <c r="AS111" s="2">
        <v>413407.0078125</v>
      </c>
      <c r="AT111" s="2">
        <v>741354.42578125</v>
      </c>
      <c r="AU111" s="2">
        <v>408017.0234375</v>
      </c>
      <c r="AV111" s="2">
        <v>374027.68359375</v>
      </c>
      <c r="AW111" s="2">
        <v>604290.94433593797</v>
      </c>
      <c r="AX111" s="2">
        <v>259538.1328125</v>
      </c>
      <c r="AY111" s="2">
        <v>192851.60546875</v>
      </c>
      <c r="AZ111" s="2">
        <v>345059.546875</v>
      </c>
      <c r="BA111" s="2">
        <v>284084.38671875</v>
      </c>
      <c r="BB111" s="2">
        <v>211741.90625</v>
      </c>
      <c r="BC111" s="2" t="s">
        <v>79</v>
      </c>
      <c r="BD111" s="2" t="s">
        <v>79</v>
      </c>
      <c r="BE111" s="2" t="s">
        <v>79</v>
      </c>
      <c r="BF111" s="2" t="s">
        <v>79</v>
      </c>
      <c r="BG111" s="2" t="s">
        <v>79</v>
      </c>
      <c r="BH111" s="2" t="s">
        <v>91</v>
      </c>
      <c r="BI111" s="2" t="s">
        <v>91</v>
      </c>
      <c r="BJ111" s="2" t="s">
        <v>91</v>
      </c>
      <c r="BK111" s="2" t="s">
        <v>91</v>
      </c>
      <c r="BL111" s="2" t="s">
        <v>91</v>
      </c>
      <c r="BM111" s="2" t="s">
        <v>79</v>
      </c>
      <c r="BN111" s="2" t="s">
        <v>79</v>
      </c>
      <c r="BO111" s="2" t="s">
        <v>79</v>
      </c>
      <c r="BP111" s="2" t="s">
        <v>79</v>
      </c>
      <c r="BQ111" s="2" t="s">
        <v>79</v>
      </c>
      <c r="BR111" s="2" t="s">
        <v>79</v>
      </c>
      <c r="BS111" s="2" t="s">
        <v>79</v>
      </c>
      <c r="BT111" s="2" t="s">
        <v>79</v>
      </c>
      <c r="BU111" s="2" t="s">
        <v>79</v>
      </c>
      <c r="BV111" s="2" t="s">
        <v>79</v>
      </c>
      <c r="BW111" s="2" t="s">
        <v>79</v>
      </c>
      <c r="BX111" s="2" t="s">
        <v>79</v>
      </c>
      <c r="BY111" s="2" t="s">
        <v>79</v>
      </c>
      <c r="BZ111" s="2" t="s">
        <v>79</v>
      </c>
      <c r="CA111" s="2" t="s">
        <v>79</v>
      </c>
      <c r="CB111">
        <f>TTEST(AS111:AW111,AI111:AM111,2,2)</f>
        <v>1.4726618308140584E-4</v>
      </c>
      <c r="CC111">
        <f>TTEST(AD111:AH111,AI111:AM111,2,2)</f>
        <v>1.1946700573857238E-4</v>
      </c>
      <c r="CD111">
        <f>TTEST(AN111:AR111,AI111:AM111,2,2)</f>
        <v>6.4946143389037847E-6</v>
      </c>
      <c r="CE111">
        <f>TTEST(AX111:BB111,AI111:AM111,2,2)</f>
        <v>3.3315123177187107E-5</v>
      </c>
      <c r="CF111">
        <v>73</v>
      </c>
      <c r="CG111">
        <v>116</v>
      </c>
      <c r="CH111">
        <v>19</v>
      </c>
      <c r="CI111">
        <v>33</v>
      </c>
      <c r="CJ111">
        <f>0.05*CF111/464</f>
        <v>7.8663793103448277E-3</v>
      </c>
      <c r="CK111">
        <f>0.05*CG111/464</f>
        <v>1.2500000000000001E-2</v>
      </c>
      <c r="CL111">
        <f>0.05*CH111/464</f>
        <v>2.0474137931034485E-3</v>
      </c>
      <c r="CM111">
        <f>0.05*CI111/464</f>
        <v>3.5560344827586209E-3</v>
      </c>
      <c r="CN111" t="str">
        <f>IF(CB111&lt;CJ111,"yes","no")</f>
        <v>yes</v>
      </c>
      <c r="CO111" t="str">
        <f>IF(CC111&lt;CK111,"yes","no")</f>
        <v>yes</v>
      </c>
      <c r="CP111" t="str">
        <f>IF(CD111&lt;CL111,"yes","no")</f>
        <v>yes</v>
      </c>
      <c r="CQ111" t="str">
        <f>IF(CE111&lt;CM111,"yes","no")</f>
        <v>yes</v>
      </c>
      <c r="CR111">
        <f>TTEST(AS111:AW111,AD111:AH111,2,2)</f>
        <v>1.3200531609380234E-4</v>
      </c>
      <c r="CS111">
        <f>TTEST(AS111:AW111,AN111:AR111,2,2)</f>
        <v>1.3368801724344029E-2</v>
      </c>
      <c r="CT111">
        <f>TTEST(AS111:AW111,AX111:BB111,2,2)</f>
        <v>1.106492021236191E-2</v>
      </c>
      <c r="CU111">
        <v>133</v>
      </c>
      <c r="CV111">
        <v>136</v>
      </c>
      <c r="CW111">
        <v>110</v>
      </c>
      <c r="CX111">
        <f t="shared" si="3"/>
        <v>1.4331896551724139E-2</v>
      </c>
      <c r="CY111">
        <f t="shared" si="4"/>
        <v>1.4655172413793105E-2</v>
      </c>
      <c r="CZ111">
        <f t="shared" si="5"/>
        <v>1.1853448275862068E-2</v>
      </c>
      <c r="DA111" t="str">
        <f>IF(CR111&lt;CX111,"yes","no")</f>
        <v>yes</v>
      </c>
      <c r="DB111" t="str">
        <f>IF(CS111&lt;CY111,"yes","no")</f>
        <v>yes</v>
      </c>
      <c r="DC111" t="str">
        <f>IF(CT111&lt;CZ111,"yes","no")</f>
        <v>yes</v>
      </c>
    </row>
    <row r="112" spans="1:107" x14ac:dyDescent="0.2">
      <c r="A112" s="2" t="b">
        <v>0</v>
      </c>
      <c r="B112" s="2" t="s">
        <v>79</v>
      </c>
      <c r="C112" s="2" t="s">
        <v>80</v>
      </c>
      <c r="D112" s="2" t="s">
        <v>181</v>
      </c>
      <c r="E112" s="2" t="s">
        <v>182</v>
      </c>
      <c r="F112" s="2">
        <v>21</v>
      </c>
      <c r="G112" s="2">
        <v>21</v>
      </c>
      <c r="H112" s="2">
        <v>86.6</v>
      </c>
      <c r="I112" s="2">
        <v>5.74</v>
      </c>
      <c r="J112" s="2" t="s">
        <v>154</v>
      </c>
      <c r="K112" s="2" t="s">
        <v>84</v>
      </c>
      <c r="L112" s="2" t="s">
        <v>155</v>
      </c>
      <c r="M112" s="2" t="s">
        <v>83</v>
      </c>
      <c r="N112" s="2" t="s">
        <v>183</v>
      </c>
      <c r="O112" s="2">
        <v>1.647</v>
      </c>
      <c r="P112" s="2">
        <v>0.2</v>
      </c>
      <c r="Q112" s="2">
        <v>0.308</v>
      </c>
      <c r="R112" s="2">
        <v>2.1419999999999999</v>
      </c>
      <c r="S112" s="2">
        <v>4.516</v>
      </c>
      <c r="T112" s="2">
        <v>0.86399999999999999</v>
      </c>
      <c r="U112" s="2">
        <v>1.77</v>
      </c>
      <c r="V112" s="2">
        <v>0.10299999999999999</v>
      </c>
      <c r="W112" s="2">
        <v>0.19700000000000001</v>
      </c>
      <c r="X112" s="2">
        <v>1.756</v>
      </c>
      <c r="Y112" s="2">
        <v>148.80000000000001</v>
      </c>
      <c r="Z112" s="2">
        <v>49.6</v>
      </c>
      <c r="AA112" s="2">
        <v>254.7</v>
      </c>
      <c r="AB112" s="2">
        <v>22.9</v>
      </c>
      <c r="AC112" s="2">
        <v>24</v>
      </c>
      <c r="AD112" s="2">
        <v>59892340.974609397</v>
      </c>
      <c r="AE112" s="2">
        <v>49513849.8515625</v>
      </c>
      <c r="AF112" s="2">
        <v>48495039.203125</v>
      </c>
      <c r="AG112" s="2">
        <v>48110342.28125</v>
      </c>
      <c r="AH112" s="2">
        <v>47077204.8671875</v>
      </c>
      <c r="AI112" s="2">
        <v>410715.579711914</v>
      </c>
      <c r="AJ112" s="2">
        <v>368669.26953125</v>
      </c>
      <c r="AK112" s="2">
        <v>334617.47766113299</v>
      </c>
      <c r="AL112" s="2">
        <v>393165.95178222703</v>
      </c>
      <c r="AM112" s="2">
        <v>193720.853759766</v>
      </c>
      <c r="AN112" s="2">
        <v>1421372.1425781299</v>
      </c>
      <c r="AO112" s="2">
        <v>1647463.76489258</v>
      </c>
      <c r="AP112" s="2">
        <v>2049521.6823730499</v>
      </c>
      <c r="AQ112" s="2">
        <v>1783787.8776855499</v>
      </c>
      <c r="AR112" s="2">
        <v>2430607.1638183598</v>
      </c>
      <c r="AS112" s="2">
        <v>844816.9375</v>
      </c>
      <c r="AT112" s="2">
        <v>1762517.4755859401</v>
      </c>
      <c r="AU112" s="2">
        <v>1077236.6259765599</v>
      </c>
      <c r="AV112" s="2">
        <v>782133.17749023403</v>
      </c>
      <c r="AW112" s="2">
        <v>1468880.1845703099</v>
      </c>
      <c r="AX112" s="2">
        <v>398644.45068359398</v>
      </c>
      <c r="AY112" s="2">
        <v>481673.662109375</v>
      </c>
      <c r="AZ112" s="2">
        <v>835506.99707031297</v>
      </c>
      <c r="BA112" s="2">
        <v>472301.25</v>
      </c>
      <c r="BB112" s="2">
        <v>398989.55810546898</v>
      </c>
      <c r="BC112" s="2" t="s">
        <v>79</v>
      </c>
      <c r="BD112" s="2" t="s">
        <v>79</v>
      </c>
      <c r="BE112" s="2" t="s">
        <v>79</v>
      </c>
      <c r="BF112" s="2" t="s">
        <v>79</v>
      </c>
      <c r="BG112" s="2" t="s">
        <v>79</v>
      </c>
      <c r="BH112" s="2" t="s">
        <v>79</v>
      </c>
      <c r="BI112" s="2" t="s">
        <v>79</v>
      </c>
      <c r="BJ112" s="2" t="s">
        <v>79</v>
      </c>
      <c r="BK112" s="2" t="s">
        <v>91</v>
      </c>
      <c r="BL112" s="2" t="s">
        <v>79</v>
      </c>
      <c r="BM112" s="2" t="s">
        <v>79</v>
      </c>
      <c r="BN112" s="2" t="s">
        <v>79</v>
      </c>
      <c r="BO112" s="2" t="s">
        <v>79</v>
      </c>
      <c r="BP112" s="2" t="s">
        <v>79</v>
      </c>
      <c r="BQ112" s="2" t="s">
        <v>79</v>
      </c>
      <c r="BR112" s="2" t="s">
        <v>79</v>
      </c>
      <c r="BS112" s="2" t="s">
        <v>79</v>
      </c>
      <c r="BT112" s="2" t="s">
        <v>79</v>
      </c>
      <c r="BU112" s="2" t="s">
        <v>79</v>
      </c>
      <c r="BV112" s="2" t="s">
        <v>79</v>
      </c>
      <c r="BW112" s="2" t="s">
        <v>79</v>
      </c>
      <c r="BX112" s="2" t="s">
        <v>79</v>
      </c>
      <c r="BY112" s="2" t="s">
        <v>79</v>
      </c>
      <c r="BZ112" s="2" t="s">
        <v>79</v>
      </c>
      <c r="CA112" s="2" t="s">
        <v>79</v>
      </c>
      <c r="CB112">
        <f>TTEST(AS112:AW112,AI112:AM112,2,2)</f>
        <v>2.2218413859788001E-3</v>
      </c>
      <c r="CC112">
        <f>TTEST(AD112:AH112,AI112:AM112,2,2)</f>
        <v>2.409458232959721E-8</v>
      </c>
      <c r="CD112">
        <f>TTEST(AN112:AR112,AI112:AM112,2,2)</f>
        <v>2.6567502122449659E-5</v>
      </c>
      <c r="CE112">
        <f>TTEST(AX112:BB112,AI112:AM112,2,2)</f>
        <v>8.4979953522272667E-2</v>
      </c>
      <c r="CF112">
        <v>111</v>
      </c>
      <c r="CG112">
        <v>8</v>
      </c>
      <c r="CH112">
        <v>32</v>
      </c>
      <c r="CI112">
        <v>120</v>
      </c>
      <c r="CJ112">
        <f>0.05*CF112/464</f>
        <v>1.1961206896551725E-2</v>
      </c>
      <c r="CK112">
        <f>0.05*CG112/464</f>
        <v>8.6206896551724148E-4</v>
      </c>
      <c r="CL112">
        <f>0.05*CH112/464</f>
        <v>3.4482758620689659E-3</v>
      </c>
      <c r="CM112">
        <f>0.05*CI112/464</f>
        <v>1.2931034482758621E-2</v>
      </c>
      <c r="CN112" t="str">
        <f>IF(CB112&lt;CJ112,"yes","no")</f>
        <v>yes</v>
      </c>
      <c r="CO112" t="str">
        <f>IF(CC112&lt;CK112,"yes","no")</f>
        <v>yes</v>
      </c>
      <c r="CP112" t="str">
        <f>IF(CD112&lt;CL112,"yes","no")</f>
        <v>yes</v>
      </c>
      <c r="CQ112" t="str">
        <f>IF(CE112&lt;CM112,"yes","no")</f>
        <v>no</v>
      </c>
      <c r="CR112">
        <f>TTEST(AS112:AW112,AD112:AH112,2,2)</f>
        <v>2.8209474841878864E-8</v>
      </c>
      <c r="CS112">
        <f>TTEST(AS112:AW112,AN112:AR112,2,2)</f>
        <v>2.8967324014294953E-2</v>
      </c>
      <c r="CT112">
        <f>TTEST(AS112:AW112,AX112:BB112,2,2)</f>
        <v>1.1273718022332596E-2</v>
      </c>
      <c r="CU112">
        <v>7</v>
      </c>
      <c r="CV112">
        <v>155</v>
      </c>
      <c r="CW112">
        <v>111</v>
      </c>
      <c r="CX112">
        <f t="shared" si="3"/>
        <v>7.543103448275863E-4</v>
      </c>
      <c r="CY112">
        <f t="shared" si="4"/>
        <v>1.670258620689655E-2</v>
      </c>
      <c r="CZ112">
        <f t="shared" si="5"/>
        <v>1.1961206896551725E-2</v>
      </c>
      <c r="DA112" t="str">
        <f>IF(CR112&lt;CX112,"yes","no")</f>
        <v>yes</v>
      </c>
      <c r="DB112" t="str">
        <f>IF(CS112&lt;CY112,"yes","no")</f>
        <v>no</v>
      </c>
      <c r="DC112" t="str">
        <f>IF(CT112&lt;CZ112,"yes","no")</f>
        <v>yes</v>
      </c>
    </row>
    <row r="113" spans="1:107" x14ac:dyDescent="0.2">
      <c r="A113" s="2" t="b">
        <v>0</v>
      </c>
      <c r="B113" s="2" t="s">
        <v>79</v>
      </c>
      <c r="C113" s="2" t="s">
        <v>80</v>
      </c>
      <c r="D113" s="2" t="s">
        <v>1403</v>
      </c>
      <c r="E113" s="2" t="s">
        <v>1404</v>
      </c>
      <c r="F113" s="2">
        <v>1</v>
      </c>
      <c r="G113" s="2">
        <v>1</v>
      </c>
      <c r="H113" s="2">
        <v>13.6</v>
      </c>
      <c r="I113" s="2">
        <v>7.28</v>
      </c>
      <c r="J113" s="2" t="s">
        <v>83</v>
      </c>
      <c r="K113" s="2" t="s">
        <v>83</v>
      </c>
      <c r="L113" s="2" t="s">
        <v>83</v>
      </c>
      <c r="M113" s="2" t="s">
        <v>83</v>
      </c>
      <c r="N113" s="2" t="s">
        <v>1403</v>
      </c>
      <c r="O113" s="2">
        <v>2.641</v>
      </c>
      <c r="P113" s="2">
        <v>0.997</v>
      </c>
      <c r="Q113" s="2">
        <v>1.9750000000000001</v>
      </c>
      <c r="R113" s="2">
        <v>0.88800000000000001</v>
      </c>
      <c r="S113" s="2">
        <v>2.7959999999999998</v>
      </c>
      <c r="T113" s="2">
        <v>0.85799999999999998</v>
      </c>
      <c r="U113" s="2">
        <v>1.546</v>
      </c>
      <c r="V113" s="2">
        <v>0.35799999999999998</v>
      </c>
      <c r="W113" s="2">
        <v>0.66800000000000004</v>
      </c>
      <c r="X113" s="2">
        <v>2.0369999999999999</v>
      </c>
      <c r="Y113" s="2">
        <v>66.5</v>
      </c>
      <c r="Z113" s="2">
        <v>71</v>
      </c>
      <c r="AA113" s="2">
        <v>175.6</v>
      </c>
      <c r="AB113" s="2">
        <v>62.8</v>
      </c>
      <c r="AC113" s="2">
        <v>124.2</v>
      </c>
      <c r="AD113" s="2">
        <v>401290.46875</v>
      </c>
      <c r="AE113" s="2">
        <v>319514.28125</v>
      </c>
      <c r="AF113" s="2" t="s">
        <v>83</v>
      </c>
      <c r="AG113" s="2">
        <v>377643.84375</v>
      </c>
      <c r="AH113" s="2">
        <v>280528.3125</v>
      </c>
      <c r="AI113" s="2">
        <v>5518.32958984375</v>
      </c>
      <c r="AJ113" s="2" t="s">
        <v>83</v>
      </c>
      <c r="AK113" s="2" t="s">
        <v>83</v>
      </c>
      <c r="AL113" s="2">
        <v>15354.88671875</v>
      </c>
      <c r="AM113" s="2" t="s">
        <v>83</v>
      </c>
      <c r="AN113" s="2">
        <v>35502.3125</v>
      </c>
      <c r="AO113" s="2" t="s">
        <v>83</v>
      </c>
      <c r="AP113" s="2" t="s">
        <v>83</v>
      </c>
      <c r="AQ113" s="2">
        <v>19515</v>
      </c>
      <c r="AR113" s="2">
        <v>14299.1650390625</v>
      </c>
      <c r="AS113" s="2">
        <v>40380.25390625</v>
      </c>
      <c r="AT113" s="2">
        <v>57294.88671875</v>
      </c>
      <c r="AU113" s="2">
        <v>47205.84375</v>
      </c>
      <c r="AV113" s="2">
        <v>52059.6015625</v>
      </c>
      <c r="AW113" s="2" t="s">
        <v>83</v>
      </c>
      <c r="AX113" s="2">
        <v>28994.240234375</v>
      </c>
      <c r="AY113" s="2">
        <v>32684.482421875</v>
      </c>
      <c r="AZ113" s="2">
        <v>36099.69921875</v>
      </c>
      <c r="BA113" s="2">
        <v>43525.26953125</v>
      </c>
      <c r="BB113" s="2">
        <v>33668.8203125</v>
      </c>
      <c r="BC113" s="2" t="s">
        <v>79</v>
      </c>
      <c r="BD113" s="2" t="s">
        <v>79</v>
      </c>
      <c r="BE113" s="2" t="s">
        <v>79</v>
      </c>
      <c r="BF113" s="2" t="s">
        <v>79</v>
      </c>
      <c r="BG113" s="2" t="s">
        <v>79</v>
      </c>
      <c r="BH113" s="2" t="s">
        <v>91</v>
      </c>
      <c r="BI113" s="2" t="s">
        <v>98</v>
      </c>
      <c r="BJ113" s="2" t="s">
        <v>98</v>
      </c>
      <c r="BK113" s="2" t="s">
        <v>91</v>
      </c>
      <c r="BL113" s="2" t="s">
        <v>98</v>
      </c>
      <c r="BM113" s="2" t="s">
        <v>91</v>
      </c>
      <c r="BN113" s="2" t="s">
        <v>98</v>
      </c>
      <c r="BO113" s="2" t="s">
        <v>98</v>
      </c>
      <c r="BP113" s="2" t="s">
        <v>91</v>
      </c>
      <c r="BQ113" s="2" t="s">
        <v>91</v>
      </c>
      <c r="BR113" s="2" t="s">
        <v>79</v>
      </c>
      <c r="BS113" s="2" t="s">
        <v>79</v>
      </c>
      <c r="BT113" s="2" t="s">
        <v>79</v>
      </c>
      <c r="BU113" s="2" t="s">
        <v>91</v>
      </c>
      <c r="BV113" s="2" t="s">
        <v>79</v>
      </c>
      <c r="BW113" s="2" t="s">
        <v>79</v>
      </c>
      <c r="BX113" s="2" t="s">
        <v>91</v>
      </c>
      <c r="BY113" s="2" t="s">
        <v>91</v>
      </c>
      <c r="BZ113" s="2" t="s">
        <v>91</v>
      </c>
      <c r="CA113" s="2" t="s">
        <v>91</v>
      </c>
      <c r="CB113">
        <f>TTEST(AS113:AW113,AI113:AM113,2,2)</f>
        <v>3.2910040584272792E-3</v>
      </c>
      <c r="CC113">
        <f>TTEST(AD113:AH113,AI113:AM113,2,2)</f>
        <v>1.2637043708000034E-3</v>
      </c>
      <c r="CD113">
        <f>TTEST(AN113:AR113,AI113:AM113,2,2)</f>
        <v>0.25453843393502434</v>
      </c>
      <c r="CE113">
        <f>TTEST(AX113:BB113,AI113:AM113,2,2)</f>
        <v>3.7628484571604571E-3</v>
      </c>
      <c r="CF113">
        <v>120</v>
      </c>
      <c r="CG113">
        <v>137</v>
      </c>
      <c r="CH113">
        <v>148</v>
      </c>
      <c r="CI113">
        <v>71</v>
      </c>
      <c r="CJ113">
        <f>0.05*CF113/464</f>
        <v>1.2931034482758621E-2</v>
      </c>
      <c r="CK113">
        <f>0.05*CG113/464</f>
        <v>1.476293103448276E-2</v>
      </c>
      <c r="CL113">
        <f>0.05*CH113/464</f>
        <v>1.5948275862068966E-2</v>
      </c>
      <c r="CM113">
        <f>0.05*CI113/464</f>
        <v>7.6508620689655178E-3</v>
      </c>
      <c r="CN113" t="str">
        <f>IF(CB113&lt;CJ113,"yes","no")</f>
        <v>yes</v>
      </c>
      <c r="CO113" t="str">
        <f>IF(CC113&lt;CK113,"yes","no")</f>
        <v>yes</v>
      </c>
      <c r="CP113" t="str">
        <f>IF(CD113&lt;CL113,"yes","no")</f>
        <v>no</v>
      </c>
      <c r="CQ113" t="str">
        <f>IF(CE113&lt;CM113,"yes","no")</f>
        <v>yes</v>
      </c>
      <c r="CR113">
        <f>TTEST(AS113:AW113,AD113:AH113,2,2)</f>
        <v>3.9859825942031029E-5</v>
      </c>
      <c r="CS113">
        <f>TTEST(AS113:AW113,AN113:AR113,2,2)</f>
        <v>1.2285670582290876E-2</v>
      </c>
      <c r="CT113">
        <f>TTEST(AS113:AW113,AX113:BB113,2,2)</f>
        <v>1.1410165313314751E-2</v>
      </c>
      <c r="CU113">
        <v>115</v>
      </c>
      <c r="CV113">
        <v>135</v>
      </c>
      <c r="CW113">
        <v>112</v>
      </c>
      <c r="CX113">
        <f t="shared" si="3"/>
        <v>1.2392241379310345E-2</v>
      </c>
      <c r="CY113">
        <f t="shared" si="4"/>
        <v>1.4547413793103448E-2</v>
      </c>
      <c r="CZ113">
        <f t="shared" si="5"/>
        <v>1.2068965517241381E-2</v>
      </c>
      <c r="DA113" t="str">
        <f>IF(CR113&lt;CX113,"yes","no")</f>
        <v>yes</v>
      </c>
      <c r="DB113" t="str">
        <f>IF(CS113&lt;CY113,"yes","no")</f>
        <v>yes</v>
      </c>
      <c r="DC113" t="str">
        <f>IF(CT113&lt;CZ113,"yes","no")</f>
        <v>yes</v>
      </c>
    </row>
    <row r="114" spans="1:107" x14ac:dyDescent="0.2">
      <c r="A114" s="2" t="b">
        <v>0</v>
      </c>
      <c r="B114" s="2" t="s">
        <v>79</v>
      </c>
      <c r="C114" s="2" t="s">
        <v>80</v>
      </c>
      <c r="D114" s="2" t="s">
        <v>848</v>
      </c>
      <c r="E114" s="2" t="s">
        <v>849</v>
      </c>
      <c r="F114" s="2">
        <v>5</v>
      </c>
      <c r="G114" s="2">
        <v>5</v>
      </c>
      <c r="H114" s="2">
        <v>62.6</v>
      </c>
      <c r="I114" s="2">
        <v>6.38</v>
      </c>
      <c r="J114" s="2" t="s">
        <v>150</v>
      </c>
      <c r="K114" s="2" t="s">
        <v>850</v>
      </c>
      <c r="L114" s="2" t="s">
        <v>83</v>
      </c>
      <c r="M114" s="2" t="s">
        <v>83</v>
      </c>
      <c r="N114" s="2" t="s">
        <v>851</v>
      </c>
      <c r="O114" s="2">
        <v>1.885</v>
      </c>
      <c r="P114" s="2">
        <v>0.78700000000000003</v>
      </c>
      <c r="Q114" s="2">
        <v>16.303999999999998</v>
      </c>
      <c r="R114" s="2">
        <v>100</v>
      </c>
      <c r="S114" s="2">
        <v>100</v>
      </c>
      <c r="T114" s="2">
        <v>100</v>
      </c>
      <c r="U114" s="2">
        <v>100</v>
      </c>
      <c r="V114" s="2">
        <v>0.57699999999999996</v>
      </c>
      <c r="W114" s="2">
        <v>9.2919999999999998</v>
      </c>
      <c r="X114" s="2">
        <v>16.893000000000001</v>
      </c>
      <c r="Y114" s="2">
        <v>45.3</v>
      </c>
      <c r="Z114" s="2" t="s">
        <v>83</v>
      </c>
      <c r="AA114" s="2">
        <v>63.3</v>
      </c>
      <c r="AB114" s="2">
        <v>21.9</v>
      </c>
      <c r="AC114" s="2">
        <v>369.5</v>
      </c>
      <c r="AD114" s="2">
        <v>1005888</v>
      </c>
      <c r="AE114" s="2">
        <v>609233.53125</v>
      </c>
      <c r="AF114" s="2">
        <v>620889.259765625</v>
      </c>
      <c r="AG114" s="2">
        <v>534943.47265625</v>
      </c>
      <c r="AH114" s="2">
        <v>543937.1171875</v>
      </c>
      <c r="AI114" s="2" t="s">
        <v>83</v>
      </c>
      <c r="AJ114" s="2" t="s">
        <v>83</v>
      </c>
      <c r="AK114" s="2" t="s">
        <v>83</v>
      </c>
      <c r="AL114" s="2" t="s">
        <v>83</v>
      </c>
      <c r="AM114" s="2" t="s">
        <v>83</v>
      </c>
      <c r="AN114" s="2">
        <v>14732.585449218799</v>
      </c>
      <c r="AO114" s="2">
        <v>14392.1706542969</v>
      </c>
      <c r="AP114" s="2">
        <v>26268.7736816406</v>
      </c>
      <c r="AQ114" s="2">
        <v>16329.015625</v>
      </c>
      <c r="AR114" s="2">
        <v>21904.3037109375</v>
      </c>
      <c r="AS114" s="2">
        <v>44434.078125</v>
      </c>
      <c r="AT114" s="2">
        <v>69360.3515625</v>
      </c>
      <c r="AU114" s="2" t="s">
        <v>83</v>
      </c>
      <c r="AV114" s="2" t="s">
        <v>83</v>
      </c>
      <c r="AW114" s="2" t="s">
        <v>83</v>
      </c>
      <c r="AX114" s="2">
        <v>460955.125</v>
      </c>
      <c r="AY114" s="2">
        <v>392906.0625</v>
      </c>
      <c r="AZ114" s="2">
        <v>252344.15625</v>
      </c>
      <c r="BA114" s="2" t="s">
        <v>83</v>
      </c>
      <c r="BB114" s="2">
        <v>315091.4375</v>
      </c>
      <c r="BC114" s="2" t="s">
        <v>79</v>
      </c>
      <c r="BD114" s="2" t="s">
        <v>79</v>
      </c>
      <c r="BE114" s="2" t="s">
        <v>79</v>
      </c>
      <c r="BF114" s="2" t="s">
        <v>79</v>
      </c>
      <c r="BG114" s="2" t="s">
        <v>79</v>
      </c>
      <c r="BH114" s="2" t="s">
        <v>98</v>
      </c>
      <c r="BI114" s="2" t="s">
        <v>98</v>
      </c>
      <c r="BJ114" s="2" t="s">
        <v>98</v>
      </c>
      <c r="BK114" s="2" t="s">
        <v>98</v>
      </c>
      <c r="BL114" s="2" t="s">
        <v>98</v>
      </c>
      <c r="BM114" s="2" t="s">
        <v>91</v>
      </c>
      <c r="BN114" s="2" t="s">
        <v>91</v>
      </c>
      <c r="BO114" s="2" t="s">
        <v>91</v>
      </c>
      <c r="BP114" s="2" t="s">
        <v>91</v>
      </c>
      <c r="BQ114" s="2" t="s">
        <v>91</v>
      </c>
      <c r="BR114" s="2" t="s">
        <v>91</v>
      </c>
      <c r="BS114" s="2" t="s">
        <v>91</v>
      </c>
      <c r="BT114" s="2" t="s">
        <v>98</v>
      </c>
      <c r="BU114" s="2" t="s">
        <v>98</v>
      </c>
      <c r="BV114" s="2" t="s">
        <v>98</v>
      </c>
      <c r="BW114" s="2" t="s">
        <v>91</v>
      </c>
      <c r="BX114" s="2" t="s">
        <v>91</v>
      </c>
      <c r="BY114" s="2" t="s">
        <v>91</v>
      </c>
      <c r="BZ114" s="2" t="s">
        <v>98</v>
      </c>
      <c r="CA114" s="2" t="s">
        <v>91</v>
      </c>
      <c r="CB114" t="e">
        <f>TTEST(AS114:AW114,AI114:AM114,2,2)</f>
        <v>#DIV/0!</v>
      </c>
      <c r="CC114" t="e">
        <f>TTEST(AD114:AH114,AI114:AM114,2,2)</f>
        <v>#DIV/0!</v>
      </c>
      <c r="CD114" t="e">
        <f>TTEST(AN114:AR114,AI114:AM114,2,2)</f>
        <v>#DIV/0!</v>
      </c>
      <c r="CE114" t="e">
        <f>TTEST(AX114:BB114,AI114:AM114,2,2)</f>
        <v>#DIV/0!</v>
      </c>
      <c r="CF114">
        <v>273</v>
      </c>
      <c r="CG114">
        <v>287</v>
      </c>
      <c r="CH114">
        <v>291</v>
      </c>
      <c r="CI114">
        <v>231</v>
      </c>
      <c r="CJ114">
        <f>0.05*CF114/464</f>
        <v>2.9418103448275862E-2</v>
      </c>
      <c r="CK114">
        <f>0.05*CG114/464</f>
        <v>3.0926724137931037E-2</v>
      </c>
      <c r="CL114">
        <f>0.05*CH114/464</f>
        <v>3.1357758620689659E-2</v>
      </c>
      <c r="CM114">
        <f>0.05*CI114/464</f>
        <v>2.4892241379310346E-2</v>
      </c>
      <c r="CN114" t="e">
        <f>IF(CB114&lt;CJ114,"yes","no")</f>
        <v>#DIV/0!</v>
      </c>
      <c r="CO114" t="e">
        <f>IF(CC114&lt;CK114,"yes","no")</f>
        <v>#DIV/0!</v>
      </c>
      <c r="CP114" t="e">
        <f>IF(CD114&lt;CL114,"yes","no")</f>
        <v>#DIV/0!</v>
      </c>
      <c r="CQ114" t="e">
        <f>IF(CE114&lt;CM114,"yes","no")</f>
        <v>#DIV/0!</v>
      </c>
      <c r="CR114">
        <f>TTEST(AS114:AW114,AD114:AH114,2,2)</f>
        <v>9.0013430039042087E-3</v>
      </c>
      <c r="CS114">
        <f>TTEST(AS114:AW114,AN114:AR114,2,2)</f>
        <v>4.143177248532681E-3</v>
      </c>
      <c r="CT114">
        <f>TTEST(AS114:AW114,AX114:BB114,2,2)</f>
        <v>1.2159732511417599E-2</v>
      </c>
      <c r="CU114">
        <v>192</v>
      </c>
      <c r="CV114">
        <v>116</v>
      </c>
      <c r="CW114">
        <v>113</v>
      </c>
      <c r="CX114">
        <f t="shared" si="3"/>
        <v>2.0689655172413796E-2</v>
      </c>
      <c r="CY114">
        <f t="shared" si="4"/>
        <v>1.2500000000000001E-2</v>
      </c>
      <c r="CZ114">
        <f t="shared" si="5"/>
        <v>1.2176724137931035E-2</v>
      </c>
      <c r="DA114" t="str">
        <f>IF(CR114&lt;CX114,"yes","no")</f>
        <v>yes</v>
      </c>
      <c r="DB114" t="str">
        <f>IF(CS114&lt;CY114,"yes","no")</f>
        <v>yes</v>
      </c>
      <c r="DC114" t="str">
        <f>IF(CT114&lt;CZ114,"yes","no")</f>
        <v>yes</v>
      </c>
    </row>
    <row r="115" spans="1:107" x14ac:dyDescent="0.2">
      <c r="A115" s="2" t="b">
        <v>0</v>
      </c>
      <c r="B115" s="2" t="s">
        <v>79</v>
      </c>
      <c r="C115" s="2" t="s">
        <v>80</v>
      </c>
      <c r="D115" s="2" t="s">
        <v>424</v>
      </c>
      <c r="E115" s="2" t="s">
        <v>425</v>
      </c>
      <c r="F115" s="2">
        <v>10</v>
      </c>
      <c r="G115" s="2">
        <v>10</v>
      </c>
      <c r="H115" s="2">
        <v>51.3</v>
      </c>
      <c r="I115" s="2">
        <v>8.32</v>
      </c>
      <c r="J115" s="2" t="s">
        <v>83</v>
      </c>
      <c r="K115" s="2" t="s">
        <v>84</v>
      </c>
      <c r="L115" s="2" t="s">
        <v>85</v>
      </c>
      <c r="M115" s="2" t="s">
        <v>426</v>
      </c>
      <c r="N115" s="2" t="s">
        <v>424</v>
      </c>
      <c r="O115" s="2">
        <v>2.0419999999999998</v>
      </c>
      <c r="P115" s="2">
        <v>0.58699999999999997</v>
      </c>
      <c r="Q115" s="2">
        <v>1.454</v>
      </c>
      <c r="R115" s="2">
        <v>2.0489999999999999</v>
      </c>
      <c r="S115" s="2">
        <v>4.399</v>
      </c>
      <c r="T115" s="2">
        <v>1.252</v>
      </c>
      <c r="U115" s="2" t="s">
        <v>83</v>
      </c>
      <c r="V115" s="2">
        <v>0.33500000000000002</v>
      </c>
      <c r="W115" s="2">
        <v>1.0009999999999999</v>
      </c>
      <c r="X115" s="2">
        <v>2.3260000000000001</v>
      </c>
      <c r="Y115" s="2">
        <v>156.19999999999999</v>
      </c>
      <c r="Z115" s="2">
        <v>27.2</v>
      </c>
      <c r="AA115" s="2">
        <v>238</v>
      </c>
      <c r="AB115" s="2">
        <v>46</v>
      </c>
      <c r="AC115" s="2">
        <v>32.6</v>
      </c>
      <c r="AD115" s="2">
        <v>2653038.73046875</v>
      </c>
      <c r="AE115" s="2">
        <v>2134539.2128906301</v>
      </c>
      <c r="AF115" s="2">
        <v>2062766.4628906299</v>
      </c>
      <c r="AG115" s="2">
        <v>1979141.5136718799</v>
      </c>
      <c r="AH115" s="2">
        <v>1505234.9355468799</v>
      </c>
      <c r="AI115" s="2">
        <v>9155.0690917968805</v>
      </c>
      <c r="AJ115" s="2">
        <v>8162.1721191406295</v>
      </c>
      <c r="AK115" s="2">
        <v>7781.3503417968795</v>
      </c>
      <c r="AL115" s="2" t="s">
        <v>83</v>
      </c>
      <c r="AM115" s="2">
        <v>5374.40087890625</v>
      </c>
      <c r="AN115" s="2">
        <v>61228.921630859397</v>
      </c>
      <c r="AO115" s="2">
        <v>44478.1240234375</v>
      </c>
      <c r="AP115" s="2">
        <v>57689.3203125</v>
      </c>
      <c r="AQ115" s="2">
        <v>77112.456542968794</v>
      </c>
      <c r="AR115" s="2">
        <v>94907.671875</v>
      </c>
      <c r="AS115" s="2">
        <v>104302.426269531</v>
      </c>
      <c r="AT115" s="2">
        <v>195899.25</v>
      </c>
      <c r="AU115" s="2">
        <v>91446.3837890625</v>
      </c>
      <c r="AV115" s="2">
        <v>73371.4833984375</v>
      </c>
      <c r="AW115" s="2">
        <v>108848.814453125</v>
      </c>
      <c r="AX115" s="2">
        <v>48326.935546875</v>
      </c>
      <c r="AY115" s="2">
        <v>44415.7919921875</v>
      </c>
      <c r="AZ115" s="2">
        <v>71372.507324218794</v>
      </c>
      <c r="BA115" s="2">
        <v>15535.3212890625</v>
      </c>
      <c r="BB115" s="2">
        <v>10673.177734375</v>
      </c>
      <c r="BC115" s="2" t="s">
        <v>79</v>
      </c>
      <c r="BD115" s="2" t="s">
        <v>79</v>
      </c>
      <c r="BE115" s="2" t="s">
        <v>79</v>
      </c>
      <c r="BF115" s="2" t="s">
        <v>79</v>
      </c>
      <c r="BG115" s="2" t="s">
        <v>79</v>
      </c>
      <c r="BH115" s="2" t="s">
        <v>91</v>
      </c>
      <c r="BI115" s="2" t="s">
        <v>91</v>
      </c>
      <c r="BJ115" s="2" t="s">
        <v>91</v>
      </c>
      <c r="BK115" s="2" t="s">
        <v>91</v>
      </c>
      <c r="BL115" s="2" t="s">
        <v>91</v>
      </c>
      <c r="BM115" s="2" t="s">
        <v>91</v>
      </c>
      <c r="BN115" s="2" t="s">
        <v>91</v>
      </c>
      <c r="BO115" s="2" t="s">
        <v>91</v>
      </c>
      <c r="BP115" s="2" t="s">
        <v>91</v>
      </c>
      <c r="BQ115" s="2" t="s">
        <v>91</v>
      </c>
      <c r="BR115" s="2" t="s">
        <v>91</v>
      </c>
      <c r="BS115" s="2" t="s">
        <v>79</v>
      </c>
      <c r="BT115" s="2" t="s">
        <v>91</v>
      </c>
      <c r="BU115" s="2" t="s">
        <v>91</v>
      </c>
      <c r="BV115" s="2" t="s">
        <v>79</v>
      </c>
      <c r="BW115" s="2" t="s">
        <v>91</v>
      </c>
      <c r="BX115" s="2" t="s">
        <v>91</v>
      </c>
      <c r="BY115" s="2" t="s">
        <v>91</v>
      </c>
      <c r="BZ115" s="2" t="s">
        <v>91</v>
      </c>
      <c r="CA115" s="2" t="s">
        <v>91</v>
      </c>
      <c r="CB115">
        <f>TTEST(AS115:AW115,AI115:AM115,2,2)</f>
        <v>2.9473026217548322E-3</v>
      </c>
      <c r="CC115">
        <f>TTEST(AD115:AH115,AI115:AM115,2,2)</f>
        <v>2.2663688563064428E-5</v>
      </c>
      <c r="CD115">
        <f>TTEST(AN115:AR115,AI115:AM115,2,2)</f>
        <v>5.2968555581929305E-4</v>
      </c>
      <c r="CE115">
        <f>TTEST(AX115:BB115,AI115:AM115,2,2)</f>
        <v>4.8041855936119517E-2</v>
      </c>
      <c r="CF115">
        <v>115</v>
      </c>
      <c r="CG115">
        <v>88</v>
      </c>
      <c r="CH115">
        <v>68</v>
      </c>
      <c r="CI115">
        <v>106</v>
      </c>
      <c r="CJ115">
        <f>0.05*CF115/464</f>
        <v>1.2392241379310345E-2</v>
      </c>
      <c r="CK115">
        <f>0.05*CG115/464</f>
        <v>9.4827586206896568E-3</v>
      </c>
      <c r="CL115">
        <f>0.05*CH115/464</f>
        <v>7.3275862068965525E-3</v>
      </c>
      <c r="CM115">
        <f>0.05*CI115/464</f>
        <v>1.142241379310345E-2</v>
      </c>
      <c r="CN115" t="str">
        <f>IF(CB115&lt;CJ115,"yes","no")</f>
        <v>yes</v>
      </c>
      <c r="CO115" t="str">
        <f>IF(CC115&lt;CK115,"yes","no")</f>
        <v>yes</v>
      </c>
      <c r="CP115" t="str">
        <f>IF(CD115&lt;CL115,"yes","no")</f>
        <v>yes</v>
      </c>
      <c r="CQ115" t="str">
        <f>IF(CE115&lt;CM115,"yes","no")</f>
        <v>no</v>
      </c>
      <c r="CR115">
        <f>TTEST(AS115:AW115,AD115:AH115,2,2)</f>
        <v>5.5446435688747291E-6</v>
      </c>
      <c r="CS115">
        <f>TTEST(AS115:AW115,AN115:AR115,2,2)</f>
        <v>7.088322885363818E-2</v>
      </c>
      <c r="CT115">
        <f>TTEST(AS115:AW115,AX115:BB115,2,2)</f>
        <v>1.2624618263507184E-2</v>
      </c>
      <c r="CU115">
        <v>84</v>
      </c>
      <c r="CV115">
        <v>171</v>
      </c>
      <c r="CW115">
        <v>114</v>
      </c>
      <c r="CX115">
        <f t="shared" si="3"/>
        <v>9.0517241379310352E-3</v>
      </c>
      <c r="CY115">
        <f t="shared" si="4"/>
        <v>1.8426724137931037E-2</v>
      </c>
      <c r="CZ115">
        <f t="shared" si="5"/>
        <v>1.228448275862069E-2</v>
      </c>
      <c r="DA115" t="str">
        <f>IF(CR115&lt;CX115,"yes","no")</f>
        <v>yes</v>
      </c>
      <c r="DB115" t="str">
        <f>IF(CS115&lt;CY115,"yes","no")</f>
        <v>no</v>
      </c>
      <c r="DC115" t="str">
        <f>IF(CT115&lt;CZ115,"yes","no")</f>
        <v>no</v>
      </c>
    </row>
    <row r="116" spans="1:107" x14ac:dyDescent="0.2">
      <c r="A116" s="2" t="b">
        <v>0</v>
      </c>
      <c r="B116" s="2" t="s">
        <v>79</v>
      </c>
      <c r="C116" s="2" t="s">
        <v>80</v>
      </c>
      <c r="D116" s="2" t="s">
        <v>731</v>
      </c>
      <c r="E116" s="2" t="s">
        <v>732</v>
      </c>
      <c r="F116" s="2">
        <v>3</v>
      </c>
      <c r="G116" s="2">
        <v>3</v>
      </c>
      <c r="H116" s="2">
        <v>22.5</v>
      </c>
      <c r="I116" s="2">
        <v>8.7899999999999991</v>
      </c>
      <c r="J116" s="2" t="s">
        <v>228</v>
      </c>
      <c r="K116" s="2" t="s">
        <v>607</v>
      </c>
      <c r="L116" s="2" t="s">
        <v>146</v>
      </c>
      <c r="M116" s="2" t="s">
        <v>733</v>
      </c>
      <c r="N116" s="2" t="s">
        <v>731</v>
      </c>
      <c r="O116" s="2">
        <v>9.7089999999999996</v>
      </c>
      <c r="P116" s="2">
        <v>0.64800000000000002</v>
      </c>
      <c r="Q116" s="2">
        <v>9.1669999999999998</v>
      </c>
      <c r="R116" s="2">
        <v>0.17299999999999999</v>
      </c>
      <c r="S116" s="2">
        <v>2.7749999999999999</v>
      </c>
      <c r="T116" s="2">
        <v>0.14000000000000001</v>
      </c>
      <c r="U116" s="2">
        <v>0.114</v>
      </c>
      <c r="V116" s="2">
        <v>6.7000000000000004E-2</v>
      </c>
      <c r="W116" s="2">
        <v>1.1930000000000001</v>
      </c>
      <c r="X116" s="2">
        <v>14.227</v>
      </c>
      <c r="Y116" s="2">
        <v>29.8</v>
      </c>
      <c r="Z116" s="2">
        <v>152.19999999999999</v>
      </c>
      <c r="AA116" s="2">
        <v>209.8</v>
      </c>
      <c r="AB116" s="2">
        <v>14.4</v>
      </c>
      <c r="AC116" s="2">
        <v>93.9</v>
      </c>
      <c r="AD116" s="2">
        <v>510916.3515625</v>
      </c>
      <c r="AE116" s="2">
        <v>272856.75</v>
      </c>
      <c r="AF116" s="2">
        <v>372964.1015625</v>
      </c>
      <c r="AG116" s="2">
        <v>1233819.2265625</v>
      </c>
      <c r="AH116" s="2">
        <v>284987.05078125</v>
      </c>
      <c r="AI116" s="2" t="s">
        <v>83</v>
      </c>
      <c r="AJ116" s="2" t="s">
        <v>83</v>
      </c>
      <c r="AK116" s="2" t="s">
        <v>83</v>
      </c>
      <c r="AL116" s="2">
        <v>65450.662109375</v>
      </c>
      <c r="AM116" s="2" t="s">
        <v>83</v>
      </c>
      <c r="AN116" s="2">
        <v>50223.810546875</v>
      </c>
      <c r="AO116" s="2">
        <v>44729.6318359375</v>
      </c>
      <c r="AP116" s="2">
        <v>82569.51953125</v>
      </c>
      <c r="AQ116" s="2">
        <v>33105.3984375</v>
      </c>
      <c r="AR116" s="2">
        <v>76841.640625</v>
      </c>
      <c r="AS116" s="2">
        <v>6432.98291015625</v>
      </c>
      <c r="AT116" s="2">
        <v>58623.0068359375</v>
      </c>
      <c r="AU116" s="2">
        <v>27729.212402343801</v>
      </c>
      <c r="AV116" s="2">
        <v>38658.123046875</v>
      </c>
      <c r="AW116" s="2">
        <v>30366.5595703125</v>
      </c>
      <c r="AX116" s="2">
        <v>65728.060546875</v>
      </c>
      <c r="AY116" s="2">
        <v>43528.77734375</v>
      </c>
      <c r="AZ116" s="2">
        <v>69911.7265625</v>
      </c>
      <c r="BA116" s="2">
        <v>70379.7900390625</v>
      </c>
      <c r="BB116" s="2">
        <v>70389.73046875</v>
      </c>
      <c r="BC116" s="2" t="s">
        <v>79</v>
      </c>
      <c r="BD116" s="2" t="s">
        <v>79</v>
      </c>
      <c r="BE116" s="2" t="s">
        <v>79</v>
      </c>
      <c r="BF116" s="2" t="s">
        <v>79</v>
      </c>
      <c r="BG116" s="2" t="s">
        <v>79</v>
      </c>
      <c r="BH116" s="2" t="s">
        <v>98</v>
      </c>
      <c r="BI116" s="2" t="s">
        <v>98</v>
      </c>
      <c r="BJ116" s="2" t="s">
        <v>98</v>
      </c>
      <c r="BK116" s="2" t="s">
        <v>91</v>
      </c>
      <c r="BL116" s="2" t="s">
        <v>98</v>
      </c>
      <c r="BM116" s="2" t="s">
        <v>79</v>
      </c>
      <c r="BN116" s="2" t="s">
        <v>79</v>
      </c>
      <c r="BO116" s="2" t="s">
        <v>79</v>
      </c>
      <c r="BP116" s="2" t="s">
        <v>79</v>
      </c>
      <c r="BQ116" s="2" t="s">
        <v>79</v>
      </c>
      <c r="BR116" s="2" t="s">
        <v>91</v>
      </c>
      <c r="BS116" s="2" t="s">
        <v>79</v>
      </c>
      <c r="BT116" s="2" t="s">
        <v>91</v>
      </c>
      <c r="BU116" s="2" t="s">
        <v>91</v>
      </c>
      <c r="BV116" s="2" t="s">
        <v>91</v>
      </c>
      <c r="BW116" s="2" t="s">
        <v>91</v>
      </c>
      <c r="BX116" s="2" t="s">
        <v>91</v>
      </c>
      <c r="BY116" s="2" t="s">
        <v>91</v>
      </c>
      <c r="BZ116" s="2" t="s">
        <v>91</v>
      </c>
      <c r="CA116" s="2" t="s">
        <v>91</v>
      </c>
      <c r="CB116" t="e">
        <f>TTEST(AS116:AW116,AI116:AM116,2,2)</f>
        <v>#DIV/0!</v>
      </c>
      <c r="CC116" t="e">
        <f>TTEST(AD116:AH116,AI116:AM116,2,2)</f>
        <v>#DIV/0!</v>
      </c>
      <c r="CD116" t="e">
        <f>TTEST(AN116:AR116,AI116:AM116,2,2)</f>
        <v>#DIV/0!</v>
      </c>
      <c r="CE116" t="e">
        <f>TTEST(AX116:BB116,AI116:AM116,2,2)</f>
        <v>#DIV/0!</v>
      </c>
      <c r="CF116">
        <v>284</v>
      </c>
      <c r="CG116">
        <v>298</v>
      </c>
      <c r="CH116">
        <v>302</v>
      </c>
      <c r="CI116">
        <v>253</v>
      </c>
      <c r="CJ116">
        <f>0.05*CF116/464</f>
        <v>3.0603448275862071E-2</v>
      </c>
      <c r="CK116">
        <f>0.05*CG116/464</f>
        <v>3.2112068965517243E-2</v>
      </c>
      <c r="CL116">
        <f>0.05*CH116/464</f>
        <v>3.2543103448275865E-2</v>
      </c>
      <c r="CM116">
        <f>0.05*CI116/464</f>
        <v>2.7262931034482761E-2</v>
      </c>
      <c r="CN116" t="e">
        <f>IF(CB116&lt;CJ116,"yes","no")</f>
        <v>#DIV/0!</v>
      </c>
      <c r="CO116" t="e">
        <f>IF(CC116&lt;CK116,"yes","no")</f>
        <v>#DIV/0!</v>
      </c>
      <c r="CP116" t="e">
        <f>IF(CD116&lt;CL116,"yes","no")</f>
        <v>#DIV/0!</v>
      </c>
      <c r="CQ116" t="e">
        <f>IF(CE116&lt;CM116,"yes","no")</f>
        <v>#DIV/0!</v>
      </c>
      <c r="CR116">
        <f>TTEST(AS116:AW116,AD116:AH116,2,2)</f>
        <v>2.3435477951110017E-2</v>
      </c>
      <c r="CS116">
        <f>TTEST(AS116:AW116,AN116:AR116,2,2)</f>
        <v>8.3780271618711502E-2</v>
      </c>
      <c r="CT116">
        <f>TTEST(AS116:AW116,AX116:BB116,2,2)</f>
        <v>1.2800734511531192E-2</v>
      </c>
      <c r="CU116">
        <v>211</v>
      </c>
      <c r="CV116">
        <v>175</v>
      </c>
      <c r="CW116">
        <v>115</v>
      </c>
      <c r="CX116">
        <f t="shared" si="3"/>
        <v>2.2737068965517242E-2</v>
      </c>
      <c r="CY116">
        <f t="shared" si="4"/>
        <v>1.8857758620689655E-2</v>
      </c>
      <c r="CZ116">
        <f t="shared" si="5"/>
        <v>1.2392241379310345E-2</v>
      </c>
      <c r="DA116" t="str">
        <f>IF(CR116&lt;CX116,"yes","no")</f>
        <v>no</v>
      </c>
      <c r="DB116" t="str">
        <f>IF(CS116&lt;CY116,"yes","no")</f>
        <v>no</v>
      </c>
      <c r="DC116" t="str">
        <f>IF(CT116&lt;CZ116,"yes","no")</f>
        <v>no</v>
      </c>
    </row>
    <row r="117" spans="1:107" x14ac:dyDescent="0.2">
      <c r="A117" s="2" t="b">
        <v>0</v>
      </c>
      <c r="B117" s="2" t="s">
        <v>79</v>
      </c>
      <c r="C117" s="2" t="s">
        <v>80</v>
      </c>
      <c r="D117" s="2" t="s">
        <v>320</v>
      </c>
      <c r="E117" s="2" t="s">
        <v>321</v>
      </c>
      <c r="F117" s="2">
        <v>8</v>
      </c>
      <c r="G117" s="2">
        <v>8</v>
      </c>
      <c r="H117" s="2">
        <v>43.4</v>
      </c>
      <c r="I117" s="2">
        <v>5.01</v>
      </c>
      <c r="J117" s="2" t="s">
        <v>322</v>
      </c>
      <c r="K117" s="2" t="s">
        <v>84</v>
      </c>
      <c r="L117" s="2" t="s">
        <v>119</v>
      </c>
      <c r="M117" s="2" t="s">
        <v>323</v>
      </c>
      <c r="N117" s="2" t="s">
        <v>320</v>
      </c>
      <c r="O117" s="2">
        <v>0.20599999999999999</v>
      </c>
      <c r="P117" s="2">
        <v>0.01</v>
      </c>
      <c r="Q117" s="2">
        <v>6.8000000000000005E-2</v>
      </c>
      <c r="R117" s="2">
        <v>1.135</v>
      </c>
      <c r="S117" s="2">
        <v>1.1299999999999999</v>
      </c>
      <c r="T117" s="2">
        <v>0.14699999999999999</v>
      </c>
      <c r="U117" s="2">
        <v>0.67400000000000004</v>
      </c>
      <c r="V117" s="2">
        <v>6.3E-2</v>
      </c>
      <c r="W117" s="2">
        <v>0.65500000000000003</v>
      </c>
      <c r="X117" s="2">
        <v>11.895</v>
      </c>
      <c r="Y117" s="2">
        <v>456.9</v>
      </c>
      <c r="Z117" s="2">
        <v>9.6999999999999993</v>
      </c>
      <c r="AA117" s="2">
        <v>24.9</v>
      </c>
      <c r="AB117" s="2">
        <v>0.9</v>
      </c>
      <c r="AC117" s="2">
        <v>7.7</v>
      </c>
      <c r="AD117" s="2">
        <v>73557908.591308594</v>
      </c>
      <c r="AE117" s="2">
        <v>60605533.392578103</v>
      </c>
      <c r="AF117" s="2">
        <v>57799126.309570298</v>
      </c>
      <c r="AG117" s="2">
        <v>40095689.480957001</v>
      </c>
      <c r="AH117" s="2">
        <v>40037924.168945298</v>
      </c>
      <c r="AI117" s="2">
        <v>31820.008300781301</v>
      </c>
      <c r="AJ117" s="2">
        <v>24106.6159667969</v>
      </c>
      <c r="AK117" s="2">
        <v>27459.400390625</v>
      </c>
      <c r="AL117" s="2">
        <v>40677.529785156301</v>
      </c>
      <c r="AM117" s="2">
        <v>19897.8327636719</v>
      </c>
      <c r="AN117" s="2">
        <v>168092.82910156299</v>
      </c>
      <c r="AO117" s="2">
        <v>43230.087402343801</v>
      </c>
      <c r="AP117" s="2">
        <v>82556.10546875</v>
      </c>
      <c r="AQ117" s="2">
        <v>88662.601440429702</v>
      </c>
      <c r="AR117" s="2">
        <v>74243.6669921875</v>
      </c>
      <c r="AS117" s="2">
        <v>4584.1220703125</v>
      </c>
      <c r="AT117" s="2">
        <v>39036.849121093801</v>
      </c>
      <c r="AU117" s="2">
        <v>5637.6171875</v>
      </c>
      <c r="AV117" s="2">
        <v>26372.9912109375</v>
      </c>
      <c r="AW117" s="2">
        <v>20745.25</v>
      </c>
      <c r="AX117" s="2">
        <v>54777.7138671875</v>
      </c>
      <c r="AY117" s="2">
        <v>98772.1796875</v>
      </c>
      <c r="AZ117" s="2">
        <v>47622.4990234375</v>
      </c>
      <c r="BA117" s="2">
        <v>80358.1357421875</v>
      </c>
      <c r="BB117" s="2">
        <v>31730.935058593801</v>
      </c>
      <c r="BC117" s="2" t="s">
        <v>79</v>
      </c>
      <c r="BD117" s="2" t="s">
        <v>79</v>
      </c>
      <c r="BE117" s="2" t="s">
        <v>79</v>
      </c>
      <c r="BF117" s="2" t="s">
        <v>79</v>
      </c>
      <c r="BG117" s="2" t="s">
        <v>79</v>
      </c>
      <c r="BH117" s="2" t="s">
        <v>91</v>
      </c>
      <c r="BI117" s="2" t="s">
        <v>91</v>
      </c>
      <c r="BJ117" s="2" t="s">
        <v>91</v>
      </c>
      <c r="BK117" s="2" t="s">
        <v>91</v>
      </c>
      <c r="BL117" s="2" t="s">
        <v>91</v>
      </c>
      <c r="BM117" s="2" t="s">
        <v>79</v>
      </c>
      <c r="BN117" s="2" t="s">
        <v>79</v>
      </c>
      <c r="BO117" s="2" t="s">
        <v>79</v>
      </c>
      <c r="BP117" s="2" t="s">
        <v>91</v>
      </c>
      <c r="BQ117" s="2" t="s">
        <v>79</v>
      </c>
      <c r="BR117" s="2" t="s">
        <v>91</v>
      </c>
      <c r="BS117" s="2" t="s">
        <v>91</v>
      </c>
      <c r="BT117" s="2" t="s">
        <v>91</v>
      </c>
      <c r="BU117" s="2" t="s">
        <v>91</v>
      </c>
      <c r="BV117" s="2" t="s">
        <v>91</v>
      </c>
      <c r="BW117" s="2" t="s">
        <v>91</v>
      </c>
      <c r="BX117" s="2" t="s">
        <v>91</v>
      </c>
      <c r="BY117" s="2" t="s">
        <v>91</v>
      </c>
      <c r="BZ117" s="2" t="s">
        <v>91</v>
      </c>
      <c r="CA117" s="2" t="s">
        <v>91</v>
      </c>
      <c r="CB117">
        <f>TTEST(AS117:AW117,AI117:AM117,2,2)</f>
        <v>0.23496328144864279</v>
      </c>
      <c r="CC117">
        <f>TTEST(AD117:AH117,AI117:AM117,2,2)</f>
        <v>2.9303300923017879E-5</v>
      </c>
      <c r="CD117">
        <f>TTEST(AN117:AR117,AI117:AM117,2,2)</f>
        <v>1.7690054975602585E-2</v>
      </c>
      <c r="CE117">
        <f>TTEST(AX117:BB117,AI117:AM117,2,2)</f>
        <v>2.6536603621916843E-2</v>
      </c>
      <c r="CF117">
        <v>170</v>
      </c>
      <c r="CG117">
        <v>91</v>
      </c>
      <c r="CH117">
        <v>105</v>
      </c>
      <c r="CI117">
        <v>98</v>
      </c>
      <c r="CJ117">
        <f>0.05*CF117/464</f>
        <v>1.8318965517241378E-2</v>
      </c>
      <c r="CK117">
        <f>0.05*CG117/464</f>
        <v>9.8060344827586195E-3</v>
      </c>
      <c r="CL117">
        <f>0.05*CH117/464</f>
        <v>1.1314655172413793E-2</v>
      </c>
      <c r="CM117">
        <f>0.05*CI117/464</f>
        <v>1.0560344827586207E-2</v>
      </c>
      <c r="CN117" t="str">
        <f>IF(CB117&lt;CJ117,"yes","no")</f>
        <v>no</v>
      </c>
      <c r="CO117" t="str">
        <f>IF(CC117&lt;CK117,"yes","no")</f>
        <v>yes</v>
      </c>
      <c r="CP117" t="str">
        <f>IF(CD117&lt;CL117,"yes","no")</f>
        <v>no</v>
      </c>
      <c r="CQ117" t="str">
        <f>IF(CE117&lt;CM117,"yes","no")</f>
        <v>no</v>
      </c>
      <c r="CR117">
        <f>TTEST(AS117:AW117,AD117:AH117,2,2)</f>
        <v>2.9266108316813747E-5</v>
      </c>
      <c r="CS117">
        <f>TTEST(AS117:AW117,AN117:AR117,2,2)</f>
        <v>1.0538378471910468E-2</v>
      </c>
      <c r="CT117">
        <f>TTEST(AS117:AW117,AX117:BB117,2,2)</f>
        <v>1.2878707284576334E-2</v>
      </c>
      <c r="CU117">
        <v>110</v>
      </c>
      <c r="CV117">
        <v>132</v>
      </c>
      <c r="CW117">
        <v>116</v>
      </c>
      <c r="CX117">
        <f t="shared" si="3"/>
        <v>1.1853448275862068E-2</v>
      </c>
      <c r="CY117">
        <f t="shared" si="4"/>
        <v>1.4224137931034483E-2</v>
      </c>
      <c r="CZ117">
        <f t="shared" si="5"/>
        <v>1.2500000000000001E-2</v>
      </c>
      <c r="DA117" t="str">
        <f>IF(CR117&lt;CX117,"yes","no")</f>
        <v>yes</v>
      </c>
      <c r="DB117" t="str">
        <f>IF(CS117&lt;CY117,"yes","no")</f>
        <v>yes</v>
      </c>
      <c r="DC117" t="str">
        <f>IF(CT117&lt;CZ117,"yes","no")</f>
        <v>no</v>
      </c>
    </row>
    <row r="118" spans="1:107" x14ac:dyDescent="0.2">
      <c r="A118" s="2" t="b">
        <v>0</v>
      </c>
      <c r="B118" s="2" t="s">
        <v>79</v>
      </c>
      <c r="C118" s="2" t="s">
        <v>80</v>
      </c>
      <c r="D118" s="2" t="s">
        <v>729</v>
      </c>
      <c r="E118" s="2" t="s">
        <v>730</v>
      </c>
      <c r="F118" s="2">
        <v>5</v>
      </c>
      <c r="G118" s="2">
        <v>5</v>
      </c>
      <c r="H118" s="2">
        <v>26.4</v>
      </c>
      <c r="I118" s="2">
        <v>7.8</v>
      </c>
      <c r="J118" s="2" t="s">
        <v>380</v>
      </c>
      <c r="K118" s="2" t="s">
        <v>607</v>
      </c>
      <c r="L118" s="2" t="s">
        <v>83</v>
      </c>
      <c r="M118" s="2" t="s">
        <v>83</v>
      </c>
      <c r="N118" s="2" t="s">
        <v>729</v>
      </c>
      <c r="O118" s="2">
        <v>1.972</v>
      </c>
      <c r="P118" s="2">
        <v>0.73399999999999999</v>
      </c>
      <c r="Q118" s="2">
        <v>1.9890000000000001</v>
      </c>
      <c r="R118" s="2">
        <v>0.28899999999999998</v>
      </c>
      <c r="S118" s="2">
        <v>0.68899999999999995</v>
      </c>
      <c r="T118" s="2">
        <v>0.41499999999999998</v>
      </c>
      <c r="U118" s="2">
        <v>0.57499999999999996</v>
      </c>
      <c r="V118" s="2">
        <v>0.77500000000000002</v>
      </c>
      <c r="W118" s="2">
        <v>0.86099999999999999</v>
      </c>
      <c r="X118" s="2">
        <v>1.349</v>
      </c>
      <c r="Y118" s="2">
        <v>96.5</v>
      </c>
      <c r="Z118" s="2">
        <v>120.5</v>
      </c>
      <c r="AA118" s="2">
        <v>95.3</v>
      </c>
      <c r="AB118" s="2">
        <v>90</v>
      </c>
      <c r="AC118" s="2">
        <v>97.7</v>
      </c>
      <c r="AD118" s="2">
        <v>1169959.34375</v>
      </c>
      <c r="AE118" s="2">
        <v>921945.5625</v>
      </c>
      <c r="AF118" s="2">
        <v>745873.265625</v>
      </c>
      <c r="AG118" s="2">
        <v>1009907.25</v>
      </c>
      <c r="AH118" s="2">
        <v>832874.125</v>
      </c>
      <c r="AI118" s="2">
        <v>33244.900390625</v>
      </c>
      <c r="AJ118" s="2">
        <v>23147.10546875</v>
      </c>
      <c r="AK118" s="2">
        <v>23705.574707031301</v>
      </c>
      <c r="AL118" s="2">
        <v>20009.28125</v>
      </c>
      <c r="AM118" s="2">
        <v>17048.3095703125</v>
      </c>
      <c r="AN118" s="2">
        <v>12430.6435546875</v>
      </c>
      <c r="AO118" s="2" t="s">
        <v>83</v>
      </c>
      <c r="AP118" s="2">
        <v>16765.6875</v>
      </c>
      <c r="AQ118" s="2">
        <v>20971.426269531301</v>
      </c>
      <c r="AR118" s="2">
        <v>25998.685546875</v>
      </c>
      <c r="AS118" s="2">
        <v>142809.34082031299</v>
      </c>
      <c r="AT118" s="2">
        <v>151707.47265625</v>
      </c>
      <c r="AU118" s="2">
        <v>104630.46386718799</v>
      </c>
      <c r="AV118" s="2">
        <v>152077.96972656299</v>
      </c>
      <c r="AW118" s="2">
        <v>131931.76806640599</v>
      </c>
      <c r="AX118" s="2">
        <v>43170.982421875</v>
      </c>
      <c r="AY118" s="2">
        <v>148679.3046875</v>
      </c>
      <c r="AZ118" s="2">
        <v>14534.7265625</v>
      </c>
      <c r="BA118" s="2">
        <v>31311.265625</v>
      </c>
      <c r="BB118" s="2">
        <v>42793.1630859375</v>
      </c>
      <c r="BC118" s="2" t="s">
        <v>79</v>
      </c>
      <c r="BD118" s="2" t="s">
        <v>79</v>
      </c>
      <c r="BE118" s="2" t="s">
        <v>79</v>
      </c>
      <c r="BF118" s="2" t="s">
        <v>79</v>
      </c>
      <c r="BG118" s="2" t="s">
        <v>79</v>
      </c>
      <c r="BH118" s="2" t="s">
        <v>91</v>
      </c>
      <c r="BI118" s="2" t="s">
        <v>91</v>
      </c>
      <c r="BJ118" s="2" t="s">
        <v>91</v>
      </c>
      <c r="BK118" s="2" t="s">
        <v>91</v>
      </c>
      <c r="BL118" s="2" t="s">
        <v>91</v>
      </c>
      <c r="BM118" s="2" t="s">
        <v>91</v>
      </c>
      <c r="BN118" s="2" t="s">
        <v>98</v>
      </c>
      <c r="BO118" s="2" t="s">
        <v>91</v>
      </c>
      <c r="BP118" s="2" t="s">
        <v>91</v>
      </c>
      <c r="BQ118" s="2" t="s">
        <v>91</v>
      </c>
      <c r="BR118" s="2" t="s">
        <v>79</v>
      </c>
      <c r="BS118" s="2" t="s">
        <v>79</v>
      </c>
      <c r="BT118" s="2" t="s">
        <v>91</v>
      </c>
      <c r="BU118" s="2" t="s">
        <v>79</v>
      </c>
      <c r="BV118" s="2" t="s">
        <v>79</v>
      </c>
      <c r="BW118" s="2" t="s">
        <v>91</v>
      </c>
      <c r="BX118" s="2" t="s">
        <v>91</v>
      </c>
      <c r="BY118" s="2" t="s">
        <v>91</v>
      </c>
      <c r="BZ118" s="2" t="s">
        <v>91</v>
      </c>
      <c r="CA118" s="2" t="s">
        <v>91</v>
      </c>
      <c r="CB118">
        <f>TTEST(AS118:AW118,AI118:AM118,2,2)</f>
        <v>1.7962687221716297E-6</v>
      </c>
      <c r="CC118">
        <f>TTEST(AD118:AH118,AI118:AM118,2,2)</f>
        <v>1.6099262370189479E-6</v>
      </c>
      <c r="CD118">
        <f>TTEST(AN118:AR118,AI118:AM118,2,2)</f>
        <v>0.30972428676750086</v>
      </c>
      <c r="CE118">
        <f>TTEST(AX118:BB118,AI118:AM118,2,2)</f>
        <v>0.20853271368184889</v>
      </c>
      <c r="CF118">
        <v>8</v>
      </c>
      <c r="CG118">
        <v>59</v>
      </c>
      <c r="CH118">
        <v>157</v>
      </c>
      <c r="CI118">
        <v>131</v>
      </c>
      <c r="CJ118">
        <f>0.05*CF118/464</f>
        <v>8.6206896551724148E-4</v>
      </c>
      <c r="CK118">
        <f>0.05*CG118/464</f>
        <v>6.3577586206896557E-3</v>
      </c>
      <c r="CL118">
        <f>0.05*CH118/464</f>
        <v>1.6918103448275865E-2</v>
      </c>
      <c r="CM118">
        <f>0.05*CI118/464</f>
        <v>1.411637931034483E-2</v>
      </c>
      <c r="CN118" t="str">
        <f>IF(CB118&lt;CJ118,"yes","no")</f>
        <v>yes</v>
      </c>
      <c r="CO118" t="str">
        <f>IF(CC118&lt;CK118,"yes","no")</f>
        <v>yes</v>
      </c>
      <c r="CP118" t="str">
        <f>IF(CD118&lt;CL118,"yes","no")</f>
        <v>no</v>
      </c>
      <c r="CQ118" t="str">
        <f>IF(CE118&lt;CM118,"yes","no")</f>
        <v>no</v>
      </c>
      <c r="CR118">
        <f>TTEST(AS118:AW118,AD118:AH118,2,2)</f>
        <v>4.6243903813743503E-6</v>
      </c>
      <c r="CS118">
        <f>TTEST(AS118:AW118,AN118:AR118,2,2)</f>
        <v>8.8947577019164106E-6</v>
      </c>
      <c r="CT118">
        <f>TTEST(AS118:AW118,AX118:BB118,2,2)</f>
        <v>1.2949968983497795E-2</v>
      </c>
      <c r="CU118">
        <v>79</v>
      </c>
      <c r="CV118">
        <v>8</v>
      </c>
      <c r="CW118">
        <v>117</v>
      </c>
      <c r="CX118">
        <f t="shared" si="3"/>
        <v>8.5129310344827583E-3</v>
      </c>
      <c r="CY118">
        <f t="shared" si="4"/>
        <v>8.6206896551724148E-4</v>
      </c>
      <c r="CZ118">
        <f t="shared" si="5"/>
        <v>1.2607758620689656E-2</v>
      </c>
      <c r="DA118" t="str">
        <f>IF(CR118&lt;CX118,"yes","no")</f>
        <v>yes</v>
      </c>
      <c r="DB118" t="str">
        <f>IF(CS118&lt;CY118,"yes","no")</f>
        <v>yes</v>
      </c>
      <c r="DC118" t="str">
        <f>IF(CT118&lt;CZ118,"yes","no")</f>
        <v>no</v>
      </c>
    </row>
    <row r="119" spans="1:107" x14ac:dyDescent="0.2">
      <c r="A119" s="2" t="b">
        <v>0</v>
      </c>
      <c r="B119" s="2" t="s">
        <v>79</v>
      </c>
      <c r="C119" s="2" t="s">
        <v>80</v>
      </c>
      <c r="D119" s="2" t="s">
        <v>615</v>
      </c>
      <c r="E119" s="2" t="s">
        <v>616</v>
      </c>
      <c r="F119" s="2">
        <v>9</v>
      </c>
      <c r="G119" s="2">
        <v>9</v>
      </c>
      <c r="H119" s="2">
        <v>56.3</v>
      </c>
      <c r="I119" s="2">
        <v>5.27</v>
      </c>
      <c r="J119" s="2" t="s">
        <v>617</v>
      </c>
      <c r="K119" s="2" t="s">
        <v>618</v>
      </c>
      <c r="L119" s="2" t="s">
        <v>188</v>
      </c>
      <c r="M119" s="2" t="s">
        <v>619</v>
      </c>
      <c r="N119" s="2" t="s">
        <v>615</v>
      </c>
      <c r="O119" s="2">
        <v>16.532</v>
      </c>
      <c r="P119" s="2">
        <v>2.09</v>
      </c>
      <c r="Q119" s="2">
        <v>13.03</v>
      </c>
      <c r="R119" s="2">
        <v>0.182</v>
      </c>
      <c r="S119" s="2">
        <v>3.302</v>
      </c>
      <c r="T119" s="2">
        <v>0.374</v>
      </c>
      <c r="U119" s="2">
        <v>2.2999999999999998</v>
      </c>
      <c r="V119" s="2">
        <v>0.11700000000000001</v>
      </c>
      <c r="W119" s="2">
        <v>0.84299999999999997</v>
      </c>
      <c r="X119" s="2">
        <v>5.0199999999999996</v>
      </c>
      <c r="Y119" s="2">
        <v>11.3</v>
      </c>
      <c r="Z119" s="2">
        <v>51.6</v>
      </c>
      <c r="AA119" s="2">
        <v>229.3</v>
      </c>
      <c r="AB119" s="2">
        <v>28.6</v>
      </c>
      <c r="AC119" s="2">
        <v>179.2</v>
      </c>
      <c r="AD119" s="2">
        <v>793963.859375</v>
      </c>
      <c r="AE119" s="2">
        <v>262151.80078125</v>
      </c>
      <c r="AF119" s="2">
        <v>738705.34375</v>
      </c>
      <c r="AG119" s="2">
        <v>1897672.6875</v>
      </c>
      <c r="AH119" s="2">
        <v>333806.939453125</v>
      </c>
      <c r="AI119" s="2">
        <v>68825.1708984375</v>
      </c>
      <c r="AJ119" s="2">
        <v>58903.388671875</v>
      </c>
      <c r="AK119" s="2">
        <v>54282.125</v>
      </c>
      <c r="AL119" s="2">
        <v>301170.19921875</v>
      </c>
      <c r="AM119" s="2">
        <v>68297.2451171875</v>
      </c>
      <c r="AN119" s="2">
        <v>212264.71728515599</v>
      </c>
      <c r="AO119" s="2">
        <v>241650.328369141</v>
      </c>
      <c r="AP119" s="2">
        <v>331896.43310546898</v>
      </c>
      <c r="AQ119" s="2">
        <v>275724.16162109398</v>
      </c>
      <c r="AR119" s="2">
        <v>411021.701171875</v>
      </c>
      <c r="AS119" s="2">
        <v>217210.68457031299</v>
      </c>
      <c r="AT119" s="2">
        <v>498546.96972656302</v>
      </c>
      <c r="AU119" s="2">
        <v>224935.22558593799</v>
      </c>
      <c r="AV119" s="2">
        <v>253413.703125</v>
      </c>
      <c r="AW119" s="2">
        <v>322709.203125</v>
      </c>
      <c r="AX119" s="2">
        <v>847162.37451171898</v>
      </c>
      <c r="AY119" s="2">
        <v>921443.02636718797</v>
      </c>
      <c r="AZ119" s="2">
        <v>737464.56005859398</v>
      </c>
      <c r="BA119" s="2">
        <v>353137.85888671898</v>
      </c>
      <c r="BB119" s="2">
        <v>520619.21533203102</v>
      </c>
      <c r="BC119" s="2" t="s">
        <v>79</v>
      </c>
      <c r="BD119" s="2" t="s">
        <v>79</v>
      </c>
      <c r="BE119" s="2" t="s">
        <v>79</v>
      </c>
      <c r="BF119" s="2" t="s">
        <v>79</v>
      </c>
      <c r="BG119" s="2" t="s">
        <v>79</v>
      </c>
      <c r="BH119" s="2" t="s">
        <v>91</v>
      </c>
      <c r="BI119" s="2" t="s">
        <v>91</v>
      </c>
      <c r="BJ119" s="2" t="s">
        <v>79</v>
      </c>
      <c r="BK119" s="2" t="s">
        <v>79</v>
      </c>
      <c r="BL119" s="2" t="s">
        <v>91</v>
      </c>
      <c r="BM119" s="2" t="s">
        <v>79</v>
      </c>
      <c r="BN119" s="2" t="s">
        <v>79</v>
      </c>
      <c r="BO119" s="2" t="s">
        <v>79</v>
      </c>
      <c r="BP119" s="2" t="s">
        <v>79</v>
      </c>
      <c r="BQ119" s="2" t="s">
        <v>79</v>
      </c>
      <c r="BR119" s="2" t="s">
        <v>79</v>
      </c>
      <c r="BS119" s="2" t="s">
        <v>79</v>
      </c>
      <c r="BT119" s="2" t="s">
        <v>79</v>
      </c>
      <c r="BU119" s="2" t="s">
        <v>79</v>
      </c>
      <c r="BV119" s="2" t="s">
        <v>79</v>
      </c>
      <c r="BW119" s="2" t="s">
        <v>79</v>
      </c>
      <c r="BX119" s="2" t="s">
        <v>79</v>
      </c>
      <c r="BY119" s="2" t="s">
        <v>79</v>
      </c>
      <c r="BZ119" s="2" t="s">
        <v>79</v>
      </c>
      <c r="CA119" s="2" t="s">
        <v>79</v>
      </c>
      <c r="CB119">
        <f>TTEST(AS119:AW119,AI119:AM119,2,2)</f>
        <v>2.595835147221431E-2</v>
      </c>
      <c r="CC119">
        <f>TTEST(AD119:AH119,AI119:AM119,2,2)</f>
        <v>4.725625163014651E-2</v>
      </c>
      <c r="CD119">
        <f>TTEST(AN119:AR119,AI119:AM119,2,2)</f>
        <v>1.4643435070328016E-2</v>
      </c>
      <c r="CE119">
        <f>TTEST(AX119:BB119,AI119:AM119,2,2)</f>
        <v>1.2056530029577934E-3</v>
      </c>
      <c r="CF119">
        <v>141</v>
      </c>
      <c r="CG119">
        <v>178</v>
      </c>
      <c r="CH119">
        <v>103</v>
      </c>
      <c r="CI119">
        <v>55</v>
      </c>
      <c r="CJ119">
        <f>0.05*CF119/464</f>
        <v>1.519396551724138E-2</v>
      </c>
      <c r="CK119">
        <f>0.05*CG119/464</f>
        <v>1.9181034482758621E-2</v>
      </c>
      <c r="CL119">
        <f>0.05*CH119/464</f>
        <v>1.1099137931034484E-2</v>
      </c>
      <c r="CM119">
        <f>0.05*CI119/464</f>
        <v>5.9267241379310342E-3</v>
      </c>
      <c r="CN119" t="str">
        <f>IF(CB119&lt;CJ119,"yes","no")</f>
        <v>no</v>
      </c>
      <c r="CO119" t="str">
        <f>IF(CC119&lt;CK119,"yes","no")</f>
        <v>no</v>
      </c>
      <c r="CP119" t="str">
        <f>IF(CD119&lt;CL119,"yes","no")</f>
        <v>no</v>
      </c>
      <c r="CQ119" t="str">
        <f>IF(CE119&lt;CM119,"yes","no")</f>
        <v>yes</v>
      </c>
      <c r="CR119">
        <f>TTEST(AS119:AW119,AD119:AH119,2,2)</f>
        <v>0.13003589352838854</v>
      </c>
      <c r="CS119">
        <f>TTEST(AS119:AW119,AN119:AR119,2,2)</f>
        <v>0.89176506480562523</v>
      </c>
      <c r="CT119">
        <f>TTEST(AS119:AW119,AX119:BB119,2,2)</f>
        <v>1.3186136593351241E-2</v>
      </c>
      <c r="CU119">
        <v>258</v>
      </c>
      <c r="CV119">
        <v>264</v>
      </c>
      <c r="CW119">
        <v>118</v>
      </c>
      <c r="CX119">
        <f t="shared" si="3"/>
        <v>2.7801724137931035E-2</v>
      </c>
      <c r="CY119">
        <f t="shared" si="4"/>
        <v>2.8448275862068967E-2</v>
      </c>
      <c r="CZ119">
        <f t="shared" si="5"/>
        <v>1.2715517241379311E-2</v>
      </c>
      <c r="DA119" t="str">
        <f>IF(CR119&lt;CX119,"yes","no")</f>
        <v>no</v>
      </c>
      <c r="DB119" t="str">
        <f>IF(CS119&lt;CY119,"yes","no")</f>
        <v>no</v>
      </c>
      <c r="DC119" t="str">
        <f>IF(CT119&lt;CZ119,"yes","no")</f>
        <v>no</v>
      </c>
    </row>
    <row r="120" spans="1:107" x14ac:dyDescent="0.2">
      <c r="A120" s="2" t="b">
        <v>0</v>
      </c>
      <c r="B120" s="2" t="s">
        <v>79</v>
      </c>
      <c r="C120" s="2" t="s">
        <v>80</v>
      </c>
      <c r="D120" s="2" t="s">
        <v>537</v>
      </c>
      <c r="E120" s="2" t="s">
        <v>538</v>
      </c>
      <c r="F120" s="2">
        <v>6</v>
      </c>
      <c r="G120" s="2">
        <v>6</v>
      </c>
      <c r="H120" s="2">
        <v>37.799999999999997</v>
      </c>
      <c r="I120" s="2">
        <v>5.44</v>
      </c>
      <c r="J120" s="2" t="s">
        <v>539</v>
      </c>
      <c r="K120" s="2" t="s">
        <v>540</v>
      </c>
      <c r="L120" s="2" t="s">
        <v>119</v>
      </c>
      <c r="M120" s="2" t="s">
        <v>83</v>
      </c>
      <c r="N120" s="2" t="s">
        <v>541</v>
      </c>
      <c r="O120" s="2">
        <v>3.1120000000000001</v>
      </c>
      <c r="P120" s="2">
        <v>0.52100000000000002</v>
      </c>
      <c r="Q120" s="2">
        <v>0.20599999999999999</v>
      </c>
      <c r="R120" s="2">
        <v>0.97199999999999998</v>
      </c>
      <c r="S120" s="2">
        <v>3.343</v>
      </c>
      <c r="T120" s="2">
        <v>0.48</v>
      </c>
      <c r="U120" s="2">
        <v>0.125</v>
      </c>
      <c r="V120" s="2">
        <v>0.13900000000000001</v>
      </c>
      <c r="W120" s="2">
        <v>3.1E-2</v>
      </c>
      <c r="X120" s="2">
        <v>0.32200000000000001</v>
      </c>
      <c r="Y120" s="2">
        <v>93.9</v>
      </c>
      <c r="Z120" s="2">
        <v>59.1</v>
      </c>
      <c r="AA120" s="2">
        <v>311.8</v>
      </c>
      <c r="AB120" s="2">
        <v>31.3</v>
      </c>
      <c r="AC120" s="2">
        <v>4</v>
      </c>
      <c r="AD120" s="2">
        <v>4945334.609375</v>
      </c>
      <c r="AE120" s="2">
        <v>4081786.75</v>
      </c>
      <c r="AF120" s="2">
        <v>3475182.90625</v>
      </c>
      <c r="AG120" s="2">
        <v>1771777.4765625</v>
      </c>
      <c r="AH120" s="2">
        <v>1823374.25</v>
      </c>
      <c r="AI120" s="2">
        <v>104238.79589843799</v>
      </c>
      <c r="AJ120" s="2">
        <v>53211.43359375</v>
      </c>
      <c r="AK120" s="2">
        <v>82602.3857421875</v>
      </c>
      <c r="AL120" s="2">
        <v>40021.5263671875</v>
      </c>
      <c r="AM120" s="2">
        <v>28423.8330078125</v>
      </c>
      <c r="AN120" s="2">
        <v>241103.802734375</v>
      </c>
      <c r="AO120" s="2">
        <v>175541.625</v>
      </c>
      <c r="AP120" s="2">
        <v>342383.736328125</v>
      </c>
      <c r="AQ120" s="2">
        <v>290392.740234375</v>
      </c>
      <c r="AR120" s="2">
        <v>302783.966796875</v>
      </c>
      <c r="AS120" s="2">
        <v>227280.4375</v>
      </c>
      <c r="AT120" s="2">
        <v>490519.1875</v>
      </c>
      <c r="AU120" s="2">
        <v>178847.8046875</v>
      </c>
      <c r="AV120" s="2">
        <v>151732.30859375</v>
      </c>
      <c r="AW120" s="2">
        <v>178353.2109375</v>
      </c>
      <c r="AX120" s="2">
        <v>17353.650390625</v>
      </c>
      <c r="AY120" s="2">
        <v>12646.275390625</v>
      </c>
      <c r="AZ120" s="2">
        <v>8938.77734375</v>
      </c>
      <c r="BA120" s="2" t="s">
        <v>83</v>
      </c>
      <c r="BB120" s="2">
        <v>8666.2158203125</v>
      </c>
      <c r="BC120" s="2" t="s">
        <v>79</v>
      </c>
      <c r="BD120" s="2" t="s">
        <v>79</v>
      </c>
      <c r="BE120" s="2" t="s">
        <v>79</v>
      </c>
      <c r="BF120" s="2" t="s">
        <v>79</v>
      </c>
      <c r="BG120" s="2" t="s">
        <v>79</v>
      </c>
      <c r="BH120" s="2" t="s">
        <v>91</v>
      </c>
      <c r="BI120" s="2" t="s">
        <v>91</v>
      </c>
      <c r="BJ120" s="2" t="s">
        <v>91</v>
      </c>
      <c r="BK120" s="2" t="s">
        <v>91</v>
      </c>
      <c r="BL120" s="2" t="s">
        <v>91</v>
      </c>
      <c r="BM120" s="2" t="s">
        <v>79</v>
      </c>
      <c r="BN120" s="2" t="s">
        <v>79</v>
      </c>
      <c r="BO120" s="2" t="s">
        <v>79</v>
      </c>
      <c r="BP120" s="2" t="s">
        <v>79</v>
      </c>
      <c r="BQ120" s="2" t="s">
        <v>79</v>
      </c>
      <c r="BR120" s="2" t="s">
        <v>79</v>
      </c>
      <c r="BS120" s="2" t="s">
        <v>79</v>
      </c>
      <c r="BT120" s="2" t="s">
        <v>79</v>
      </c>
      <c r="BU120" s="2" t="s">
        <v>79</v>
      </c>
      <c r="BV120" s="2" t="s">
        <v>79</v>
      </c>
      <c r="BW120" s="2" t="s">
        <v>91</v>
      </c>
      <c r="BX120" s="2" t="s">
        <v>91</v>
      </c>
      <c r="BY120" s="2" t="s">
        <v>91</v>
      </c>
      <c r="BZ120" s="2" t="s">
        <v>98</v>
      </c>
      <c r="CA120" s="2" t="s">
        <v>91</v>
      </c>
      <c r="CB120">
        <f>TTEST(AS120:AW120,AI120:AM120,2,2)</f>
        <v>2.0893453878477596E-2</v>
      </c>
      <c r="CC120">
        <f>TTEST(AD120:AH120,AI120:AM120,2,2)</f>
        <v>9.9571215337243037E-4</v>
      </c>
      <c r="CD120">
        <f>TTEST(AN120:AR120,AI120:AM120,2,2)</f>
        <v>1.8058307009551886E-4</v>
      </c>
      <c r="CE120">
        <f>TTEST(AX120:BB120,AI120:AM120,2,2)</f>
        <v>1.6681229539336633E-2</v>
      </c>
      <c r="CF120">
        <v>138</v>
      </c>
      <c r="CG120">
        <v>133</v>
      </c>
      <c r="CH120">
        <v>52</v>
      </c>
      <c r="CI120">
        <v>90</v>
      </c>
      <c r="CJ120">
        <f>0.05*CF120/464</f>
        <v>1.4870689655172414E-2</v>
      </c>
      <c r="CK120">
        <f>0.05*CG120/464</f>
        <v>1.4331896551724139E-2</v>
      </c>
      <c r="CL120">
        <f>0.05*CH120/464</f>
        <v>5.6034482758620689E-3</v>
      </c>
      <c r="CM120">
        <f>0.05*CI120/464</f>
        <v>9.6982758620689658E-3</v>
      </c>
      <c r="CN120" t="str">
        <f>IF(CB120&lt;CJ120,"yes","no")</f>
        <v>no</v>
      </c>
      <c r="CO120" t="str">
        <f>IF(CC120&lt;CK120,"yes","no")</f>
        <v>yes</v>
      </c>
      <c r="CP120" t="str">
        <f>IF(CD120&lt;CL120,"yes","no")</f>
        <v>yes</v>
      </c>
      <c r="CQ120" t="str">
        <f>IF(CE120&lt;CM120,"yes","no")</f>
        <v>no</v>
      </c>
      <c r="CR120">
        <f>TTEST(AS120:AW120,AD120:AH120,2,2)</f>
        <v>1.4847716682424221E-3</v>
      </c>
      <c r="CS120">
        <f>TTEST(AS120:AW120,AN120:AR120,2,2)</f>
        <v>0.72465374369311486</v>
      </c>
      <c r="CT120">
        <f>TTEST(AS120:AW120,AX120:BB120,2,2)</f>
        <v>1.3241373421896737E-2</v>
      </c>
      <c r="CU120">
        <v>166</v>
      </c>
      <c r="CV120">
        <v>247</v>
      </c>
      <c r="CW120">
        <v>119</v>
      </c>
      <c r="CX120">
        <f t="shared" si="3"/>
        <v>1.788793103448276E-2</v>
      </c>
      <c r="CY120">
        <f t="shared" si="4"/>
        <v>2.6616379310344832E-2</v>
      </c>
      <c r="CZ120">
        <f t="shared" si="5"/>
        <v>1.2823275862068965E-2</v>
      </c>
      <c r="DA120" t="str">
        <f>IF(CR120&lt;CX120,"yes","no")</f>
        <v>yes</v>
      </c>
      <c r="DB120" t="str">
        <f>IF(CS120&lt;CY120,"yes","no")</f>
        <v>no</v>
      </c>
      <c r="DC120" t="str">
        <f>IF(CT120&lt;CZ120,"yes","no")</f>
        <v>no</v>
      </c>
    </row>
    <row r="121" spans="1:107" x14ac:dyDescent="0.2">
      <c r="A121" s="2" t="b">
        <v>0</v>
      </c>
      <c r="B121" s="2" t="s">
        <v>79</v>
      </c>
      <c r="C121" s="2" t="s">
        <v>80</v>
      </c>
      <c r="D121" s="2" t="s">
        <v>221</v>
      </c>
      <c r="E121" s="2" t="s">
        <v>222</v>
      </c>
      <c r="F121" s="2">
        <v>16</v>
      </c>
      <c r="G121" s="2">
        <v>8</v>
      </c>
      <c r="H121" s="2">
        <v>68.400000000000006</v>
      </c>
      <c r="I121" s="2">
        <v>5.39</v>
      </c>
      <c r="J121" s="2" t="s">
        <v>83</v>
      </c>
      <c r="K121" s="2" t="s">
        <v>84</v>
      </c>
      <c r="L121" s="2" t="s">
        <v>85</v>
      </c>
      <c r="M121" s="2" t="s">
        <v>223</v>
      </c>
      <c r="N121" s="2" t="s">
        <v>221</v>
      </c>
      <c r="O121" s="2">
        <v>1.835</v>
      </c>
      <c r="P121" s="2">
        <v>0.16900000000000001</v>
      </c>
      <c r="Q121" s="2">
        <v>0.308</v>
      </c>
      <c r="R121" s="2">
        <v>6.41</v>
      </c>
      <c r="S121" s="2">
        <v>15.295999999999999</v>
      </c>
      <c r="T121" s="2">
        <v>0.57899999999999996</v>
      </c>
      <c r="U121" s="2">
        <v>2.5099999999999998</v>
      </c>
      <c r="V121" s="2">
        <v>4.5999999999999999E-2</v>
      </c>
      <c r="W121" s="2">
        <v>0.151</v>
      </c>
      <c r="X121" s="2">
        <v>2.33</v>
      </c>
      <c r="Y121" s="2">
        <v>148.4</v>
      </c>
      <c r="Z121" s="2">
        <v>8.3000000000000007</v>
      </c>
      <c r="AA121" s="2">
        <v>296.89999999999998</v>
      </c>
      <c r="AB121" s="2">
        <v>21.9</v>
      </c>
      <c r="AC121" s="2">
        <v>24.5</v>
      </c>
      <c r="AD121" s="2">
        <v>16748156.3125</v>
      </c>
      <c r="AE121" s="2">
        <v>13387245.8984375</v>
      </c>
      <c r="AF121" s="2">
        <v>12443996.3359375</v>
      </c>
      <c r="AG121" s="2">
        <v>13517026.408203101</v>
      </c>
      <c r="AH121" s="2">
        <v>12452953.1914063</v>
      </c>
      <c r="AI121" s="2">
        <v>28896.380371093801</v>
      </c>
      <c r="AJ121" s="2">
        <v>11220.1005859375</v>
      </c>
      <c r="AK121" s="2">
        <v>13805.9775390625</v>
      </c>
      <c r="AL121" s="2">
        <v>51833.311035156301</v>
      </c>
      <c r="AM121" s="2">
        <v>3407.79443359375</v>
      </c>
      <c r="AN121" s="2">
        <v>485997.16259765602</v>
      </c>
      <c r="AO121" s="2">
        <v>435243.41064453102</v>
      </c>
      <c r="AP121" s="2">
        <v>504342.419921875</v>
      </c>
      <c r="AQ121" s="2">
        <v>446597.68359375</v>
      </c>
      <c r="AR121" s="2">
        <v>743241.89550781297</v>
      </c>
      <c r="AS121" s="2">
        <v>283757.35644531302</v>
      </c>
      <c r="AT121" s="2">
        <v>504704.77832031302</v>
      </c>
      <c r="AU121" s="2">
        <v>283985.0859375</v>
      </c>
      <c r="AV121" s="2">
        <v>361067.09765625</v>
      </c>
      <c r="AW121" s="2">
        <v>336804.46875</v>
      </c>
      <c r="AX121" s="2">
        <v>115135.226074219</v>
      </c>
      <c r="AY121" s="2">
        <v>247444.310546875</v>
      </c>
      <c r="AZ121" s="2">
        <v>292525.45703125</v>
      </c>
      <c r="BA121" s="2">
        <v>107168.072265625</v>
      </c>
      <c r="BB121" s="2">
        <v>85427.787597656294</v>
      </c>
      <c r="BC121" s="2" t="s">
        <v>79</v>
      </c>
      <c r="BD121" s="2" t="s">
        <v>79</v>
      </c>
      <c r="BE121" s="2" t="s">
        <v>79</v>
      </c>
      <c r="BF121" s="2" t="s">
        <v>79</v>
      </c>
      <c r="BG121" s="2" t="s">
        <v>79</v>
      </c>
      <c r="BH121" s="2" t="s">
        <v>91</v>
      </c>
      <c r="BI121" s="2" t="s">
        <v>91</v>
      </c>
      <c r="BJ121" s="2" t="s">
        <v>79</v>
      </c>
      <c r="BK121" s="2" t="s">
        <v>91</v>
      </c>
      <c r="BL121" s="2" t="s">
        <v>91</v>
      </c>
      <c r="BM121" s="2" t="s">
        <v>79</v>
      </c>
      <c r="BN121" s="2" t="s">
        <v>79</v>
      </c>
      <c r="BO121" s="2" t="s">
        <v>79</v>
      </c>
      <c r="BP121" s="2" t="s">
        <v>79</v>
      </c>
      <c r="BQ121" s="2" t="s">
        <v>79</v>
      </c>
      <c r="BR121" s="2" t="s">
        <v>79</v>
      </c>
      <c r="BS121" s="2" t="s">
        <v>91</v>
      </c>
      <c r="BT121" s="2" t="s">
        <v>91</v>
      </c>
      <c r="BU121" s="2" t="s">
        <v>79</v>
      </c>
      <c r="BV121" s="2" t="s">
        <v>79</v>
      </c>
      <c r="BW121" s="2" t="s">
        <v>79</v>
      </c>
      <c r="BX121" s="2" t="s">
        <v>79</v>
      </c>
      <c r="BY121" s="2" t="s">
        <v>91</v>
      </c>
      <c r="BZ121" s="2" t="s">
        <v>91</v>
      </c>
      <c r="CA121" s="2" t="s">
        <v>91</v>
      </c>
      <c r="CB121">
        <f>TTEST(AS121:AW121,AI121:AM121,2,2)</f>
        <v>4.3065886658060214E-5</v>
      </c>
      <c r="CC121">
        <f>TTEST(AD121:AH121,AI121:AM121,2,2)</f>
        <v>1.2836083189299512E-7</v>
      </c>
      <c r="CD121">
        <f>TTEST(AN121:AR121,AI121:AM121,2,2)</f>
        <v>2.2274548151560208E-5</v>
      </c>
      <c r="CE121">
        <f>TTEST(AX121:BB121,AI121:AM121,2,2)</f>
        <v>8.6500517166646172E-3</v>
      </c>
      <c r="CF121">
        <v>48</v>
      </c>
      <c r="CG121">
        <v>23</v>
      </c>
      <c r="CH121">
        <v>29</v>
      </c>
      <c r="CI121">
        <v>80</v>
      </c>
      <c r="CJ121">
        <f>0.05*CF121/464</f>
        <v>5.1724137931034491E-3</v>
      </c>
      <c r="CK121">
        <f>0.05*CG121/464</f>
        <v>2.4784482758620691E-3</v>
      </c>
      <c r="CL121">
        <f>0.05*CH121/464</f>
        <v>3.1250000000000002E-3</v>
      </c>
      <c r="CM121">
        <f>0.05*CI121/464</f>
        <v>8.6206896551724137E-3</v>
      </c>
      <c r="CN121" t="str">
        <f>IF(CB121&lt;CJ121,"yes","no")</f>
        <v>yes</v>
      </c>
      <c r="CO121" t="str">
        <f>IF(CC121&lt;CK121,"yes","no")</f>
        <v>yes</v>
      </c>
      <c r="CP121" t="str">
        <f>IF(CD121&lt;CL121,"yes","no")</f>
        <v>yes</v>
      </c>
      <c r="CQ121" t="str">
        <f>IF(CE121&lt;CM121,"yes","no")</f>
        <v>no</v>
      </c>
      <c r="CR121">
        <f>TTEST(AS121:AW121,AD121:AH121,2,2)</f>
        <v>1.5702938846209128E-7</v>
      </c>
      <c r="CS121">
        <f>TTEST(AS121:AW121,AN121:AR121,2,2)</f>
        <v>4.1117991911216532E-2</v>
      </c>
      <c r="CT121">
        <f>TTEST(AS121:AW121,AX121:BB121,2,2)</f>
        <v>1.3309502667281354E-2</v>
      </c>
      <c r="CU121">
        <v>18</v>
      </c>
      <c r="CV121">
        <v>160</v>
      </c>
      <c r="CW121">
        <v>120</v>
      </c>
      <c r="CX121">
        <f t="shared" si="3"/>
        <v>1.9396551724137931E-3</v>
      </c>
      <c r="CY121">
        <f t="shared" si="4"/>
        <v>1.7241379310344827E-2</v>
      </c>
      <c r="CZ121">
        <f t="shared" si="5"/>
        <v>1.2931034482758621E-2</v>
      </c>
      <c r="DA121" t="str">
        <f>IF(CR121&lt;CX121,"yes","no")</f>
        <v>yes</v>
      </c>
      <c r="DB121" t="str">
        <f>IF(CS121&lt;CY121,"yes","no")</f>
        <v>no</v>
      </c>
      <c r="DC121" t="str">
        <f>IF(CT121&lt;CZ121,"yes","no")</f>
        <v>no</v>
      </c>
    </row>
    <row r="122" spans="1:107" x14ac:dyDescent="0.2">
      <c r="A122" s="2" t="b">
        <v>0</v>
      </c>
      <c r="B122" s="2" t="s">
        <v>79</v>
      </c>
      <c r="C122" s="2" t="s">
        <v>80</v>
      </c>
      <c r="D122" s="2" t="s">
        <v>1072</v>
      </c>
      <c r="E122" s="2" t="s">
        <v>1073</v>
      </c>
      <c r="F122" s="2">
        <v>2</v>
      </c>
      <c r="G122" s="2">
        <v>2</v>
      </c>
      <c r="H122" s="2">
        <v>13</v>
      </c>
      <c r="I122" s="2">
        <v>7.08</v>
      </c>
      <c r="J122" s="2" t="s">
        <v>83</v>
      </c>
      <c r="K122" s="2" t="s">
        <v>83</v>
      </c>
      <c r="L122" s="2" t="s">
        <v>83</v>
      </c>
      <c r="M122" s="2" t="s">
        <v>83</v>
      </c>
      <c r="N122" s="2" t="s">
        <v>1072</v>
      </c>
      <c r="O122" s="2">
        <v>0.01</v>
      </c>
      <c r="P122" s="2">
        <v>0.84499999999999997</v>
      </c>
      <c r="Q122" s="2">
        <v>1.1779999999999999</v>
      </c>
      <c r="R122" s="2">
        <v>100</v>
      </c>
      <c r="S122" s="2" t="s">
        <v>83</v>
      </c>
      <c r="T122" s="2">
        <v>100</v>
      </c>
      <c r="U122" s="2">
        <v>100</v>
      </c>
      <c r="V122" s="2">
        <v>100</v>
      </c>
      <c r="W122" s="2">
        <v>100</v>
      </c>
      <c r="X122" s="2">
        <v>0.85699999999999998</v>
      </c>
      <c r="Y122" s="2">
        <v>148.4</v>
      </c>
      <c r="Z122" s="2" t="s">
        <v>83</v>
      </c>
      <c r="AA122" s="2" t="s">
        <v>83</v>
      </c>
      <c r="AB122" s="2">
        <v>194.9</v>
      </c>
      <c r="AC122" s="2">
        <v>156.69999999999999</v>
      </c>
      <c r="AD122" s="2">
        <v>283307.375</v>
      </c>
      <c r="AE122" s="2">
        <v>125294.46875</v>
      </c>
      <c r="AF122" s="2" t="s">
        <v>83</v>
      </c>
      <c r="AG122" s="2">
        <v>1094403</v>
      </c>
      <c r="AH122" s="2">
        <v>1078303.125</v>
      </c>
      <c r="AI122" s="2" t="s">
        <v>83</v>
      </c>
      <c r="AJ122" s="2" t="s">
        <v>83</v>
      </c>
      <c r="AK122" s="2" t="s">
        <v>83</v>
      </c>
      <c r="AL122" s="2" t="s">
        <v>83</v>
      </c>
      <c r="AM122" s="2" t="s">
        <v>83</v>
      </c>
      <c r="AN122" s="2" t="s">
        <v>83</v>
      </c>
      <c r="AO122" s="2" t="s">
        <v>83</v>
      </c>
      <c r="AP122" s="2" t="s">
        <v>83</v>
      </c>
      <c r="AQ122" s="2" t="s">
        <v>83</v>
      </c>
      <c r="AR122" s="2" t="s">
        <v>83</v>
      </c>
      <c r="AS122" s="2">
        <v>76126.75</v>
      </c>
      <c r="AT122" s="2">
        <v>140691.359375</v>
      </c>
      <c r="AU122" s="2">
        <v>77961.34375</v>
      </c>
      <c r="AV122" s="2">
        <v>94197.9765625</v>
      </c>
      <c r="AW122" s="2">
        <v>102677.9921875</v>
      </c>
      <c r="AX122" s="2">
        <v>21901.462890625</v>
      </c>
      <c r="AY122" s="2" t="s">
        <v>83</v>
      </c>
      <c r="AZ122" s="2" t="s">
        <v>83</v>
      </c>
      <c r="BA122" s="2" t="s">
        <v>83</v>
      </c>
      <c r="BB122" s="2">
        <v>27605.369140625</v>
      </c>
      <c r="BC122" s="2" t="s">
        <v>91</v>
      </c>
      <c r="BD122" s="2" t="s">
        <v>79</v>
      </c>
      <c r="BE122" s="2" t="s">
        <v>98</v>
      </c>
      <c r="BF122" s="2" t="s">
        <v>79</v>
      </c>
      <c r="BG122" s="2" t="s">
        <v>79</v>
      </c>
      <c r="BH122" s="2" t="s">
        <v>98</v>
      </c>
      <c r="BI122" s="2" t="s">
        <v>98</v>
      </c>
      <c r="BJ122" s="2" t="s">
        <v>98</v>
      </c>
      <c r="BK122" s="2" t="s">
        <v>98</v>
      </c>
      <c r="BL122" s="2" t="s">
        <v>98</v>
      </c>
      <c r="BM122" s="2" t="s">
        <v>98</v>
      </c>
      <c r="BN122" s="2" t="s">
        <v>98</v>
      </c>
      <c r="BO122" s="2" t="s">
        <v>98</v>
      </c>
      <c r="BP122" s="2" t="s">
        <v>98</v>
      </c>
      <c r="BQ122" s="2" t="s">
        <v>98</v>
      </c>
      <c r="BR122" s="2" t="s">
        <v>79</v>
      </c>
      <c r="BS122" s="2" t="s">
        <v>79</v>
      </c>
      <c r="BT122" s="2" t="s">
        <v>79</v>
      </c>
      <c r="BU122" s="2" t="s">
        <v>79</v>
      </c>
      <c r="BV122" s="2" t="s">
        <v>79</v>
      </c>
      <c r="BW122" s="2" t="s">
        <v>91</v>
      </c>
      <c r="BX122" s="2" t="s">
        <v>79</v>
      </c>
      <c r="BY122" s="2" t="s">
        <v>79</v>
      </c>
      <c r="BZ122" s="2" t="s">
        <v>98</v>
      </c>
      <c r="CA122" s="2" t="s">
        <v>79</v>
      </c>
      <c r="CB122" t="e">
        <f>TTEST(AS122:AW122,AI122:AM122,2,2)</f>
        <v>#DIV/0!</v>
      </c>
      <c r="CC122" t="e">
        <f>TTEST(AD122:AH122,AI122:AM122,2,2)</f>
        <v>#DIV/0!</v>
      </c>
      <c r="CD122" t="e">
        <f>TTEST(AN122:AR122,AI122:AM122,2,2)</f>
        <v>#DIV/0!</v>
      </c>
      <c r="CE122" t="e">
        <f>TTEST(AX122:BB122,AI122:AM122,2,2)</f>
        <v>#DIV/0!</v>
      </c>
      <c r="CF122">
        <v>290</v>
      </c>
      <c r="CG122">
        <v>304</v>
      </c>
      <c r="CH122">
        <v>308</v>
      </c>
      <c r="CI122">
        <v>309</v>
      </c>
      <c r="CJ122">
        <f>0.05*CF122/464</f>
        <v>3.125E-2</v>
      </c>
      <c r="CK122">
        <f>0.05*CG122/464</f>
        <v>3.2758620689655175E-2</v>
      </c>
      <c r="CL122">
        <f>0.05*CH122/464</f>
        <v>3.3189655172413797E-2</v>
      </c>
      <c r="CM122">
        <f>0.05*CI122/464</f>
        <v>3.3297413793103449E-2</v>
      </c>
      <c r="CN122" t="e">
        <f>IF(CB122&lt;CJ122,"yes","no")</f>
        <v>#DIV/0!</v>
      </c>
      <c r="CO122" t="e">
        <f>IF(CC122&lt;CK122,"yes","no")</f>
        <v>#DIV/0!</v>
      </c>
      <c r="CP122" t="e">
        <f>IF(CD122&lt;CL122,"yes","no")</f>
        <v>#DIV/0!</v>
      </c>
      <c r="CQ122" t="e">
        <f>IF(CE122&lt;CM122,"yes","no")</f>
        <v>#DIV/0!</v>
      </c>
      <c r="CR122">
        <f>TTEST(AS122:AW122,AD122:AH122,2,2)</f>
        <v>4.5951252256250165E-2</v>
      </c>
      <c r="CS122" t="e">
        <f>TTEST(AS122:AW122,AN122:AR122,2,2)</f>
        <v>#DIV/0!</v>
      </c>
      <c r="CT122">
        <f>TTEST(AS122:AW122,AX122:BB122,2,2)</f>
        <v>1.333854413744031E-2</v>
      </c>
      <c r="CU122">
        <v>227</v>
      </c>
      <c r="CV122">
        <v>302</v>
      </c>
      <c r="CW122">
        <v>121</v>
      </c>
      <c r="CX122">
        <f t="shared" si="3"/>
        <v>2.4461206896551728E-2</v>
      </c>
      <c r="CY122">
        <f t="shared" si="4"/>
        <v>3.2543103448275865E-2</v>
      </c>
      <c r="CZ122">
        <f t="shared" si="5"/>
        <v>1.3038793103448278E-2</v>
      </c>
      <c r="DA122" t="str">
        <f>IF(CR122&lt;CX122,"yes","no")</f>
        <v>no</v>
      </c>
      <c r="DB122" t="e">
        <f>IF(CS122&lt;CY122,"yes","no")</f>
        <v>#DIV/0!</v>
      </c>
      <c r="DC122" t="str">
        <f>IF(CT122&lt;CZ122,"yes","no")</f>
        <v>no</v>
      </c>
    </row>
    <row r="123" spans="1:107" x14ac:dyDescent="0.2">
      <c r="A123" s="2" t="b">
        <v>0</v>
      </c>
      <c r="B123" s="2" t="s">
        <v>79</v>
      </c>
      <c r="C123" s="2" t="s">
        <v>80</v>
      </c>
      <c r="D123" s="2" t="s">
        <v>855</v>
      </c>
      <c r="E123" s="2" t="s">
        <v>856</v>
      </c>
      <c r="F123" s="2">
        <v>2</v>
      </c>
      <c r="G123" s="2">
        <v>2</v>
      </c>
      <c r="H123" s="2">
        <v>14.8</v>
      </c>
      <c r="I123" s="2">
        <v>4.92</v>
      </c>
      <c r="J123" s="2" t="s">
        <v>857</v>
      </c>
      <c r="K123" s="2" t="s">
        <v>84</v>
      </c>
      <c r="L123" s="2" t="s">
        <v>119</v>
      </c>
      <c r="M123" s="2" t="s">
        <v>858</v>
      </c>
      <c r="N123" s="2" t="s">
        <v>855</v>
      </c>
      <c r="O123" s="2">
        <v>1.5229999999999999</v>
      </c>
      <c r="P123" s="2">
        <v>6.6000000000000003E-2</v>
      </c>
      <c r="Q123" s="2">
        <v>9.6000000000000002E-2</v>
      </c>
      <c r="R123" s="2">
        <v>100</v>
      </c>
      <c r="S123" s="2">
        <v>100</v>
      </c>
      <c r="T123" s="2">
        <v>100</v>
      </c>
      <c r="U123" s="2">
        <v>100</v>
      </c>
      <c r="V123" s="2">
        <v>5.0999999999999997E-2</v>
      </c>
      <c r="W123" s="2">
        <v>7.1999999999999995E-2</v>
      </c>
      <c r="X123" s="2">
        <v>1.4139999999999999</v>
      </c>
      <c r="Y123" s="2">
        <v>196.4</v>
      </c>
      <c r="Z123" s="2" t="s">
        <v>83</v>
      </c>
      <c r="AA123" s="2">
        <v>273.3</v>
      </c>
      <c r="AB123" s="2">
        <v>11.9</v>
      </c>
      <c r="AC123" s="2">
        <v>18.5</v>
      </c>
      <c r="AD123" s="2">
        <v>2830732.78125</v>
      </c>
      <c r="AE123" s="2">
        <v>1967202.6796875</v>
      </c>
      <c r="AF123" s="2">
        <v>1907868.015625</v>
      </c>
      <c r="AG123" s="2">
        <v>2353533.6796875</v>
      </c>
      <c r="AH123" s="2">
        <v>1690081.125</v>
      </c>
      <c r="AI123" s="2" t="s">
        <v>83</v>
      </c>
      <c r="AJ123" s="2" t="s">
        <v>83</v>
      </c>
      <c r="AK123" s="2" t="s">
        <v>83</v>
      </c>
      <c r="AL123" s="2" t="s">
        <v>83</v>
      </c>
      <c r="AM123" s="2" t="s">
        <v>83</v>
      </c>
      <c r="AN123" s="2">
        <v>47416.615234375</v>
      </c>
      <c r="AO123" s="2">
        <v>46918.19921875</v>
      </c>
      <c r="AP123" s="2">
        <v>47497.654296875</v>
      </c>
      <c r="AQ123" s="2">
        <v>34938.9501953125</v>
      </c>
      <c r="AR123" s="2">
        <v>130267.00097656299</v>
      </c>
      <c r="AS123" s="2">
        <v>14164.34375</v>
      </c>
      <c r="AT123" s="2">
        <v>27828.76171875</v>
      </c>
      <c r="AU123" s="2">
        <v>21956.26953125</v>
      </c>
      <c r="AV123" s="2">
        <v>24934.8203125</v>
      </c>
      <c r="AW123" s="2">
        <v>16684.888671875</v>
      </c>
      <c r="AX123" s="2">
        <v>10706.701171875</v>
      </c>
      <c r="AY123" s="2">
        <v>13313.625</v>
      </c>
      <c r="AZ123" s="2">
        <v>12473.9189453125</v>
      </c>
      <c r="BA123" s="2">
        <v>9303.072265625</v>
      </c>
      <c r="BB123" s="2" t="s">
        <v>83</v>
      </c>
      <c r="BC123" s="2" t="s">
        <v>79</v>
      </c>
      <c r="BD123" s="2" t="s">
        <v>79</v>
      </c>
      <c r="BE123" s="2" t="s">
        <v>79</v>
      </c>
      <c r="BF123" s="2" t="s">
        <v>79</v>
      </c>
      <c r="BG123" s="2" t="s">
        <v>79</v>
      </c>
      <c r="BH123" s="2" t="s">
        <v>98</v>
      </c>
      <c r="BI123" s="2" t="s">
        <v>98</v>
      </c>
      <c r="BJ123" s="2" t="s">
        <v>98</v>
      </c>
      <c r="BK123" s="2" t="s">
        <v>98</v>
      </c>
      <c r="BL123" s="2" t="s">
        <v>98</v>
      </c>
      <c r="BM123" s="2" t="s">
        <v>79</v>
      </c>
      <c r="BN123" s="2" t="s">
        <v>79</v>
      </c>
      <c r="BO123" s="2" t="s">
        <v>79</v>
      </c>
      <c r="BP123" s="2" t="s">
        <v>79</v>
      </c>
      <c r="BQ123" s="2" t="s">
        <v>79</v>
      </c>
      <c r="BR123" s="2" t="s">
        <v>91</v>
      </c>
      <c r="BS123" s="2" t="s">
        <v>91</v>
      </c>
      <c r="BT123" s="2" t="s">
        <v>91</v>
      </c>
      <c r="BU123" s="2" t="s">
        <v>79</v>
      </c>
      <c r="BV123" s="2" t="s">
        <v>91</v>
      </c>
      <c r="BW123" s="2" t="s">
        <v>91</v>
      </c>
      <c r="BX123" s="2" t="s">
        <v>91</v>
      </c>
      <c r="BY123" s="2" t="s">
        <v>91</v>
      </c>
      <c r="BZ123" s="2" t="s">
        <v>91</v>
      </c>
      <c r="CA123" s="2" t="s">
        <v>98</v>
      </c>
      <c r="CB123" t="e">
        <f>TTEST(AS123:AW123,AI123:AM123,2,2)</f>
        <v>#DIV/0!</v>
      </c>
      <c r="CC123" t="e">
        <f>TTEST(AD123:AH123,AI123:AM123,2,2)</f>
        <v>#DIV/0!</v>
      </c>
      <c r="CD123" t="e">
        <f>TTEST(AN123:AR123,AI123:AM123,2,2)</f>
        <v>#DIV/0!</v>
      </c>
      <c r="CE123" t="e">
        <f>TTEST(AX123:BB123,AI123:AM123,2,2)</f>
        <v>#DIV/0!</v>
      </c>
      <c r="CF123">
        <v>243</v>
      </c>
      <c r="CG123">
        <v>257</v>
      </c>
      <c r="CH123">
        <v>261</v>
      </c>
      <c r="CI123">
        <v>249</v>
      </c>
      <c r="CJ123">
        <f>0.05*CF123/464</f>
        <v>2.6185344827586207E-2</v>
      </c>
      <c r="CK123">
        <f>0.05*CG123/464</f>
        <v>2.7693965517241383E-2</v>
      </c>
      <c r="CL123">
        <f>0.05*CH123/464</f>
        <v>2.8125000000000001E-2</v>
      </c>
      <c r="CM123">
        <f>0.05*CI123/464</f>
        <v>2.683189655172414E-2</v>
      </c>
      <c r="CN123" t="e">
        <f>IF(CB123&lt;CJ123,"yes","no")</f>
        <v>#DIV/0!</v>
      </c>
      <c r="CO123" t="e">
        <f>IF(CC123&lt;CK123,"yes","no")</f>
        <v>#DIV/0!</v>
      </c>
      <c r="CP123" t="e">
        <f>IF(CD123&lt;CL123,"yes","no")</f>
        <v>#DIV/0!</v>
      </c>
      <c r="CQ123" t="e">
        <f>IF(CE123&lt;CM123,"yes","no")</f>
        <v>#DIV/0!</v>
      </c>
      <c r="CR123">
        <f>TTEST(AS123:AW123,AD123:AH123,2,2)</f>
        <v>5.5333885030003767E-6</v>
      </c>
      <c r="CS123">
        <f>TTEST(AS123:AW123,AN123:AR123,2,2)</f>
        <v>5.0933701418014579E-2</v>
      </c>
      <c r="CT123">
        <f>TTEST(AS123:AW123,AX123:BB123,2,2)</f>
        <v>1.4158239834465401E-2</v>
      </c>
      <c r="CU123">
        <v>83</v>
      </c>
      <c r="CV123">
        <v>165</v>
      </c>
      <c r="CW123">
        <v>122</v>
      </c>
      <c r="CX123">
        <f t="shared" si="3"/>
        <v>8.9439655172413798E-3</v>
      </c>
      <c r="CY123">
        <f t="shared" si="4"/>
        <v>1.7780172413793104E-2</v>
      </c>
      <c r="CZ123">
        <f t="shared" si="5"/>
        <v>1.3146551724137933E-2</v>
      </c>
      <c r="DA123" t="str">
        <f>IF(CR123&lt;CX123,"yes","no")</f>
        <v>yes</v>
      </c>
      <c r="DB123" t="str">
        <f>IF(CS123&lt;CY123,"yes","no")</f>
        <v>no</v>
      </c>
      <c r="DC123" t="str">
        <f>IF(CT123&lt;CZ123,"yes","no")</f>
        <v>no</v>
      </c>
    </row>
    <row r="124" spans="1:107" x14ac:dyDescent="0.2">
      <c r="A124" s="2" t="b">
        <v>0</v>
      </c>
      <c r="B124" s="2" t="s">
        <v>79</v>
      </c>
      <c r="C124" s="2" t="s">
        <v>80</v>
      </c>
      <c r="D124" s="2" t="s">
        <v>544</v>
      </c>
      <c r="E124" s="2" t="s">
        <v>545</v>
      </c>
      <c r="F124" s="2">
        <v>3</v>
      </c>
      <c r="G124" s="2">
        <v>1</v>
      </c>
      <c r="H124" s="2">
        <v>12.7</v>
      </c>
      <c r="I124" s="2">
        <v>8.15</v>
      </c>
      <c r="J124" s="2" t="s">
        <v>254</v>
      </c>
      <c r="K124" s="2" t="s">
        <v>319</v>
      </c>
      <c r="L124" s="2" t="s">
        <v>83</v>
      </c>
      <c r="M124" s="2" t="s">
        <v>83</v>
      </c>
      <c r="N124" s="2" t="s">
        <v>544</v>
      </c>
      <c r="O124" s="2">
        <v>1.462</v>
      </c>
      <c r="P124" s="2">
        <v>0.248</v>
      </c>
      <c r="Q124" s="2">
        <v>1.4910000000000001</v>
      </c>
      <c r="R124" s="2">
        <v>0.435</v>
      </c>
      <c r="S124" s="2">
        <v>0.65500000000000003</v>
      </c>
      <c r="T124" s="2">
        <v>0.123</v>
      </c>
      <c r="U124" s="2">
        <v>0.60899999999999999</v>
      </c>
      <c r="V124" s="2">
        <v>0.187</v>
      </c>
      <c r="W124" s="2">
        <v>0.92900000000000005</v>
      </c>
      <c r="X124" s="2">
        <v>5.056</v>
      </c>
      <c r="Y124" s="2">
        <v>77.099999999999994</v>
      </c>
      <c r="Z124" s="2">
        <v>177.2</v>
      </c>
      <c r="AA124" s="2">
        <v>116.1</v>
      </c>
      <c r="AB124" s="2">
        <v>21.8</v>
      </c>
      <c r="AC124" s="2">
        <v>107.8</v>
      </c>
      <c r="AD124" s="2">
        <v>111946.5859375</v>
      </c>
      <c r="AE124" s="2">
        <v>42470.13671875</v>
      </c>
      <c r="AF124" s="2" t="s">
        <v>83</v>
      </c>
      <c r="AG124" s="2">
        <v>476154.34375</v>
      </c>
      <c r="AH124" s="2">
        <v>450926.03125</v>
      </c>
      <c r="AI124" s="2">
        <v>10066.8876953125</v>
      </c>
      <c r="AJ124" s="2">
        <v>9774.552734375</v>
      </c>
      <c r="AK124" s="2" t="s">
        <v>83</v>
      </c>
      <c r="AL124" s="2" t="s">
        <v>83</v>
      </c>
      <c r="AM124" s="2" t="s">
        <v>83</v>
      </c>
      <c r="AN124" s="2">
        <v>4810.9306640625</v>
      </c>
      <c r="AO124" s="2" t="s">
        <v>83</v>
      </c>
      <c r="AP124" s="2">
        <v>9753.1201171875</v>
      </c>
      <c r="AQ124" s="2" t="s">
        <v>83</v>
      </c>
      <c r="AR124" s="2">
        <v>5324.02880859375</v>
      </c>
      <c r="AS124" s="2">
        <v>7759.19140625</v>
      </c>
      <c r="AT124" s="2">
        <v>13605.3271484375</v>
      </c>
      <c r="AU124" s="2">
        <v>8560.697265625</v>
      </c>
      <c r="AV124" s="2">
        <v>5643.0615234375</v>
      </c>
      <c r="AW124" s="2">
        <v>9171.11328125</v>
      </c>
      <c r="AX124" s="2">
        <v>13681.1796875</v>
      </c>
      <c r="AY124" s="2" t="s">
        <v>83</v>
      </c>
      <c r="AZ124" s="2">
        <v>15145.9921875</v>
      </c>
      <c r="BA124" s="2">
        <v>16869.625</v>
      </c>
      <c r="BB124" s="2" t="s">
        <v>83</v>
      </c>
      <c r="BC124" s="2" t="s">
        <v>91</v>
      </c>
      <c r="BD124" s="2" t="s">
        <v>79</v>
      </c>
      <c r="BE124" s="2" t="s">
        <v>98</v>
      </c>
      <c r="BF124" s="2" t="s">
        <v>79</v>
      </c>
      <c r="BG124" s="2" t="s">
        <v>91</v>
      </c>
      <c r="BH124" s="2" t="s">
        <v>91</v>
      </c>
      <c r="BI124" s="2" t="s">
        <v>91</v>
      </c>
      <c r="BJ124" s="2" t="s">
        <v>98</v>
      </c>
      <c r="BK124" s="2" t="s">
        <v>98</v>
      </c>
      <c r="BL124" s="2" t="s">
        <v>98</v>
      </c>
      <c r="BM124" s="2" t="s">
        <v>91</v>
      </c>
      <c r="BN124" s="2" t="s">
        <v>98</v>
      </c>
      <c r="BO124" s="2" t="s">
        <v>91</v>
      </c>
      <c r="BP124" s="2" t="s">
        <v>98</v>
      </c>
      <c r="BQ124" s="2" t="s">
        <v>91</v>
      </c>
      <c r="BR124" s="2" t="s">
        <v>91</v>
      </c>
      <c r="BS124" s="2" t="s">
        <v>91</v>
      </c>
      <c r="BT124" s="2" t="s">
        <v>91</v>
      </c>
      <c r="BU124" s="2" t="s">
        <v>91</v>
      </c>
      <c r="BV124" s="2" t="s">
        <v>91</v>
      </c>
      <c r="BW124" s="2" t="s">
        <v>91</v>
      </c>
      <c r="BX124" s="2" t="s">
        <v>98</v>
      </c>
      <c r="BY124" s="2" t="s">
        <v>91</v>
      </c>
      <c r="BZ124" s="2" t="s">
        <v>91</v>
      </c>
      <c r="CA124" s="2" t="s">
        <v>98</v>
      </c>
      <c r="CB124">
        <f>TTEST(AS124:AW124,AI124:AM124,2,2)</f>
        <v>0.67549962792959906</v>
      </c>
      <c r="CC124">
        <f>TTEST(AD124:AH124,AI124:AM124,2,2)</f>
        <v>0.19773026378600164</v>
      </c>
      <c r="CD124">
        <f>TTEST(AN124:AR124,AI124:AM124,2,2)</f>
        <v>0.20311457990911966</v>
      </c>
      <c r="CE124">
        <f>TTEST(AX124:BB124,AI124:AM124,2,2)</f>
        <v>2.1159035713083741E-2</v>
      </c>
      <c r="CF124">
        <v>209</v>
      </c>
      <c r="CG124">
        <v>212</v>
      </c>
      <c r="CH124">
        <v>145</v>
      </c>
      <c r="CI124">
        <v>93</v>
      </c>
      <c r="CJ124">
        <f>0.05*CF124/464</f>
        <v>2.2521551724137934E-2</v>
      </c>
      <c r="CK124">
        <f>0.05*CG124/464</f>
        <v>2.2844827586206901E-2</v>
      </c>
      <c r="CL124">
        <f>0.05*CH124/464</f>
        <v>1.5625E-2</v>
      </c>
      <c r="CM124">
        <f>0.05*CI124/464</f>
        <v>1.0021551724137932E-2</v>
      </c>
      <c r="CN124" t="str">
        <f>IF(CB124&lt;CJ124,"yes","no")</f>
        <v>no</v>
      </c>
      <c r="CO124" t="str">
        <f>IF(CC124&lt;CK124,"yes","no")</f>
        <v>no</v>
      </c>
      <c r="CP124" t="str">
        <f>IF(CD124&lt;CL124,"yes","no")</f>
        <v>no</v>
      </c>
      <c r="CQ124" t="str">
        <f>IF(CE124&lt;CM124,"yes","no")</f>
        <v>no</v>
      </c>
      <c r="CR124">
        <f>TTEST(AS124:AW124,AD124:AH124,2,2)</f>
        <v>3.3205542104694806E-2</v>
      </c>
      <c r="CS124">
        <f>TTEST(AS124:AW124,AN124:AR124,2,2)</f>
        <v>0.30909784496106862</v>
      </c>
      <c r="CT124">
        <f>TTEST(AS124:AW124,AX124:BB124,2,2)</f>
        <v>1.5201983447137466E-2</v>
      </c>
      <c r="CU124">
        <v>218</v>
      </c>
      <c r="CV124">
        <v>211</v>
      </c>
      <c r="CW124">
        <v>123</v>
      </c>
      <c r="CX124">
        <f t="shared" si="3"/>
        <v>2.3491379310344829E-2</v>
      </c>
      <c r="CY124">
        <f t="shared" si="4"/>
        <v>2.2737068965517242E-2</v>
      </c>
      <c r="CZ124">
        <f t="shared" si="5"/>
        <v>1.3254310344827587E-2</v>
      </c>
      <c r="DA124" t="str">
        <f>IF(CR124&lt;CX124,"yes","no")</f>
        <v>no</v>
      </c>
      <c r="DB124" t="str">
        <f>IF(CS124&lt;CY124,"yes","no")</f>
        <v>no</v>
      </c>
      <c r="DC124" t="str">
        <f>IF(CT124&lt;CZ124,"yes","no")</f>
        <v>no</v>
      </c>
    </row>
    <row r="125" spans="1:107" x14ac:dyDescent="0.2">
      <c r="A125" s="2" t="b">
        <v>0</v>
      </c>
      <c r="B125" s="2" t="s">
        <v>79</v>
      </c>
      <c r="C125" s="2" t="s">
        <v>80</v>
      </c>
      <c r="D125" s="2" t="s">
        <v>349</v>
      </c>
      <c r="E125" s="2" t="s">
        <v>350</v>
      </c>
      <c r="F125" s="2">
        <v>11</v>
      </c>
      <c r="G125" s="2">
        <v>3</v>
      </c>
      <c r="H125" s="2">
        <v>49.9</v>
      </c>
      <c r="I125" s="2">
        <v>4.8899999999999997</v>
      </c>
      <c r="J125" s="2" t="s">
        <v>351</v>
      </c>
      <c r="K125" s="2" t="s">
        <v>271</v>
      </c>
      <c r="L125" s="2" t="s">
        <v>146</v>
      </c>
      <c r="M125" s="2" t="s">
        <v>83</v>
      </c>
      <c r="N125" s="2" t="s">
        <v>352</v>
      </c>
      <c r="O125" s="2">
        <v>5.96</v>
      </c>
      <c r="P125" s="2">
        <v>0.35799999999999998</v>
      </c>
      <c r="Q125" s="2">
        <v>2.032</v>
      </c>
      <c r="R125" s="2">
        <v>100</v>
      </c>
      <c r="S125" s="2">
        <v>100</v>
      </c>
      <c r="T125" s="2">
        <v>100</v>
      </c>
      <c r="U125" s="2">
        <v>100</v>
      </c>
      <c r="V125" s="2">
        <v>6.5000000000000002E-2</v>
      </c>
      <c r="W125" s="2">
        <v>0.40200000000000002</v>
      </c>
      <c r="X125" s="2">
        <v>5.24</v>
      </c>
      <c r="Y125" s="2">
        <v>27.1</v>
      </c>
      <c r="Z125" s="2" t="s">
        <v>83</v>
      </c>
      <c r="AA125" s="2">
        <v>382.1</v>
      </c>
      <c r="AB125" s="2">
        <v>9.6999999999999993</v>
      </c>
      <c r="AC125" s="2">
        <v>81.099999999999994</v>
      </c>
      <c r="AD125" s="2">
        <v>150652.890625</v>
      </c>
      <c r="AE125" s="2">
        <v>130554.921875</v>
      </c>
      <c r="AF125" s="2">
        <v>123712.7578125</v>
      </c>
      <c r="AG125" s="2">
        <v>216760.8359375</v>
      </c>
      <c r="AH125" s="2">
        <v>247757.7734375</v>
      </c>
      <c r="AI125" s="2" t="s">
        <v>83</v>
      </c>
      <c r="AJ125" s="2" t="s">
        <v>83</v>
      </c>
      <c r="AK125" s="2" t="s">
        <v>83</v>
      </c>
      <c r="AL125" s="2" t="s">
        <v>83</v>
      </c>
      <c r="AM125" s="2" t="s">
        <v>83</v>
      </c>
      <c r="AN125" s="2">
        <v>12533.6923828125</v>
      </c>
      <c r="AO125" s="2">
        <v>28551.921875</v>
      </c>
      <c r="AP125" s="2">
        <v>67586.650390625</v>
      </c>
      <c r="AQ125" s="2">
        <v>50758.2119140625</v>
      </c>
      <c r="AR125" s="2">
        <v>51079.5205078125</v>
      </c>
      <c r="AS125" s="2" t="s">
        <v>83</v>
      </c>
      <c r="AT125" s="2">
        <v>10960.455078125</v>
      </c>
      <c r="AU125" s="2" t="s">
        <v>83</v>
      </c>
      <c r="AV125" s="2">
        <v>6626.1904296875</v>
      </c>
      <c r="AW125" s="2">
        <v>8763.734375</v>
      </c>
      <c r="AX125" s="2">
        <v>20712.37890625</v>
      </c>
      <c r="AY125" s="2">
        <v>25377.4326171875</v>
      </c>
      <c r="AZ125" s="2">
        <v>31498.187011718801</v>
      </c>
      <c r="BA125" s="2">
        <v>29014.796875</v>
      </c>
      <c r="BB125" s="2">
        <v>12663.498046875</v>
      </c>
      <c r="BC125" s="2" t="s">
        <v>79</v>
      </c>
      <c r="BD125" s="2" t="s">
        <v>79</v>
      </c>
      <c r="BE125" s="2" t="s">
        <v>79</v>
      </c>
      <c r="BF125" s="2" t="s">
        <v>79</v>
      </c>
      <c r="BG125" s="2" t="s">
        <v>79</v>
      </c>
      <c r="BH125" s="2" t="s">
        <v>98</v>
      </c>
      <c r="BI125" s="2" t="s">
        <v>98</v>
      </c>
      <c r="BJ125" s="2" t="s">
        <v>98</v>
      </c>
      <c r="BK125" s="2" t="s">
        <v>98</v>
      </c>
      <c r="BL125" s="2" t="s">
        <v>98</v>
      </c>
      <c r="BM125" s="2" t="s">
        <v>79</v>
      </c>
      <c r="BN125" s="2" t="s">
        <v>79</v>
      </c>
      <c r="BO125" s="2" t="s">
        <v>79</v>
      </c>
      <c r="BP125" s="2" t="s">
        <v>79</v>
      </c>
      <c r="BQ125" s="2" t="s">
        <v>79</v>
      </c>
      <c r="BR125" s="2" t="s">
        <v>98</v>
      </c>
      <c r="BS125" s="2" t="s">
        <v>79</v>
      </c>
      <c r="BT125" s="2" t="s">
        <v>98</v>
      </c>
      <c r="BU125" s="2" t="s">
        <v>91</v>
      </c>
      <c r="BV125" s="2" t="s">
        <v>91</v>
      </c>
      <c r="BW125" s="2" t="s">
        <v>91</v>
      </c>
      <c r="BX125" s="2" t="s">
        <v>91</v>
      </c>
      <c r="BY125" s="2" t="s">
        <v>91</v>
      </c>
      <c r="BZ125" s="2" t="s">
        <v>79</v>
      </c>
      <c r="CA125" s="2" t="s">
        <v>91</v>
      </c>
      <c r="CB125" t="e">
        <f>TTEST(AS125:AW125,AI125:AM125,2,2)</f>
        <v>#DIV/0!</v>
      </c>
      <c r="CC125" t="e">
        <f>TTEST(AD125:AH125,AI125:AM125,2,2)</f>
        <v>#DIV/0!</v>
      </c>
      <c r="CD125" t="e">
        <f>TTEST(AN125:AR125,AI125:AM125,2,2)</f>
        <v>#DIV/0!</v>
      </c>
      <c r="CE125" t="e">
        <f>TTEST(AX125:BB125,AI125:AM125,2,2)</f>
        <v>#DIV/0!</v>
      </c>
      <c r="CF125">
        <v>263</v>
      </c>
      <c r="CG125">
        <v>277</v>
      </c>
      <c r="CH125">
        <v>281</v>
      </c>
      <c r="CI125">
        <v>248</v>
      </c>
      <c r="CJ125">
        <f>0.05*CF125/464</f>
        <v>2.8340517241379311E-2</v>
      </c>
      <c r="CK125">
        <f>0.05*CG125/464</f>
        <v>2.9849137931034487E-2</v>
      </c>
      <c r="CL125">
        <f>0.05*CH125/464</f>
        <v>3.0280172413793105E-2</v>
      </c>
      <c r="CM125">
        <f>0.05*CI125/464</f>
        <v>2.6724137931034484E-2</v>
      </c>
      <c r="CN125" t="e">
        <f>IF(CB125&lt;CJ125,"yes","no")</f>
        <v>#DIV/0!</v>
      </c>
      <c r="CO125" t="e">
        <f>IF(CC125&lt;CK125,"yes","no")</f>
        <v>#DIV/0!</v>
      </c>
      <c r="CP125" t="e">
        <f>IF(CD125&lt;CL125,"yes","no")</f>
        <v>#DIV/0!</v>
      </c>
      <c r="CQ125" t="e">
        <f>IF(CE125&lt;CM125,"yes","no")</f>
        <v>#DIV/0!</v>
      </c>
      <c r="CR125">
        <f>TTEST(AS125:AW125,AD125:AH125,2,2)</f>
        <v>2.4387484774787993E-3</v>
      </c>
      <c r="CS125">
        <f>TTEST(AS125:AW125,AN125:AR125,2,2)</f>
        <v>4.1617039185325791E-2</v>
      </c>
      <c r="CT125">
        <f>TTEST(AS125:AW125,AX125:BB125,2,2)</f>
        <v>1.6017294497310854E-2</v>
      </c>
      <c r="CU125">
        <v>173</v>
      </c>
      <c r="CV125">
        <v>161</v>
      </c>
      <c r="CW125">
        <v>124</v>
      </c>
      <c r="CX125">
        <f t="shared" si="3"/>
        <v>1.8642241379310344E-2</v>
      </c>
      <c r="CY125">
        <f t="shared" si="4"/>
        <v>1.7349137931034483E-2</v>
      </c>
      <c r="CZ125">
        <f t="shared" si="5"/>
        <v>1.3362068965517242E-2</v>
      </c>
      <c r="DA125" t="str">
        <f>IF(CR125&lt;CX125,"yes","no")</f>
        <v>yes</v>
      </c>
      <c r="DB125" t="str">
        <f>IF(CS125&lt;CY125,"yes","no")</f>
        <v>no</v>
      </c>
      <c r="DC125" t="str">
        <f>IF(CT125&lt;CZ125,"yes","no")</f>
        <v>no</v>
      </c>
    </row>
    <row r="126" spans="1:107" x14ac:dyDescent="0.2">
      <c r="A126" s="2" t="b">
        <v>0</v>
      </c>
      <c r="B126" s="2" t="s">
        <v>79</v>
      </c>
      <c r="C126" s="2" t="s">
        <v>80</v>
      </c>
      <c r="D126" s="2" t="s">
        <v>436</v>
      </c>
      <c r="E126" s="2" t="s">
        <v>437</v>
      </c>
      <c r="F126" s="2">
        <v>4</v>
      </c>
      <c r="G126" s="2">
        <v>4</v>
      </c>
      <c r="H126" s="2">
        <v>31.6</v>
      </c>
      <c r="I126" s="2">
        <v>7.52</v>
      </c>
      <c r="J126" s="2" t="s">
        <v>83</v>
      </c>
      <c r="K126" s="2" t="s">
        <v>84</v>
      </c>
      <c r="L126" s="2" t="s">
        <v>83</v>
      </c>
      <c r="M126" s="2" t="s">
        <v>83</v>
      </c>
      <c r="N126" s="2" t="s">
        <v>436</v>
      </c>
      <c r="O126" s="2">
        <v>10.156000000000001</v>
      </c>
      <c r="P126" s="2">
        <v>10.673</v>
      </c>
      <c r="Q126" s="2">
        <v>18.808</v>
      </c>
      <c r="R126" s="2">
        <v>3.9E-2</v>
      </c>
      <c r="S126" s="2">
        <v>0.41699999999999998</v>
      </c>
      <c r="T126" s="2">
        <v>0.56499999999999995</v>
      </c>
      <c r="U126" s="2">
        <v>1.365</v>
      </c>
      <c r="V126" s="2">
        <v>1.333</v>
      </c>
      <c r="W126" s="2">
        <v>3.8839999999999999</v>
      </c>
      <c r="X126" s="2">
        <v>2.0379999999999998</v>
      </c>
      <c r="Y126" s="2">
        <v>6.1</v>
      </c>
      <c r="Z126" s="2">
        <v>205.4</v>
      </c>
      <c r="AA126" s="2">
        <v>72.900000000000006</v>
      </c>
      <c r="AB126" s="2">
        <v>68.5</v>
      </c>
      <c r="AC126" s="2">
        <v>147.19999999999999</v>
      </c>
      <c r="AD126" s="2">
        <v>3032583.8125</v>
      </c>
      <c r="AE126" s="2">
        <v>2670222.8515625</v>
      </c>
      <c r="AF126" s="2">
        <v>2351244.0078125</v>
      </c>
      <c r="AG126" s="2">
        <v>2619631.25</v>
      </c>
      <c r="AH126" s="2">
        <v>2508397.6015625</v>
      </c>
      <c r="AI126" s="2">
        <v>2071904.5019531299</v>
      </c>
      <c r="AJ126" s="2">
        <v>1426380.828125</v>
      </c>
      <c r="AK126" s="2">
        <v>1620438.3691406299</v>
      </c>
      <c r="AL126" s="2">
        <v>1647795.66796875</v>
      </c>
      <c r="AM126" s="2">
        <v>1474664.5488281299</v>
      </c>
      <c r="AN126" s="2">
        <v>575988.650390625</v>
      </c>
      <c r="AO126" s="2">
        <v>585619.681640625</v>
      </c>
      <c r="AP126" s="2">
        <v>744774.41015625</v>
      </c>
      <c r="AQ126" s="2">
        <v>617368.185546875</v>
      </c>
      <c r="AR126" s="2">
        <v>782205.32666015602</v>
      </c>
      <c r="AS126" s="2">
        <v>4033118.6875</v>
      </c>
      <c r="AT126" s="2">
        <v>6190720.125</v>
      </c>
      <c r="AU126" s="2">
        <v>3970133.171875</v>
      </c>
      <c r="AV126" s="2">
        <v>4467225.6552734403</v>
      </c>
      <c r="AW126" s="2">
        <v>4899375.3496093797</v>
      </c>
      <c r="AX126" s="2">
        <v>3224935.46875</v>
      </c>
      <c r="AY126" s="2">
        <v>3476767.0048828102</v>
      </c>
      <c r="AZ126" s="2">
        <v>4050904.1875</v>
      </c>
      <c r="BA126" s="2">
        <v>3167648</v>
      </c>
      <c r="BB126" s="2">
        <v>2690689.6875</v>
      </c>
      <c r="BC126" s="2" t="s">
        <v>79</v>
      </c>
      <c r="BD126" s="2" t="s">
        <v>79</v>
      </c>
      <c r="BE126" s="2" t="s">
        <v>79</v>
      </c>
      <c r="BF126" s="2" t="s">
        <v>79</v>
      </c>
      <c r="BG126" s="2" t="s">
        <v>79</v>
      </c>
      <c r="BH126" s="2" t="s">
        <v>79</v>
      </c>
      <c r="BI126" s="2" t="s">
        <v>79</v>
      </c>
      <c r="BJ126" s="2" t="s">
        <v>79</v>
      </c>
      <c r="BK126" s="2" t="s">
        <v>79</v>
      </c>
      <c r="BL126" s="2" t="s">
        <v>79</v>
      </c>
      <c r="BM126" s="2" t="s">
        <v>79</v>
      </c>
      <c r="BN126" s="2" t="s">
        <v>79</v>
      </c>
      <c r="BO126" s="2" t="s">
        <v>79</v>
      </c>
      <c r="BP126" s="2" t="s">
        <v>79</v>
      </c>
      <c r="BQ126" s="2" t="s">
        <v>79</v>
      </c>
      <c r="BR126" s="2" t="s">
        <v>79</v>
      </c>
      <c r="BS126" s="2" t="s">
        <v>79</v>
      </c>
      <c r="BT126" s="2" t="s">
        <v>79</v>
      </c>
      <c r="BU126" s="2" t="s">
        <v>79</v>
      </c>
      <c r="BV126" s="2" t="s">
        <v>79</v>
      </c>
      <c r="BW126" s="2" t="s">
        <v>79</v>
      </c>
      <c r="BX126" s="2" t="s">
        <v>79</v>
      </c>
      <c r="BY126" s="2" t="s">
        <v>79</v>
      </c>
      <c r="BZ126" s="2" t="s">
        <v>79</v>
      </c>
      <c r="CA126" s="2" t="s">
        <v>79</v>
      </c>
      <c r="CB126">
        <f>TTEST(AS126:AW126,AI126:AM126,2,2)</f>
        <v>8.6381344737139048E-5</v>
      </c>
      <c r="CC126">
        <f>TTEST(AD126:AH126,AI126:AM126,2,2)</f>
        <v>2.7282086846571368E-4</v>
      </c>
      <c r="CD126">
        <f>TTEST(AN126:AR126,AI126:AM126,2,2)</f>
        <v>3.9518289908926946E-5</v>
      </c>
      <c r="CE126">
        <f>TTEST(AX126:BB126,AI126:AM126,2,2)</f>
        <v>1.5195996754622124E-4</v>
      </c>
      <c r="CF126">
        <v>63</v>
      </c>
      <c r="CG126">
        <v>121</v>
      </c>
      <c r="CH126">
        <v>36</v>
      </c>
      <c r="CI126">
        <v>41</v>
      </c>
      <c r="CJ126">
        <f>0.05*CF126/464</f>
        <v>6.7887931034482764E-3</v>
      </c>
      <c r="CK126">
        <f>0.05*CG126/464</f>
        <v>1.3038793103448278E-2</v>
      </c>
      <c r="CL126">
        <f>0.05*CH126/464</f>
        <v>3.8793103448275862E-3</v>
      </c>
      <c r="CM126">
        <f>0.05*CI126/464</f>
        <v>4.4181034482758622E-3</v>
      </c>
      <c r="CN126" t="str">
        <f>IF(CB126&lt;CJ126,"yes","no")</f>
        <v>yes</v>
      </c>
      <c r="CO126" t="str">
        <f>IF(CC126&lt;CK126,"yes","no")</f>
        <v>yes</v>
      </c>
      <c r="CP126" t="str">
        <f>IF(CD126&lt;CL126,"yes","no")</f>
        <v>yes</v>
      </c>
      <c r="CQ126" t="str">
        <f>IF(CE126&lt;CM126,"yes","no")</f>
        <v>yes</v>
      </c>
      <c r="CR126">
        <f>TTEST(AS126:AW126,AD126:AH126,2,2)</f>
        <v>1.1530376860036393E-3</v>
      </c>
      <c r="CS126">
        <f>TTEST(AS126:AW126,AN126:AR126,2,2)</f>
        <v>8.9547761013628797E-6</v>
      </c>
      <c r="CT126">
        <f>TTEST(AS126:AW126,AX126:BB126,2,2)</f>
        <v>1.695220090712684E-2</v>
      </c>
      <c r="CU126">
        <v>163</v>
      </c>
      <c r="CV126">
        <v>9</v>
      </c>
      <c r="CW126">
        <v>125</v>
      </c>
      <c r="CX126">
        <f t="shared" si="3"/>
        <v>1.7564655172413794E-2</v>
      </c>
      <c r="CY126">
        <f t="shared" si="4"/>
        <v>9.6982758620689654E-4</v>
      </c>
      <c r="CZ126">
        <f t="shared" si="5"/>
        <v>1.3469827586206896E-2</v>
      </c>
      <c r="DA126" t="str">
        <f>IF(CR126&lt;CX126,"yes","no")</f>
        <v>yes</v>
      </c>
      <c r="DB126" t="str">
        <f>IF(CS126&lt;CY126,"yes","no")</f>
        <v>yes</v>
      </c>
      <c r="DC126" t="str">
        <f>IF(CT126&lt;CZ126,"yes","no")</f>
        <v>no</v>
      </c>
    </row>
    <row r="127" spans="1:107" x14ac:dyDescent="0.2">
      <c r="A127" s="2" t="b">
        <v>0</v>
      </c>
      <c r="B127" s="2" t="s">
        <v>79</v>
      </c>
      <c r="C127" s="2" t="s">
        <v>80</v>
      </c>
      <c r="D127" s="2" t="s">
        <v>600</v>
      </c>
      <c r="E127" s="2" t="s">
        <v>601</v>
      </c>
      <c r="F127" s="2">
        <v>6</v>
      </c>
      <c r="G127" s="2">
        <v>6</v>
      </c>
      <c r="H127" s="2">
        <v>140.30000000000001</v>
      </c>
      <c r="I127" s="2">
        <v>6.87</v>
      </c>
      <c r="J127" s="2" t="s">
        <v>602</v>
      </c>
      <c r="K127" s="2" t="s">
        <v>603</v>
      </c>
      <c r="L127" s="2" t="s">
        <v>119</v>
      </c>
      <c r="M127" s="2" t="s">
        <v>83</v>
      </c>
      <c r="N127" s="2" t="s">
        <v>604</v>
      </c>
      <c r="O127" s="2">
        <v>1.2370000000000001</v>
      </c>
      <c r="P127" s="2">
        <v>0.92700000000000005</v>
      </c>
      <c r="Q127" s="2">
        <v>2.052</v>
      </c>
      <c r="R127" s="2">
        <v>0.49099999999999999</v>
      </c>
      <c r="S127" s="2">
        <v>1.5529999999999999</v>
      </c>
      <c r="T127" s="2">
        <v>0.38</v>
      </c>
      <c r="U127" s="2">
        <v>2.7480000000000002</v>
      </c>
      <c r="V127" s="2">
        <v>0.63400000000000001</v>
      </c>
      <c r="W127" s="2">
        <v>1.387</v>
      </c>
      <c r="X127" s="2">
        <v>1.97</v>
      </c>
      <c r="Y127" s="2">
        <v>155</v>
      </c>
      <c r="Z127" s="2">
        <v>56.7</v>
      </c>
      <c r="AA127" s="2">
        <v>96.6</v>
      </c>
      <c r="AB127" s="2">
        <v>118.1</v>
      </c>
      <c r="AC127" s="2">
        <v>73.599999999999994</v>
      </c>
      <c r="AD127" s="2">
        <v>1342393.78125</v>
      </c>
      <c r="AE127" s="2">
        <v>968131.0859375</v>
      </c>
      <c r="AF127" s="2">
        <v>929900.59375</v>
      </c>
      <c r="AG127" s="2">
        <v>984128.375</v>
      </c>
      <c r="AH127" s="2">
        <v>818607.171875</v>
      </c>
      <c r="AI127" s="2" t="s">
        <v>83</v>
      </c>
      <c r="AJ127" s="2" t="s">
        <v>83</v>
      </c>
      <c r="AK127" s="2">
        <v>3153.85986328125</v>
      </c>
      <c r="AL127" s="2">
        <v>22317.619140625</v>
      </c>
      <c r="AM127" s="2">
        <v>6409.34912109375</v>
      </c>
      <c r="AN127" s="2">
        <v>5744.96435546875</v>
      </c>
      <c r="AO127" s="2">
        <v>17556.6962890625</v>
      </c>
      <c r="AP127" s="2">
        <v>15544.4345703125</v>
      </c>
      <c r="AQ127" s="2">
        <v>26485.0908203125</v>
      </c>
      <c r="AR127" s="2">
        <v>7067.95556640625</v>
      </c>
      <c r="AS127" s="2">
        <v>95435.498046875</v>
      </c>
      <c r="AT127" s="2">
        <v>177271.49609375</v>
      </c>
      <c r="AU127" s="2">
        <v>85756.4140625</v>
      </c>
      <c r="AV127" s="2">
        <v>116171.99609375</v>
      </c>
      <c r="AW127" s="2">
        <v>150288.927734375</v>
      </c>
      <c r="AX127" s="2">
        <v>27082.943359375</v>
      </c>
      <c r="AY127" s="2" t="s">
        <v>83</v>
      </c>
      <c r="AZ127" s="2" t="s">
        <v>83</v>
      </c>
      <c r="BA127" s="2">
        <v>22472.333984375</v>
      </c>
      <c r="BB127" s="2" t="s">
        <v>83</v>
      </c>
      <c r="BC127" s="2" t="s">
        <v>79</v>
      </c>
      <c r="BD127" s="2" t="s">
        <v>79</v>
      </c>
      <c r="BE127" s="2" t="s">
        <v>79</v>
      </c>
      <c r="BF127" s="2" t="s">
        <v>79</v>
      </c>
      <c r="BG127" s="2" t="s">
        <v>79</v>
      </c>
      <c r="BH127" s="2" t="s">
        <v>98</v>
      </c>
      <c r="BI127" s="2" t="s">
        <v>98</v>
      </c>
      <c r="BJ127" s="2" t="s">
        <v>91</v>
      </c>
      <c r="BK127" s="2" t="s">
        <v>91</v>
      </c>
      <c r="BL127" s="2" t="s">
        <v>91</v>
      </c>
      <c r="BM127" s="2" t="s">
        <v>91</v>
      </c>
      <c r="BN127" s="2" t="s">
        <v>91</v>
      </c>
      <c r="BO127" s="2" t="s">
        <v>91</v>
      </c>
      <c r="BP127" s="2" t="s">
        <v>91</v>
      </c>
      <c r="BQ127" s="2" t="s">
        <v>91</v>
      </c>
      <c r="BR127" s="2" t="s">
        <v>79</v>
      </c>
      <c r="BS127" s="2" t="s">
        <v>79</v>
      </c>
      <c r="BT127" s="2" t="s">
        <v>91</v>
      </c>
      <c r="BU127" s="2" t="s">
        <v>79</v>
      </c>
      <c r="BV127" s="2" t="s">
        <v>79</v>
      </c>
      <c r="BW127" s="2" t="s">
        <v>91</v>
      </c>
      <c r="BX127" s="2" t="s">
        <v>98</v>
      </c>
      <c r="BY127" s="2" t="s">
        <v>98</v>
      </c>
      <c r="BZ127" s="2" t="s">
        <v>91</v>
      </c>
      <c r="CA127" s="2" t="s">
        <v>98</v>
      </c>
      <c r="CB127">
        <f>TTEST(AS127:AW127,AI127:AM127,2,2)</f>
        <v>2.6527758864553549E-3</v>
      </c>
      <c r="CC127">
        <f>TTEST(AD127:AH127,AI127:AM127,2,2)</f>
        <v>1.4793970628195871E-4</v>
      </c>
      <c r="CD127">
        <f>TTEST(AN127:AR127,AI127:AM127,2,2)</f>
        <v>0.58295858025512337</v>
      </c>
      <c r="CE127">
        <f>TTEST(AX127:BB127,AI127:AM127,2,2)</f>
        <v>0.16860909874378319</v>
      </c>
      <c r="CF127">
        <v>112</v>
      </c>
      <c r="CG127">
        <v>117</v>
      </c>
      <c r="CH127">
        <v>194</v>
      </c>
      <c r="CI127">
        <v>127</v>
      </c>
      <c r="CJ127">
        <f>0.05*CF127/464</f>
        <v>1.2068965517241381E-2</v>
      </c>
      <c r="CK127">
        <f>0.05*CG127/464</f>
        <v>1.2607758620689656E-2</v>
      </c>
      <c r="CL127">
        <f>0.05*CH127/464</f>
        <v>2.0905172413793107E-2</v>
      </c>
      <c r="CM127">
        <f>0.05*CI127/464</f>
        <v>1.3685344827586208E-2</v>
      </c>
      <c r="CN127" t="str">
        <f>IF(CB127&lt;CJ127,"yes","no")</f>
        <v>yes</v>
      </c>
      <c r="CO127" t="str">
        <f>IF(CC127&lt;CK127,"yes","no")</f>
        <v>yes</v>
      </c>
      <c r="CP127" t="str">
        <f>IF(CD127&lt;CL127,"yes","no")</f>
        <v>no</v>
      </c>
      <c r="CQ127" t="str">
        <f>IF(CE127&lt;CM127,"yes","no")</f>
        <v>no</v>
      </c>
      <c r="CR127">
        <f>TTEST(AS127:AW127,AD127:AH127,2,2)</f>
        <v>9.6893718561651667E-6</v>
      </c>
      <c r="CS127">
        <f>TTEST(AS127:AW127,AN127:AR127,2,2)</f>
        <v>2.3233546305130294E-4</v>
      </c>
      <c r="CT127">
        <f>TTEST(AS127:AW127,AX127:BB127,2,2)</f>
        <v>1.7391880941701812E-2</v>
      </c>
      <c r="CU127">
        <v>98</v>
      </c>
      <c r="CV127">
        <v>66</v>
      </c>
      <c r="CW127">
        <v>126</v>
      </c>
      <c r="CX127">
        <f t="shared" si="3"/>
        <v>1.0560344827586207E-2</v>
      </c>
      <c r="CY127">
        <f t="shared" si="4"/>
        <v>7.1120689655172417E-3</v>
      </c>
      <c r="CZ127">
        <f t="shared" si="5"/>
        <v>1.3577586206896553E-2</v>
      </c>
      <c r="DA127" t="str">
        <f>IF(CR127&lt;CX127,"yes","no")</f>
        <v>yes</v>
      </c>
      <c r="DB127" t="str">
        <f>IF(CS127&lt;CY127,"yes","no")</f>
        <v>yes</v>
      </c>
      <c r="DC127" t="str">
        <f>IF(CT127&lt;CZ127,"yes","no")</f>
        <v>no</v>
      </c>
    </row>
    <row r="128" spans="1:107" x14ac:dyDescent="0.2">
      <c r="A128" s="2" t="b">
        <v>0</v>
      </c>
      <c r="B128" s="2" t="s">
        <v>79</v>
      </c>
      <c r="C128" s="2" t="s">
        <v>80</v>
      </c>
      <c r="D128" s="2" t="s">
        <v>568</v>
      </c>
      <c r="E128" s="2" t="s">
        <v>569</v>
      </c>
      <c r="F128" s="2">
        <v>3</v>
      </c>
      <c r="G128" s="2">
        <v>3</v>
      </c>
      <c r="H128" s="2">
        <v>13.5</v>
      </c>
      <c r="I128" s="2">
        <v>8.94</v>
      </c>
      <c r="J128" s="2" t="s">
        <v>254</v>
      </c>
      <c r="K128" s="2" t="s">
        <v>319</v>
      </c>
      <c r="L128" s="2" t="s">
        <v>83</v>
      </c>
      <c r="M128" s="2" t="s">
        <v>83</v>
      </c>
      <c r="N128" s="2" t="s">
        <v>568</v>
      </c>
      <c r="O128" s="2">
        <v>1.093</v>
      </c>
      <c r="P128" s="2">
        <v>0.67300000000000004</v>
      </c>
      <c r="Q128" s="2">
        <v>0.65600000000000003</v>
      </c>
      <c r="R128" s="2">
        <v>3.343</v>
      </c>
      <c r="S128" s="2">
        <v>3.49</v>
      </c>
      <c r="T128" s="2">
        <v>2.1259999999999999</v>
      </c>
      <c r="U128" s="2">
        <v>2.1019999999999999</v>
      </c>
      <c r="V128" s="2">
        <v>0.53300000000000003</v>
      </c>
      <c r="W128" s="2">
        <v>0.66500000000000004</v>
      </c>
      <c r="X128" s="2">
        <v>1.1060000000000001</v>
      </c>
      <c r="Y128" s="2">
        <v>140.30000000000001</v>
      </c>
      <c r="Z128" s="2">
        <v>32.200000000000003</v>
      </c>
      <c r="AA128" s="2">
        <v>148.6</v>
      </c>
      <c r="AB128" s="2">
        <v>89.4</v>
      </c>
      <c r="AC128" s="2">
        <v>89.4</v>
      </c>
      <c r="AD128" s="2">
        <v>5699068.73046875</v>
      </c>
      <c r="AE128" s="2">
        <v>4445217.3046875</v>
      </c>
      <c r="AF128" s="2">
        <v>4259849.375</v>
      </c>
      <c r="AG128" s="2">
        <v>5692980.609375</v>
      </c>
      <c r="AH128" s="2">
        <v>5048061.6875</v>
      </c>
      <c r="AI128" s="2">
        <v>29256.978515625</v>
      </c>
      <c r="AJ128" s="2">
        <v>18491.18359375</v>
      </c>
      <c r="AK128" s="2">
        <v>18338.337890625</v>
      </c>
      <c r="AL128" s="2">
        <v>46153.164550781301</v>
      </c>
      <c r="AM128" s="2">
        <v>18853.763671875</v>
      </c>
      <c r="AN128" s="2">
        <v>107452.16796875</v>
      </c>
      <c r="AO128" s="2">
        <v>102202.798828125</v>
      </c>
      <c r="AP128" s="2">
        <v>112416.94921875</v>
      </c>
      <c r="AQ128" s="2">
        <v>75086.364990234404</v>
      </c>
      <c r="AR128" s="2">
        <v>133231.75390625</v>
      </c>
      <c r="AS128" s="2">
        <v>377091.923828125</v>
      </c>
      <c r="AT128" s="2">
        <v>692500.11328125</v>
      </c>
      <c r="AU128" s="2">
        <v>400047.103515625</v>
      </c>
      <c r="AV128" s="2">
        <v>455469.771484375</v>
      </c>
      <c r="AW128" s="2">
        <v>538239.568359375</v>
      </c>
      <c r="AX128" s="2">
        <v>153284.8828125</v>
      </c>
      <c r="AY128" s="2">
        <v>137319.166015625</v>
      </c>
      <c r="AZ128" s="2">
        <v>368708.15185546898</v>
      </c>
      <c r="BA128" s="2">
        <v>416023.0234375</v>
      </c>
      <c r="BB128" s="2">
        <v>126183.923828125</v>
      </c>
      <c r="BC128" s="2" t="s">
        <v>79</v>
      </c>
      <c r="BD128" s="2" t="s">
        <v>79</v>
      </c>
      <c r="BE128" s="2" t="s">
        <v>79</v>
      </c>
      <c r="BF128" s="2" t="s">
        <v>79</v>
      </c>
      <c r="BG128" s="2" t="s">
        <v>79</v>
      </c>
      <c r="BH128" s="2" t="s">
        <v>79</v>
      </c>
      <c r="BI128" s="2" t="s">
        <v>79</v>
      </c>
      <c r="BJ128" s="2" t="s">
        <v>79</v>
      </c>
      <c r="BK128" s="2" t="s">
        <v>79</v>
      </c>
      <c r="BL128" s="2" t="s">
        <v>79</v>
      </c>
      <c r="BM128" s="2" t="s">
        <v>79</v>
      </c>
      <c r="BN128" s="2" t="s">
        <v>79</v>
      </c>
      <c r="BO128" s="2" t="s">
        <v>79</v>
      </c>
      <c r="BP128" s="2" t="s">
        <v>79</v>
      </c>
      <c r="BQ128" s="2" t="s">
        <v>79</v>
      </c>
      <c r="BR128" s="2" t="s">
        <v>79</v>
      </c>
      <c r="BS128" s="2" t="s">
        <v>79</v>
      </c>
      <c r="BT128" s="2" t="s">
        <v>79</v>
      </c>
      <c r="BU128" s="2" t="s">
        <v>79</v>
      </c>
      <c r="BV128" s="2" t="s">
        <v>79</v>
      </c>
      <c r="BW128" s="2" t="s">
        <v>79</v>
      </c>
      <c r="BX128" s="2" t="s">
        <v>79</v>
      </c>
      <c r="BY128" s="2" t="s">
        <v>79</v>
      </c>
      <c r="BZ128" s="2" t="s">
        <v>79</v>
      </c>
      <c r="CA128" s="2" t="s">
        <v>79</v>
      </c>
      <c r="CB128">
        <f>TTEST(AS128:AW128,AI128:AM128,2,2)</f>
        <v>3.9041136488312136E-5</v>
      </c>
      <c r="CC128">
        <f>TTEST(AD128:AH128,AI128:AM128,2,2)</f>
        <v>1.7774817990077748E-7</v>
      </c>
      <c r="CD128">
        <f>TTEST(AN128:AR128,AI128:AM128,2,2)</f>
        <v>7.7161483222153184E-5</v>
      </c>
      <c r="CE128">
        <f>TTEST(AX128:BB128,AI128:AM128,2,2)</f>
        <v>9.3172442535372855E-3</v>
      </c>
      <c r="CF128">
        <v>44</v>
      </c>
      <c r="CG128">
        <v>28</v>
      </c>
      <c r="CH128">
        <v>48</v>
      </c>
      <c r="CI128">
        <v>81</v>
      </c>
      <c r="CJ128">
        <f>0.05*CF128/464</f>
        <v>4.7413793103448284E-3</v>
      </c>
      <c r="CK128">
        <f>0.05*CG128/464</f>
        <v>3.0172413793103452E-3</v>
      </c>
      <c r="CL128">
        <f>0.05*CH128/464</f>
        <v>5.1724137931034491E-3</v>
      </c>
      <c r="CM128">
        <f>0.05*CI128/464</f>
        <v>8.7284482758620691E-3</v>
      </c>
      <c r="CN128" t="str">
        <f>IF(CB128&lt;CJ128,"yes","no")</f>
        <v>yes</v>
      </c>
      <c r="CO128" t="str">
        <f>IF(CC128&lt;CK128,"yes","no")</f>
        <v>yes</v>
      </c>
      <c r="CP128" t="str">
        <f>IF(CD128&lt;CL128,"yes","no")</f>
        <v>yes</v>
      </c>
      <c r="CQ128" t="str">
        <f>IF(CE128&lt;CM128,"yes","no")</f>
        <v>no</v>
      </c>
      <c r="CR128">
        <f>TTEST(AS128:AW128,AD128:AH128,2,2)</f>
        <v>4.3554365513000962E-7</v>
      </c>
      <c r="CS128">
        <f>TTEST(AS128:AW128,AN128:AR128,2,2)</f>
        <v>1.5668774479668206E-4</v>
      </c>
      <c r="CT128">
        <f>TTEST(AS128:AW128,AX128:BB128,2,2)</f>
        <v>1.7728941354161584E-2</v>
      </c>
      <c r="CU128">
        <v>37</v>
      </c>
      <c r="CV128">
        <v>53</v>
      </c>
      <c r="CW128">
        <v>127</v>
      </c>
      <c r="CX128">
        <f t="shared" si="3"/>
        <v>3.9870689655172415E-3</v>
      </c>
      <c r="CY128">
        <f t="shared" si="4"/>
        <v>5.7112068965517251E-3</v>
      </c>
      <c r="CZ128">
        <f t="shared" si="5"/>
        <v>1.3685344827586208E-2</v>
      </c>
      <c r="DA128" t="str">
        <f>IF(CR128&lt;CX128,"yes","no")</f>
        <v>yes</v>
      </c>
      <c r="DB128" t="str">
        <f>IF(CS128&lt;CY128,"yes","no")</f>
        <v>yes</v>
      </c>
      <c r="DC128" t="str">
        <f>IF(CT128&lt;CZ128,"yes","no")</f>
        <v>no</v>
      </c>
    </row>
    <row r="129" spans="1:107" x14ac:dyDescent="0.2">
      <c r="A129" s="2" t="b">
        <v>0</v>
      </c>
      <c r="B129" s="2" t="s">
        <v>79</v>
      </c>
      <c r="C129" s="2" t="s">
        <v>80</v>
      </c>
      <c r="D129" s="2" t="s">
        <v>273</v>
      </c>
      <c r="E129" s="2" t="s">
        <v>274</v>
      </c>
      <c r="F129" s="2">
        <v>8</v>
      </c>
      <c r="G129" s="2">
        <v>2</v>
      </c>
      <c r="H129" s="2">
        <v>59.3</v>
      </c>
      <c r="I129" s="2">
        <v>7.74</v>
      </c>
      <c r="J129" s="2" t="s">
        <v>89</v>
      </c>
      <c r="K129" s="2" t="s">
        <v>83</v>
      </c>
      <c r="L129" s="2" t="s">
        <v>102</v>
      </c>
      <c r="M129" s="2" t="s">
        <v>83</v>
      </c>
      <c r="N129" s="2" t="s">
        <v>273</v>
      </c>
      <c r="O129" s="2">
        <v>6.69</v>
      </c>
      <c r="P129" s="2">
        <v>17.183</v>
      </c>
      <c r="Q129" s="2" t="s">
        <v>83</v>
      </c>
      <c r="R129" s="2">
        <v>100</v>
      </c>
      <c r="S129" s="2">
        <v>100</v>
      </c>
      <c r="T129" s="2">
        <v>100</v>
      </c>
      <c r="U129" s="2">
        <v>100</v>
      </c>
      <c r="V129" s="2">
        <v>2.5680000000000001</v>
      </c>
      <c r="W129" s="2" t="s">
        <v>83</v>
      </c>
      <c r="X129" s="2">
        <v>0.23599999999999999</v>
      </c>
      <c r="Y129" s="2">
        <v>6.3</v>
      </c>
      <c r="Z129" s="2" t="s">
        <v>83</v>
      </c>
      <c r="AA129" s="2">
        <v>41.1</v>
      </c>
      <c r="AB129" s="2">
        <v>394.7</v>
      </c>
      <c r="AC129" s="2">
        <v>57.9</v>
      </c>
      <c r="AD129" s="2">
        <v>57574.59765625</v>
      </c>
      <c r="AE129" s="2">
        <v>46927.13671875</v>
      </c>
      <c r="AF129" s="2">
        <v>57507.95703125</v>
      </c>
      <c r="AG129" s="2">
        <v>31340.21484375</v>
      </c>
      <c r="AH129" s="2">
        <v>50602.83984375</v>
      </c>
      <c r="AI129" s="2" t="s">
        <v>83</v>
      </c>
      <c r="AJ129" s="2" t="s">
        <v>83</v>
      </c>
      <c r="AK129" s="2" t="s">
        <v>83</v>
      </c>
      <c r="AL129" s="2" t="s">
        <v>83</v>
      </c>
      <c r="AM129" s="2" t="s">
        <v>83</v>
      </c>
      <c r="AN129" s="2" t="s">
        <v>83</v>
      </c>
      <c r="AO129" s="2">
        <v>5104.35546875</v>
      </c>
      <c r="AP129" s="2">
        <v>12404.32421875</v>
      </c>
      <c r="AQ129" s="2">
        <v>4315.5654296875</v>
      </c>
      <c r="AR129" s="2" t="s">
        <v>83</v>
      </c>
      <c r="AS129" s="2">
        <v>449678.90527343802</v>
      </c>
      <c r="AT129" s="2">
        <v>755881.36425781297</v>
      </c>
      <c r="AU129" s="2">
        <v>323153.87841796898</v>
      </c>
      <c r="AV129" s="2">
        <v>335741.89404296898</v>
      </c>
      <c r="AW129" s="2">
        <v>595877.24121093797</v>
      </c>
      <c r="AX129" s="2">
        <v>18711.515625</v>
      </c>
      <c r="AY129" s="2" t="s">
        <v>83</v>
      </c>
      <c r="AZ129" s="2">
        <v>33233.13671875</v>
      </c>
      <c r="BA129" s="2" t="s">
        <v>83</v>
      </c>
      <c r="BB129" s="2" t="s">
        <v>83</v>
      </c>
      <c r="BC129" s="2" t="s">
        <v>79</v>
      </c>
      <c r="BD129" s="2" t="s">
        <v>79</v>
      </c>
      <c r="BE129" s="2" t="s">
        <v>79</v>
      </c>
      <c r="BF129" s="2" t="s">
        <v>79</v>
      </c>
      <c r="BG129" s="2" t="s">
        <v>91</v>
      </c>
      <c r="BH129" s="2" t="s">
        <v>98</v>
      </c>
      <c r="BI129" s="2" t="s">
        <v>98</v>
      </c>
      <c r="BJ129" s="2" t="s">
        <v>98</v>
      </c>
      <c r="BK129" s="2" t="s">
        <v>98</v>
      </c>
      <c r="BL129" s="2" t="s">
        <v>98</v>
      </c>
      <c r="BM129" s="2" t="s">
        <v>98</v>
      </c>
      <c r="BN129" s="2" t="s">
        <v>91</v>
      </c>
      <c r="BO129" s="2" t="s">
        <v>91</v>
      </c>
      <c r="BP129" s="2" t="s">
        <v>91</v>
      </c>
      <c r="BQ129" s="2" t="s">
        <v>98</v>
      </c>
      <c r="BR129" s="2" t="s">
        <v>79</v>
      </c>
      <c r="BS129" s="2" t="s">
        <v>79</v>
      </c>
      <c r="BT129" s="2" t="s">
        <v>79</v>
      </c>
      <c r="BU129" s="2" t="s">
        <v>79</v>
      </c>
      <c r="BV129" s="2" t="s">
        <v>79</v>
      </c>
      <c r="BW129" s="2" t="s">
        <v>91</v>
      </c>
      <c r="BX129" s="2" t="s">
        <v>98</v>
      </c>
      <c r="BY129" s="2" t="s">
        <v>91</v>
      </c>
      <c r="BZ129" s="2" t="s">
        <v>98</v>
      </c>
      <c r="CA129" s="2" t="s">
        <v>98</v>
      </c>
      <c r="CB129" t="e">
        <f>TTEST(AS129:AW129,AI129:AM129,2,2)</f>
        <v>#DIV/0!</v>
      </c>
      <c r="CC129" t="e">
        <f>TTEST(AD129:AH129,AI129:AM129,2,2)</f>
        <v>#DIV/0!</v>
      </c>
      <c r="CD129" t="e">
        <f>TTEST(AN129:AR129,AI129:AM129,2,2)</f>
        <v>#DIV/0!</v>
      </c>
      <c r="CE129" t="e">
        <f>TTEST(AX129:BB129,AI129:AM129,2,2)</f>
        <v>#DIV/0!</v>
      </c>
      <c r="CF129">
        <v>257</v>
      </c>
      <c r="CG129">
        <v>271</v>
      </c>
      <c r="CH129">
        <v>275</v>
      </c>
      <c r="CI129">
        <v>233</v>
      </c>
      <c r="CJ129">
        <f>0.05*CF129/464</f>
        <v>2.7693965517241383E-2</v>
      </c>
      <c r="CK129">
        <f>0.05*CG129/464</f>
        <v>2.9202586206896555E-2</v>
      </c>
      <c r="CL129">
        <f>0.05*CH129/464</f>
        <v>2.9633620689655173E-2</v>
      </c>
      <c r="CM129">
        <f>0.05*CI129/464</f>
        <v>2.5107758620689657E-2</v>
      </c>
      <c r="CN129" t="e">
        <f>IF(CB129&lt;CJ129,"yes","no")</f>
        <v>#DIV/0!</v>
      </c>
      <c r="CO129" t="e">
        <f>IF(CC129&lt;CK129,"yes","no")</f>
        <v>#DIV/0!</v>
      </c>
      <c r="CP129" t="e">
        <f>IF(CD129&lt;CL129,"yes","no")</f>
        <v>#DIV/0!</v>
      </c>
      <c r="CQ129" t="e">
        <f>IF(CE129&lt;CM129,"yes","no")</f>
        <v>#DIV/0!</v>
      </c>
      <c r="CR129">
        <f>TTEST(AS129:AW129,AD129:AH129,2,2)</f>
        <v>6.5900269909019069E-4</v>
      </c>
      <c r="CS129">
        <f>TTEST(AS129:AW129,AN129:AR129,2,2)</f>
        <v>4.4585806123594862E-3</v>
      </c>
      <c r="CT129">
        <f>TTEST(AS129:AW129,AX129:BB129,2,2)</f>
        <v>1.9519522838504996E-2</v>
      </c>
      <c r="CU129">
        <v>155</v>
      </c>
      <c r="CV129">
        <v>118</v>
      </c>
      <c r="CW129">
        <v>128</v>
      </c>
      <c r="CX129">
        <f t="shared" si="3"/>
        <v>1.670258620689655E-2</v>
      </c>
      <c r="CY129">
        <f t="shared" si="4"/>
        <v>1.2715517241379311E-2</v>
      </c>
      <c r="CZ129">
        <f t="shared" si="5"/>
        <v>1.3793103448275864E-2</v>
      </c>
      <c r="DA129" t="str">
        <f>IF(CR129&lt;CX129,"yes","no")</f>
        <v>yes</v>
      </c>
      <c r="DB129" t="str">
        <f>IF(CS129&lt;CY129,"yes","no")</f>
        <v>yes</v>
      </c>
      <c r="DC129" t="str">
        <f>IF(CT129&lt;CZ129,"yes","no")</f>
        <v>no</v>
      </c>
    </row>
    <row r="130" spans="1:107" x14ac:dyDescent="0.2">
      <c r="A130" s="2" t="b">
        <v>0</v>
      </c>
      <c r="B130" s="2" t="s">
        <v>79</v>
      </c>
      <c r="C130" s="2" t="s">
        <v>80</v>
      </c>
      <c r="D130" s="2" t="s">
        <v>249</v>
      </c>
      <c r="E130" s="2" t="s">
        <v>250</v>
      </c>
      <c r="F130" s="2">
        <v>12</v>
      </c>
      <c r="G130" s="2">
        <v>1</v>
      </c>
      <c r="H130" s="2">
        <v>46.5</v>
      </c>
      <c r="I130" s="2">
        <v>5.44</v>
      </c>
      <c r="J130" s="2" t="s">
        <v>83</v>
      </c>
      <c r="K130" s="2" t="s">
        <v>84</v>
      </c>
      <c r="L130" s="2" t="s">
        <v>85</v>
      </c>
      <c r="M130" s="2" t="s">
        <v>83</v>
      </c>
      <c r="N130" s="2" t="s">
        <v>251</v>
      </c>
      <c r="O130" s="2">
        <v>100</v>
      </c>
      <c r="P130" s="2">
        <v>100</v>
      </c>
      <c r="Q130" s="2">
        <v>100</v>
      </c>
      <c r="R130" s="2">
        <v>0.01</v>
      </c>
      <c r="S130" s="2">
        <v>3.5979999999999999</v>
      </c>
      <c r="T130" s="2">
        <v>0.107</v>
      </c>
      <c r="U130" s="2">
        <v>0.192</v>
      </c>
      <c r="V130" s="2">
        <v>2.7E-2</v>
      </c>
      <c r="W130" s="2">
        <v>4.4999999999999998E-2</v>
      </c>
      <c r="X130" s="2">
        <v>1.5960000000000001</v>
      </c>
      <c r="Y130" s="2" t="s">
        <v>83</v>
      </c>
      <c r="Z130" s="2">
        <v>102.1</v>
      </c>
      <c r="AA130" s="2">
        <v>367.4</v>
      </c>
      <c r="AB130" s="2">
        <v>10.9</v>
      </c>
      <c r="AC130" s="2">
        <v>19.600000000000001</v>
      </c>
      <c r="AD130" s="2" t="s">
        <v>83</v>
      </c>
      <c r="AE130" s="2" t="s">
        <v>83</v>
      </c>
      <c r="AF130" s="2" t="s">
        <v>83</v>
      </c>
      <c r="AG130" s="2" t="s">
        <v>83</v>
      </c>
      <c r="AH130" s="2" t="s">
        <v>83</v>
      </c>
      <c r="AI130" s="2">
        <v>17019.70703125</v>
      </c>
      <c r="AJ130" s="2" t="s">
        <v>83</v>
      </c>
      <c r="AK130" s="2" t="s">
        <v>83</v>
      </c>
      <c r="AL130" s="2" t="s">
        <v>83</v>
      </c>
      <c r="AM130" s="2" t="s">
        <v>83</v>
      </c>
      <c r="AN130" s="2">
        <v>76158.1953125</v>
      </c>
      <c r="AO130" s="2" t="s">
        <v>83</v>
      </c>
      <c r="AP130" s="2">
        <v>66427.3125</v>
      </c>
      <c r="AQ130" s="2">
        <v>45837.1171875</v>
      </c>
      <c r="AR130" s="2" t="s">
        <v>83</v>
      </c>
      <c r="AS130" s="2">
        <v>18529.279296875</v>
      </c>
      <c r="AT130" s="2">
        <v>11906.6806640625</v>
      </c>
      <c r="AU130" s="2">
        <v>14708.640625</v>
      </c>
      <c r="AV130" s="2" t="s">
        <v>83</v>
      </c>
      <c r="AW130" s="2">
        <v>10309.1572265625</v>
      </c>
      <c r="AX130" s="2">
        <v>6212.45263671875</v>
      </c>
      <c r="AY130" s="2">
        <v>6682.142578125</v>
      </c>
      <c r="AZ130" s="2" t="s">
        <v>83</v>
      </c>
      <c r="BA130" s="2">
        <v>8738.169921875</v>
      </c>
      <c r="BB130" s="2">
        <v>10027.939453125</v>
      </c>
      <c r="BC130" s="2" t="s">
        <v>79</v>
      </c>
      <c r="BD130" s="2" t="s">
        <v>79</v>
      </c>
      <c r="BE130" s="2" t="s">
        <v>79</v>
      </c>
      <c r="BF130" s="2" t="s">
        <v>79</v>
      </c>
      <c r="BG130" s="2" t="s">
        <v>79</v>
      </c>
      <c r="BH130" s="2" t="s">
        <v>91</v>
      </c>
      <c r="BI130" s="2" t="s">
        <v>91</v>
      </c>
      <c r="BJ130" s="2" t="s">
        <v>91</v>
      </c>
      <c r="BK130" s="2" t="s">
        <v>91</v>
      </c>
      <c r="BL130" s="2" t="s">
        <v>91</v>
      </c>
      <c r="BM130" s="2" t="s">
        <v>79</v>
      </c>
      <c r="BN130" s="2" t="s">
        <v>79</v>
      </c>
      <c r="BO130" s="2" t="s">
        <v>79</v>
      </c>
      <c r="BP130" s="2" t="s">
        <v>79</v>
      </c>
      <c r="BQ130" s="2" t="s">
        <v>79</v>
      </c>
      <c r="BR130" s="2" t="s">
        <v>79</v>
      </c>
      <c r="BS130" s="2" t="s">
        <v>79</v>
      </c>
      <c r="BT130" s="2" t="s">
        <v>79</v>
      </c>
      <c r="BU130" s="2" t="s">
        <v>79</v>
      </c>
      <c r="BV130" s="2" t="s">
        <v>79</v>
      </c>
      <c r="BW130" s="2" t="s">
        <v>91</v>
      </c>
      <c r="BX130" s="2" t="s">
        <v>91</v>
      </c>
      <c r="BY130" s="2" t="s">
        <v>79</v>
      </c>
      <c r="BZ130" s="2" t="s">
        <v>79</v>
      </c>
      <c r="CA130" s="2" t="s">
        <v>79</v>
      </c>
      <c r="CB130" t="e">
        <f>TTEST(AS130:AW130,AI130:AM130,2,2)</f>
        <v>#DIV/0!</v>
      </c>
      <c r="CC130" t="e">
        <f>TTEST(AD130:AH130,AI130:AM130,2,2)</f>
        <v>#DIV/0!</v>
      </c>
      <c r="CD130" t="e">
        <f>TTEST(AN130:AR130,AI130:AM130,2,2)</f>
        <v>#DIV/0!</v>
      </c>
      <c r="CE130" t="e">
        <f>TTEST(AX130:BB130,AI130:AM130,2,2)</f>
        <v>#DIV/0!</v>
      </c>
      <c r="CF130">
        <v>431</v>
      </c>
      <c r="CG130">
        <v>440</v>
      </c>
      <c r="CH130">
        <v>443</v>
      </c>
      <c r="CI130">
        <v>222</v>
      </c>
      <c r="CJ130">
        <f>0.05*CF130/464</f>
        <v>4.6443965517241378E-2</v>
      </c>
      <c r="CK130">
        <f>0.05*CG130/464</f>
        <v>4.7413793103448273E-2</v>
      </c>
      <c r="CL130">
        <f>0.05*CH130/464</f>
        <v>4.7737068965517243E-2</v>
      </c>
      <c r="CM130">
        <f>0.05*CI130/464</f>
        <v>2.3922413793103451E-2</v>
      </c>
      <c r="CN130" t="e">
        <f>IF(CB130&lt;CJ130,"yes","no")</f>
        <v>#DIV/0!</v>
      </c>
      <c r="CO130" t="e">
        <f>IF(CC130&lt;CK130,"yes","no")</f>
        <v>#DIV/0!</v>
      </c>
      <c r="CP130" t="e">
        <f>IF(CD130&lt;CL130,"yes","no")</f>
        <v>#DIV/0!</v>
      </c>
      <c r="CQ130" t="e">
        <f>IF(CE130&lt;CM130,"yes","no")</f>
        <v>#DIV/0!</v>
      </c>
      <c r="CR130" t="e">
        <f>TTEST(AS130:AW130,AD130:AH130,2,2)</f>
        <v>#DIV/0!</v>
      </c>
      <c r="CS130">
        <f>TTEST(AS130:AW130,AN130:AR130,2,2)</f>
        <v>1.4885662328422724E-3</v>
      </c>
      <c r="CT130">
        <f>TTEST(AS130:AW130,AX130:BB130,2,2)</f>
        <v>2.5330558570483112E-2</v>
      </c>
      <c r="CU130">
        <v>443</v>
      </c>
      <c r="CV130">
        <v>97</v>
      </c>
      <c r="CW130">
        <v>129</v>
      </c>
      <c r="CX130">
        <f t="shared" si="3"/>
        <v>4.7737068965517243E-2</v>
      </c>
      <c r="CY130">
        <f t="shared" si="4"/>
        <v>1.0452586206896554E-2</v>
      </c>
      <c r="CZ130">
        <f t="shared" si="5"/>
        <v>1.3900862068965517E-2</v>
      </c>
      <c r="DA130" t="e">
        <f>IF(CR130&lt;CX130,"yes","no")</f>
        <v>#DIV/0!</v>
      </c>
      <c r="DB130" t="str">
        <f>IF(CS130&lt;CY130,"yes","no")</f>
        <v>yes</v>
      </c>
      <c r="DC130" t="str">
        <f>IF(CT130&lt;CZ130,"yes","no")</f>
        <v>no</v>
      </c>
    </row>
    <row r="131" spans="1:107" x14ac:dyDescent="0.2">
      <c r="A131" s="2" t="b">
        <v>0</v>
      </c>
      <c r="B131" s="2" t="s">
        <v>79</v>
      </c>
      <c r="C131" s="2" t="s">
        <v>80</v>
      </c>
      <c r="D131" s="2" t="s">
        <v>1113</v>
      </c>
      <c r="E131" s="2" t="s">
        <v>1114</v>
      </c>
      <c r="F131" s="2">
        <v>3</v>
      </c>
      <c r="G131" s="2">
        <v>3</v>
      </c>
      <c r="H131" s="2">
        <v>68.400000000000006</v>
      </c>
      <c r="I131" s="2">
        <v>6.7</v>
      </c>
      <c r="J131" s="2" t="s">
        <v>1115</v>
      </c>
      <c r="K131" s="2" t="s">
        <v>1116</v>
      </c>
      <c r="L131" s="2" t="s">
        <v>119</v>
      </c>
      <c r="M131" s="2" t="s">
        <v>1117</v>
      </c>
      <c r="N131" s="2" t="s">
        <v>1113</v>
      </c>
      <c r="O131" s="2">
        <v>3.68</v>
      </c>
      <c r="P131" s="2">
        <v>0.78300000000000003</v>
      </c>
      <c r="Q131" s="2">
        <v>0.81100000000000005</v>
      </c>
      <c r="R131" s="2">
        <v>0.39400000000000002</v>
      </c>
      <c r="S131" s="2">
        <v>1.8220000000000001</v>
      </c>
      <c r="T131" s="2">
        <v>0.159</v>
      </c>
      <c r="U131" s="2">
        <v>0.15</v>
      </c>
      <c r="V131" s="2">
        <v>0.21</v>
      </c>
      <c r="W131" s="2">
        <v>0.219</v>
      </c>
      <c r="X131" s="2">
        <v>1.0780000000000001</v>
      </c>
      <c r="Y131" s="2">
        <v>81.400000000000006</v>
      </c>
      <c r="Z131" s="2">
        <v>136.9</v>
      </c>
      <c r="AA131" s="2">
        <v>234.4</v>
      </c>
      <c r="AB131" s="2">
        <v>28.2</v>
      </c>
      <c r="AC131" s="2">
        <v>19</v>
      </c>
      <c r="AD131" s="2">
        <v>927207.3125</v>
      </c>
      <c r="AE131" s="2">
        <v>871175.890625</v>
      </c>
      <c r="AF131" s="2">
        <v>604440.296875</v>
      </c>
      <c r="AG131" s="2">
        <v>429770.921875</v>
      </c>
      <c r="AH131" s="2">
        <v>154367.578125</v>
      </c>
      <c r="AI131" s="2">
        <v>39480.246582031301</v>
      </c>
      <c r="AJ131" s="2">
        <v>56673.033203125</v>
      </c>
      <c r="AK131" s="2">
        <v>18870.8896484375</v>
      </c>
      <c r="AL131" s="2">
        <v>34943.630371093801</v>
      </c>
      <c r="AM131" s="2">
        <v>9033.748046875</v>
      </c>
      <c r="AN131" s="2">
        <v>26970.455078125</v>
      </c>
      <c r="AO131" s="2">
        <v>43066.771484375</v>
      </c>
      <c r="AP131" s="2">
        <v>47340.060546875</v>
      </c>
      <c r="AQ131" s="2">
        <v>14961.369140625</v>
      </c>
      <c r="AR131" s="2">
        <v>74594.478515625</v>
      </c>
      <c r="AS131" s="2">
        <v>17642.009765625</v>
      </c>
      <c r="AT131" s="2">
        <v>51785.5166015625</v>
      </c>
      <c r="AU131" s="2">
        <v>68385.0859375</v>
      </c>
      <c r="AV131" s="2">
        <v>19387.96875</v>
      </c>
      <c r="AW131" s="2">
        <v>53674.6484375</v>
      </c>
      <c r="AX131" s="2">
        <v>7899.0703125</v>
      </c>
      <c r="AY131" s="2">
        <v>24097.681640625</v>
      </c>
      <c r="AZ131" s="2">
        <v>7796.23828125</v>
      </c>
      <c r="BA131" s="2">
        <v>7502.06103515625</v>
      </c>
      <c r="BB131" s="2">
        <v>19813.084472656301</v>
      </c>
      <c r="BC131" s="2" t="s">
        <v>79</v>
      </c>
      <c r="BD131" s="2" t="s">
        <v>79</v>
      </c>
      <c r="BE131" s="2" t="s">
        <v>79</v>
      </c>
      <c r="BF131" s="2" t="s">
        <v>79</v>
      </c>
      <c r="BG131" s="2" t="s">
        <v>79</v>
      </c>
      <c r="BH131" s="2" t="s">
        <v>91</v>
      </c>
      <c r="BI131" s="2" t="s">
        <v>91</v>
      </c>
      <c r="BJ131" s="2" t="s">
        <v>91</v>
      </c>
      <c r="BK131" s="2" t="s">
        <v>91</v>
      </c>
      <c r="BL131" s="2" t="s">
        <v>91</v>
      </c>
      <c r="BM131" s="2" t="s">
        <v>91</v>
      </c>
      <c r="BN131" s="2" t="s">
        <v>91</v>
      </c>
      <c r="BO131" s="2" t="s">
        <v>91</v>
      </c>
      <c r="BP131" s="2" t="s">
        <v>91</v>
      </c>
      <c r="BQ131" s="2" t="s">
        <v>91</v>
      </c>
      <c r="BR131" s="2" t="s">
        <v>91</v>
      </c>
      <c r="BS131" s="2" t="s">
        <v>91</v>
      </c>
      <c r="BT131" s="2" t="s">
        <v>91</v>
      </c>
      <c r="BU131" s="2" t="s">
        <v>91</v>
      </c>
      <c r="BV131" s="2" t="s">
        <v>91</v>
      </c>
      <c r="BW131" s="2" t="s">
        <v>91</v>
      </c>
      <c r="BX131" s="2" t="s">
        <v>91</v>
      </c>
      <c r="BY131" s="2" t="s">
        <v>91</v>
      </c>
      <c r="BZ131" s="2" t="s">
        <v>91</v>
      </c>
      <c r="CA131" s="2" t="s">
        <v>91</v>
      </c>
      <c r="CB131">
        <f>TTEST(AS131:AW131,AI131:AM131,2,2)</f>
        <v>0.4495315470789456</v>
      </c>
      <c r="CC131">
        <f>TTEST(AD131:AH131,AI131:AM131,2,2)</f>
        <v>4.2208784459100111E-3</v>
      </c>
      <c r="CD131">
        <f>TTEST(AN131:AR131,AI131:AM131,2,2)</f>
        <v>0.48444061062948407</v>
      </c>
      <c r="CE131">
        <f>TTEST(AX131:BB131,AI131:AM131,2,2)</f>
        <v>7.5800457194141177E-2</v>
      </c>
      <c r="CF131">
        <v>194</v>
      </c>
      <c r="CG131">
        <v>153</v>
      </c>
      <c r="CH131">
        <v>184</v>
      </c>
      <c r="CI131">
        <v>117</v>
      </c>
      <c r="CJ131">
        <f>0.05*CF131/464</f>
        <v>2.0905172413793107E-2</v>
      </c>
      <c r="CK131">
        <f>0.05*CG131/464</f>
        <v>1.6487068965517243E-2</v>
      </c>
      <c r="CL131">
        <f>0.05*CH131/464</f>
        <v>1.9827586206896553E-2</v>
      </c>
      <c r="CM131">
        <f>0.05*CI131/464</f>
        <v>1.2607758620689656E-2</v>
      </c>
      <c r="CN131" t="str">
        <f>IF(CB131&lt;CJ131,"yes","no")</f>
        <v>no</v>
      </c>
      <c r="CO131" t="str">
        <f>IF(CC131&lt;CK131,"yes","no")</f>
        <v>yes</v>
      </c>
      <c r="CP131" t="str">
        <f>IF(CD131&lt;CL131,"yes","no")</f>
        <v>no</v>
      </c>
      <c r="CQ131" t="str">
        <f>IF(CE131&lt;CM131,"yes","no")</f>
        <v>no</v>
      </c>
      <c r="CR131">
        <f>TTEST(AS131:AW131,AD131:AH131,2,2)</f>
        <v>4.6951205469512938E-3</v>
      </c>
      <c r="CS131">
        <f>TTEST(AS131:AW131,AN131:AR131,2,2)</f>
        <v>0.95733166769064049</v>
      </c>
      <c r="CT131">
        <f>TTEST(AS131:AW131,AX131:BB131,2,2)</f>
        <v>2.7486780030059697E-2</v>
      </c>
      <c r="CU131">
        <v>187</v>
      </c>
      <c r="CV131">
        <v>273</v>
      </c>
      <c r="CW131">
        <v>130</v>
      </c>
      <c r="CX131">
        <f t="shared" ref="CX131:CX194" si="6">0.05*CU131/464</f>
        <v>2.0150862068965516E-2</v>
      </c>
      <c r="CY131">
        <f t="shared" ref="CY131:CY194" si="7">0.05*CV131/464</f>
        <v>2.9418103448275862E-2</v>
      </c>
      <c r="CZ131">
        <f t="shared" ref="CZ131:CZ194" si="8">0.05*CW131/464</f>
        <v>1.4008620689655173E-2</v>
      </c>
      <c r="DA131" t="str">
        <f>IF(CR131&lt;CX131,"yes","no")</f>
        <v>yes</v>
      </c>
      <c r="DB131" t="str">
        <f>IF(CS131&lt;CY131,"yes","no")</f>
        <v>no</v>
      </c>
      <c r="DC131" t="str">
        <f>IF(CT131&lt;CZ131,"yes","no")</f>
        <v>no</v>
      </c>
    </row>
    <row r="132" spans="1:107" x14ac:dyDescent="0.2">
      <c r="A132" s="2" t="b">
        <v>0</v>
      </c>
      <c r="B132" s="2" t="s">
        <v>79</v>
      </c>
      <c r="C132" s="2" t="s">
        <v>80</v>
      </c>
      <c r="D132" s="2" t="s">
        <v>774</v>
      </c>
      <c r="E132" s="2" t="s">
        <v>775</v>
      </c>
      <c r="F132" s="2">
        <v>4</v>
      </c>
      <c r="G132" s="2">
        <v>1</v>
      </c>
      <c r="H132" s="2">
        <v>30.6</v>
      </c>
      <c r="I132" s="2">
        <v>7.78</v>
      </c>
      <c r="J132" s="2" t="s">
        <v>539</v>
      </c>
      <c r="K132" s="2" t="s">
        <v>607</v>
      </c>
      <c r="L132" s="2" t="s">
        <v>119</v>
      </c>
      <c r="M132" s="2" t="s">
        <v>83</v>
      </c>
      <c r="N132" s="2" t="s">
        <v>774</v>
      </c>
      <c r="O132" s="2">
        <v>1.149</v>
      </c>
      <c r="P132" s="2">
        <v>1.627</v>
      </c>
      <c r="Q132" s="2">
        <v>6.6619999999999999</v>
      </c>
      <c r="R132" s="2">
        <v>0.72199999999999998</v>
      </c>
      <c r="S132" s="2">
        <v>1.454</v>
      </c>
      <c r="T132" s="2">
        <v>1.411</v>
      </c>
      <c r="U132" s="2">
        <v>7.984</v>
      </c>
      <c r="V132" s="2">
        <v>1.2629999999999999</v>
      </c>
      <c r="W132" s="2">
        <v>8.734</v>
      </c>
      <c r="X132" s="2">
        <v>5.0179999999999998</v>
      </c>
      <c r="Y132" s="2">
        <v>48.7</v>
      </c>
      <c r="Z132" s="2">
        <v>43.6</v>
      </c>
      <c r="AA132" s="2">
        <v>76.400000000000006</v>
      </c>
      <c r="AB132" s="2">
        <v>68.599999999999994</v>
      </c>
      <c r="AC132" s="2">
        <v>262.60000000000002</v>
      </c>
      <c r="AD132" s="2">
        <v>734655.12890625</v>
      </c>
      <c r="AE132" s="2">
        <v>717943.3828125</v>
      </c>
      <c r="AF132" s="2">
        <v>600460.32421875</v>
      </c>
      <c r="AG132" s="2">
        <v>830748.48046875</v>
      </c>
      <c r="AH132" s="2">
        <v>654185.3984375</v>
      </c>
      <c r="AI132" s="2" t="s">
        <v>83</v>
      </c>
      <c r="AJ132" s="2" t="s">
        <v>83</v>
      </c>
      <c r="AK132" s="2">
        <v>13437.330078125</v>
      </c>
      <c r="AL132" s="2">
        <v>18491.9580078125</v>
      </c>
      <c r="AM132" s="2">
        <v>5480.56640625</v>
      </c>
      <c r="AN132" s="2">
        <v>17714.763671875</v>
      </c>
      <c r="AO132" s="2">
        <v>16466.674316406301</v>
      </c>
      <c r="AP132" s="2">
        <v>7920.05419921875</v>
      </c>
      <c r="AQ132" s="2">
        <v>6816.58447265625</v>
      </c>
      <c r="AR132" s="2">
        <v>28855.455078125</v>
      </c>
      <c r="AS132" s="2">
        <v>135714.865234375</v>
      </c>
      <c r="AT132" s="2">
        <v>184714.89453125</v>
      </c>
      <c r="AU132" s="2">
        <v>111613.107421875</v>
      </c>
      <c r="AV132" s="2">
        <v>173114.27246093799</v>
      </c>
      <c r="AW132" s="2">
        <v>181383.353515625</v>
      </c>
      <c r="AX132" s="2">
        <v>181254.30566406299</v>
      </c>
      <c r="AY132" s="2">
        <v>227202.75</v>
      </c>
      <c r="AZ132" s="2">
        <v>190589.53564453099</v>
      </c>
      <c r="BA132" s="2">
        <v>200868.265625</v>
      </c>
      <c r="BB132" s="2">
        <v>206200.79199218799</v>
      </c>
      <c r="BC132" s="2" t="s">
        <v>79</v>
      </c>
      <c r="BD132" s="2" t="s">
        <v>91</v>
      </c>
      <c r="BE132" s="2" t="s">
        <v>79</v>
      </c>
      <c r="BF132" s="2" t="s">
        <v>91</v>
      </c>
      <c r="BG132" s="2" t="s">
        <v>79</v>
      </c>
      <c r="BH132" s="2" t="s">
        <v>98</v>
      </c>
      <c r="BI132" s="2" t="s">
        <v>98</v>
      </c>
      <c r="BJ132" s="2" t="s">
        <v>91</v>
      </c>
      <c r="BK132" s="2" t="s">
        <v>91</v>
      </c>
      <c r="BL132" s="2" t="s">
        <v>98</v>
      </c>
      <c r="BM132" s="2" t="s">
        <v>91</v>
      </c>
      <c r="BN132" s="2" t="s">
        <v>91</v>
      </c>
      <c r="BO132" s="2" t="s">
        <v>91</v>
      </c>
      <c r="BP132" s="2" t="s">
        <v>91</v>
      </c>
      <c r="BQ132" s="2" t="s">
        <v>91</v>
      </c>
      <c r="BR132" s="2" t="s">
        <v>91</v>
      </c>
      <c r="BS132" s="2" t="s">
        <v>91</v>
      </c>
      <c r="BT132" s="2" t="s">
        <v>91</v>
      </c>
      <c r="BU132" s="2" t="s">
        <v>91</v>
      </c>
      <c r="BV132" s="2" t="s">
        <v>91</v>
      </c>
      <c r="BW132" s="2" t="s">
        <v>91</v>
      </c>
      <c r="BX132" s="2" t="s">
        <v>91</v>
      </c>
      <c r="BY132" s="2" t="s">
        <v>91</v>
      </c>
      <c r="BZ132" s="2" t="s">
        <v>91</v>
      </c>
      <c r="CA132" s="2" t="s">
        <v>91</v>
      </c>
      <c r="CB132">
        <f>TTEST(AS132:AW132,AI132:AM132,2,2)</f>
        <v>2.954056209626455E-4</v>
      </c>
      <c r="CC132">
        <f>TTEST(AD132:AH132,AI132:AM132,2,2)</f>
        <v>1.0848672662418864E-5</v>
      </c>
      <c r="CD132">
        <f>TTEST(AN132:AR132,AI132:AM132,2,2)</f>
        <v>0.62474857043810883</v>
      </c>
      <c r="CE132">
        <f>TTEST(AX132:BB132,AI132:AM132,2,2)</f>
        <v>2.1781460007289387E-6</v>
      </c>
      <c r="CF132">
        <v>86</v>
      </c>
      <c r="CG132">
        <v>81</v>
      </c>
      <c r="CH132">
        <v>201</v>
      </c>
      <c r="CI132">
        <v>19</v>
      </c>
      <c r="CJ132">
        <f>0.05*CF132/464</f>
        <v>9.2672413793103443E-3</v>
      </c>
      <c r="CK132">
        <f>0.05*CG132/464</f>
        <v>8.7284482758620691E-3</v>
      </c>
      <c r="CL132">
        <f>0.05*CH132/464</f>
        <v>2.1659482758620691E-2</v>
      </c>
      <c r="CM132">
        <f>0.05*CI132/464</f>
        <v>2.0474137931034485E-3</v>
      </c>
      <c r="CN132" t="str">
        <f>IF(CB132&lt;CJ132,"yes","no")</f>
        <v>yes</v>
      </c>
      <c r="CO132" t="str">
        <f>IF(CC132&lt;CK132,"yes","no")</f>
        <v>yes</v>
      </c>
      <c r="CP132" t="str">
        <f>IF(CD132&lt;CL132,"yes","no")</f>
        <v>no</v>
      </c>
      <c r="CQ132" t="str">
        <f>IF(CE132&lt;CM132,"yes","no")</f>
        <v>yes</v>
      </c>
      <c r="CR132">
        <f>TTEST(AS132:AW132,AD132:AH132,2,2)</f>
        <v>1.0012814064617362E-6</v>
      </c>
      <c r="CS132">
        <f>TTEST(AS132:AW132,AN132:AR132,2,2)</f>
        <v>1.242147855439678E-5</v>
      </c>
      <c r="CT132">
        <f>TTEST(AS132:AW132,AX132:BB132,2,2)</f>
        <v>2.7671513290668321E-2</v>
      </c>
      <c r="CU132">
        <v>53</v>
      </c>
      <c r="CV132">
        <v>11</v>
      </c>
      <c r="CW132">
        <v>131</v>
      </c>
      <c r="CX132">
        <f t="shared" si="6"/>
        <v>5.7112068965517251E-3</v>
      </c>
      <c r="CY132">
        <f t="shared" si="7"/>
        <v>1.1853448275862071E-3</v>
      </c>
      <c r="CZ132">
        <f t="shared" si="8"/>
        <v>1.411637931034483E-2</v>
      </c>
      <c r="DA132" t="str">
        <f>IF(CR132&lt;CX132,"yes","no")</f>
        <v>yes</v>
      </c>
      <c r="DB132" t="str">
        <f>IF(CS132&lt;CY132,"yes","no")</f>
        <v>yes</v>
      </c>
      <c r="DC132" t="str">
        <f>IF(CT132&lt;CZ132,"yes","no")</f>
        <v>no</v>
      </c>
    </row>
    <row r="133" spans="1:107" x14ac:dyDescent="0.2">
      <c r="A133" s="2" t="b">
        <v>0</v>
      </c>
      <c r="B133" s="2" t="s">
        <v>79</v>
      </c>
      <c r="C133" s="2" t="s">
        <v>80</v>
      </c>
      <c r="D133" s="2" t="s">
        <v>231</v>
      </c>
      <c r="E133" s="2" t="s">
        <v>232</v>
      </c>
      <c r="F133" s="2">
        <v>12</v>
      </c>
      <c r="G133" s="2">
        <v>12</v>
      </c>
      <c r="H133" s="2">
        <v>36.1</v>
      </c>
      <c r="I133" s="2">
        <v>6.47</v>
      </c>
      <c r="J133" s="2" t="s">
        <v>233</v>
      </c>
      <c r="K133" s="2" t="s">
        <v>95</v>
      </c>
      <c r="L133" s="2" t="s">
        <v>234</v>
      </c>
      <c r="M133" s="2" t="s">
        <v>235</v>
      </c>
      <c r="N133" s="2" t="s">
        <v>231</v>
      </c>
      <c r="O133" s="2">
        <v>2.0529999999999999</v>
      </c>
      <c r="P133" s="2">
        <v>0.27800000000000002</v>
      </c>
      <c r="Q133" s="2">
        <v>0.38600000000000001</v>
      </c>
      <c r="R133" s="2">
        <v>2.891</v>
      </c>
      <c r="S133" s="2">
        <v>7.5549999999999997</v>
      </c>
      <c r="T133" s="2">
        <v>0.80400000000000005</v>
      </c>
      <c r="U133" s="2">
        <v>1.2809999999999999</v>
      </c>
      <c r="V133" s="2">
        <v>0.16800000000000001</v>
      </c>
      <c r="W133" s="2">
        <v>0.253</v>
      </c>
      <c r="X133" s="2">
        <v>1.859</v>
      </c>
      <c r="Y133" s="2">
        <v>121.5</v>
      </c>
      <c r="Z133" s="2">
        <v>23</v>
      </c>
      <c r="AA133" s="2">
        <v>258.39999999999998</v>
      </c>
      <c r="AB133" s="2">
        <v>33.6</v>
      </c>
      <c r="AC133" s="2">
        <v>63.5</v>
      </c>
      <c r="AD133" s="2">
        <v>15103598.9921875</v>
      </c>
      <c r="AE133" s="2">
        <v>13226642.859375</v>
      </c>
      <c r="AF133" s="2">
        <v>10729922.671875</v>
      </c>
      <c r="AG133" s="2">
        <v>11892239.140625</v>
      </c>
      <c r="AH133" s="2">
        <v>11311269.6328125</v>
      </c>
      <c r="AI133" s="2">
        <v>53428.878417968801</v>
      </c>
      <c r="AJ133" s="2">
        <v>49460.9150390625</v>
      </c>
      <c r="AK133" s="2">
        <v>60900.416503906301</v>
      </c>
      <c r="AL133" s="2">
        <v>33421.4501953125</v>
      </c>
      <c r="AM133" s="2">
        <v>37961.748046875</v>
      </c>
      <c r="AN133" s="2">
        <v>417402.28857421898</v>
      </c>
      <c r="AO133" s="2">
        <v>407443.07983398403</v>
      </c>
      <c r="AP133" s="2">
        <v>421491.20996093802</v>
      </c>
      <c r="AQ133" s="2">
        <v>436319.78100585903</v>
      </c>
      <c r="AR133" s="2">
        <v>856506.939453125</v>
      </c>
      <c r="AS133" s="2">
        <v>476795.96191406302</v>
      </c>
      <c r="AT133" s="2">
        <v>833694.05957031297</v>
      </c>
      <c r="AU133" s="2">
        <v>410883.357421875</v>
      </c>
      <c r="AV133" s="2">
        <v>450669.56640625</v>
      </c>
      <c r="AW133" s="2">
        <v>676285.32128906297</v>
      </c>
      <c r="AX133" s="2">
        <v>305976.98291015602</v>
      </c>
      <c r="AY133" s="2">
        <v>255894.05761718799</v>
      </c>
      <c r="AZ133" s="2">
        <v>369145.38134765602</v>
      </c>
      <c r="BA133" s="2">
        <v>366537.73291015602</v>
      </c>
      <c r="BB133" s="2">
        <v>418781.63330078102</v>
      </c>
      <c r="BC133" s="2" t="s">
        <v>79</v>
      </c>
      <c r="BD133" s="2" t="s">
        <v>79</v>
      </c>
      <c r="BE133" s="2" t="s">
        <v>79</v>
      </c>
      <c r="BF133" s="2" t="s">
        <v>79</v>
      </c>
      <c r="BG133" s="2" t="s">
        <v>79</v>
      </c>
      <c r="BH133" s="2" t="s">
        <v>91</v>
      </c>
      <c r="BI133" s="2" t="s">
        <v>91</v>
      </c>
      <c r="BJ133" s="2" t="s">
        <v>91</v>
      </c>
      <c r="BK133" s="2" t="s">
        <v>91</v>
      </c>
      <c r="BL133" s="2" t="s">
        <v>91</v>
      </c>
      <c r="BM133" s="2" t="s">
        <v>79</v>
      </c>
      <c r="BN133" s="2" t="s">
        <v>79</v>
      </c>
      <c r="BO133" s="2" t="s">
        <v>79</v>
      </c>
      <c r="BP133" s="2" t="s">
        <v>79</v>
      </c>
      <c r="BQ133" s="2" t="s">
        <v>79</v>
      </c>
      <c r="BR133" s="2" t="s">
        <v>79</v>
      </c>
      <c r="BS133" s="2" t="s">
        <v>79</v>
      </c>
      <c r="BT133" s="2" t="s">
        <v>79</v>
      </c>
      <c r="BU133" s="2" t="s">
        <v>79</v>
      </c>
      <c r="BV133" s="2" t="s">
        <v>79</v>
      </c>
      <c r="BW133" s="2" t="s">
        <v>79</v>
      </c>
      <c r="BX133" s="2" t="s">
        <v>79</v>
      </c>
      <c r="BY133" s="2" t="s">
        <v>79</v>
      </c>
      <c r="BZ133" s="2" t="s">
        <v>79</v>
      </c>
      <c r="CA133" s="2" t="s">
        <v>79</v>
      </c>
      <c r="CB133">
        <f>TTEST(AS133:AW133,AI133:AM133,2,2)</f>
        <v>1.8952054167977413E-4</v>
      </c>
      <c r="CC133">
        <f>TTEST(AD133:AH133,AI133:AM133,2,2)</f>
        <v>2.4795236204071284E-7</v>
      </c>
      <c r="CD133">
        <f>TTEST(AN133:AR133,AI133:AM133,2,2)</f>
        <v>7.552499507112461E-4</v>
      </c>
      <c r="CE133">
        <f>TTEST(AX133:BB133,AI133:AM133,2,2)</f>
        <v>6.6540172383447299E-6</v>
      </c>
      <c r="CF133">
        <v>76</v>
      </c>
      <c r="CG133">
        <v>31</v>
      </c>
      <c r="CH133">
        <v>69</v>
      </c>
      <c r="CI133">
        <v>26</v>
      </c>
      <c r="CJ133">
        <f>0.05*CF133/464</f>
        <v>8.1896551724137939E-3</v>
      </c>
      <c r="CK133">
        <f>0.05*CG133/464</f>
        <v>3.3405172413793105E-3</v>
      </c>
      <c r="CL133">
        <f>0.05*CH133/464</f>
        <v>7.435344827586207E-3</v>
      </c>
      <c r="CM133">
        <f>0.05*CI133/464</f>
        <v>2.8017241379310344E-3</v>
      </c>
      <c r="CN133" t="str">
        <f>IF(CB133&lt;CJ133,"yes","no")</f>
        <v>yes</v>
      </c>
      <c r="CO133" t="str">
        <f>IF(CC133&lt;CK133,"yes","no")</f>
        <v>yes</v>
      </c>
      <c r="CP133" t="str">
        <f>IF(CD133&lt;CL133,"yes","no")</f>
        <v>yes</v>
      </c>
      <c r="CQ133" t="str">
        <f>IF(CE133&lt;CM133,"yes","no")</f>
        <v>yes</v>
      </c>
      <c r="CR133">
        <f>TTEST(AS133:AW133,AD133:AH133,2,2)</f>
        <v>3.6077196701022798E-7</v>
      </c>
      <c r="CS133">
        <f>TTEST(AS133:AW133,AN133:AR133,2,2)</f>
        <v>0.61633409512352499</v>
      </c>
      <c r="CT133">
        <f>TTEST(AS133:AW133,AX133:BB133,2,2)</f>
        <v>2.8859581696104919E-2</v>
      </c>
      <c r="CU133">
        <v>31</v>
      </c>
      <c r="CV133">
        <v>238</v>
      </c>
      <c r="CW133">
        <v>132</v>
      </c>
      <c r="CX133">
        <f t="shared" si="6"/>
        <v>3.3405172413793105E-3</v>
      </c>
      <c r="CY133">
        <f t="shared" si="7"/>
        <v>2.564655172413793E-2</v>
      </c>
      <c r="CZ133">
        <f t="shared" si="8"/>
        <v>1.4224137931034483E-2</v>
      </c>
      <c r="DA133" t="str">
        <f>IF(CR133&lt;CX133,"yes","no")</f>
        <v>yes</v>
      </c>
      <c r="DB133" t="str">
        <f>IF(CS133&lt;CY133,"yes","no")</f>
        <v>no</v>
      </c>
      <c r="DC133" t="str">
        <f>IF(CT133&lt;CZ133,"yes","no")</f>
        <v>no</v>
      </c>
    </row>
    <row r="134" spans="1:107" x14ac:dyDescent="0.2">
      <c r="A134" s="2" t="b">
        <v>0</v>
      </c>
      <c r="B134" s="2" t="s">
        <v>79</v>
      </c>
      <c r="C134" s="2" t="s">
        <v>80</v>
      </c>
      <c r="D134" s="2" t="s">
        <v>1692</v>
      </c>
      <c r="E134" s="2" t="s">
        <v>1693</v>
      </c>
      <c r="F134" s="2">
        <v>1</v>
      </c>
      <c r="G134" s="2">
        <v>1</v>
      </c>
      <c r="H134" s="2">
        <v>57.9</v>
      </c>
      <c r="I134" s="2">
        <v>5.87</v>
      </c>
      <c r="J134" s="2" t="s">
        <v>1393</v>
      </c>
      <c r="K134" s="2" t="s">
        <v>95</v>
      </c>
      <c r="L134" s="2" t="s">
        <v>119</v>
      </c>
      <c r="M134" s="2" t="s">
        <v>1694</v>
      </c>
      <c r="N134" s="2" t="s">
        <v>1695</v>
      </c>
      <c r="O134" s="2">
        <v>8.0060000000000002</v>
      </c>
      <c r="P134" s="2">
        <v>1.2749999999999999</v>
      </c>
      <c r="Q134" s="2">
        <v>35.271999999999998</v>
      </c>
      <c r="R134" s="2">
        <v>100</v>
      </c>
      <c r="S134" s="2">
        <v>100</v>
      </c>
      <c r="T134" s="2">
        <v>100</v>
      </c>
      <c r="U134" s="2">
        <v>100</v>
      </c>
      <c r="V134" s="2">
        <v>0.159</v>
      </c>
      <c r="W134" s="2">
        <v>4.5</v>
      </c>
      <c r="X134" s="2">
        <v>27.504999999999999</v>
      </c>
      <c r="Y134" s="2">
        <v>10.8</v>
      </c>
      <c r="Z134" s="2" t="s">
        <v>83</v>
      </c>
      <c r="AA134" s="2">
        <v>86.5</v>
      </c>
      <c r="AB134" s="2">
        <v>13.8</v>
      </c>
      <c r="AC134" s="2">
        <v>389</v>
      </c>
      <c r="AD134" s="2" t="s">
        <v>83</v>
      </c>
      <c r="AE134" s="2" t="s">
        <v>83</v>
      </c>
      <c r="AF134" s="2">
        <v>34315.59765625</v>
      </c>
      <c r="AG134" s="2">
        <v>42556.21875</v>
      </c>
      <c r="AH134" s="2" t="s">
        <v>83</v>
      </c>
      <c r="AI134" s="2" t="s">
        <v>83</v>
      </c>
      <c r="AJ134" s="2" t="s">
        <v>83</v>
      </c>
      <c r="AK134" s="2" t="s">
        <v>83</v>
      </c>
      <c r="AL134" s="2" t="s">
        <v>83</v>
      </c>
      <c r="AM134" s="2" t="s">
        <v>83</v>
      </c>
      <c r="AN134" s="2" t="s">
        <v>83</v>
      </c>
      <c r="AO134" s="2" t="s">
        <v>83</v>
      </c>
      <c r="AP134" s="2" t="s">
        <v>83</v>
      </c>
      <c r="AQ134" s="2" t="s">
        <v>83</v>
      </c>
      <c r="AR134" s="2">
        <v>7783.08984375</v>
      </c>
      <c r="AS134" s="2" t="s">
        <v>83</v>
      </c>
      <c r="AT134" s="2">
        <v>11153.6259765625</v>
      </c>
      <c r="AU134" s="2" t="s">
        <v>83</v>
      </c>
      <c r="AV134" s="2" t="s">
        <v>83</v>
      </c>
      <c r="AW134" s="2">
        <v>7381.83935546875</v>
      </c>
      <c r="AX134" s="2">
        <v>68571.609375</v>
      </c>
      <c r="AY134" s="2">
        <v>54899.8203125</v>
      </c>
      <c r="AZ134" s="2">
        <v>128673.859375</v>
      </c>
      <c r="BA134" s="2">
        <v>63401.625</v>
      </c>
      <c r="BB134" s="2">
        <v>65275.14453125</v>
      </c>
      <c r="BC134" s="2" t="s">
        <v>79</v>
      </c>
      <c r="BD134" s="2" t="s">
        <v>79</v>
      </c>
      <c r="BE134" s="2" t="s">
        <v>79</v>
      </c>
      <c r="BF134" s="2" t="s">
        <v>91</v>
      </c>
      <c r="BG134" s="2" t="s">
        <v>79</v>
      </c>
      <c r="BH134" s="2" t="s">
        <v>98</v>
      </c>
      <c r="BI134" s="2" t="s">
        <v>98</v>
      </c>
      <c r="BJ134" s="2" t="s">
        <v>98</v>
      </c>
      <c r="BK134" s="2" t="s">
        <v>98</v>
      </c>
      <c r="BL134" s="2" t="s">
        <v>98</v>
      </c>
      <c r="BM134" s="2" t="s">
        <v>98</v>
      </c>
      <c r="BN134" s="2" t="s">
        <v>98</v>
      </c>
      <c r="BO134" s="2" t="s">
        <v>98</v>
      </c>
      <c r="BP134" s="2" t="s">
        <v>98</v>
      </c>
      <c r="BQ134" s="2" t="s">
        <v>91</v>
      </c>
      <c r="BR134" s="2" t="s">
        <v>98</v>
      </c>
      <c r="BS134" s="2" t="s">
        <v>91</v>
      </c>
      <c r="BT134" s="2" t="s">
        <v>98</v>
      </c>
      <c r="BU134" s="2" t="s">
        <v>98</v>
      </c>
      <c r="BV134" s="2" t="s">
        <v>91</v>
      </c>
      <c r="BW134" s="2" t="s">
        <v>91</v>
      </c>
      <c r="BX134" s="2" t="s">
        <v>91</v>
      </c>
      <c r="BY134" s="2" t="s">
        <v>91</v>
      </c>
      <c r="BZ134" s="2" t="s">
        <v>91</v>
      </c>
      <c r="CA134" s="2" t="s">
        <v>91</v>
      </c>
      <c r="CB134" t="e">
        <f>TTEST(AS134:AW134,AI134:AM134,2,2)</f>
        <v>#DIV/0!</v>
      </c>
      <c r="CC134" t="e">
        <f>TTEST(AD134:AH134,AI134:AM134,2,2)</f>
        <v>#DIV/0!</v>
      </c>
      <c r="CD134" t="e">
        <f>TTEST(AN134:AR134,AI134:AM134,2,2)</f>
        <v>#DIV/0!</v>
      </c>
      <c r="CE134" t="e">
        <f>TTEST(AX134:BB134,AI134:AM134,2,2)</f>
        <v>#DIV/0!</v>
      </c>
      <c r="CF134">
        <v>283</v>
      </c>
      <c r="CG134">
        <v>297</v>
      </c>
      <c r="CH134">
        <v>301</v>
      </c>
      <c r="CI134">
        <v>305</v>
      </c>
      <c r="CJ134">
        <f>0.05*CF134/464</f>
        <v>3.0495689655172416E-2</v>
      </c>
      <c r="CK134">
        <f>0.05*CG134/464</f>
        <v>3.2004310344827591E-2</v>
      </c>
      <c r="CL134">
        <f>0.05*CH134/464</f>
        <v>3.2435344827586206E-2</v>
      </c>
      <c r="CM134">
        <f>0.05*CI134/464</f>
        <v>3.2866379310344827E-2</v>
      </c>
      <c r="CN134" t="e">
        <f>IF(CB134&lt;CJ134,"yes","no")</f>
        <v>#DIV/0!</v>
      </c>
      <c r="CO134" t="e">
        <f>IF(CC134&lt;CK134,"yes","no")</f>
        <v>#DIV/0!</v>
      </c>
      <c r="CP134" t="e">
        <f>IF(CD134&lt;CL134,"yes","no")</f>
        <v>#DIV/0!</v>
      </c>
      <c r="CQ134" t="e">
        <f>IF(CE134&lt;CM134,"yes","no")</f>
        <v>#DIV/0!</v>
      </c>
      <c r="CR134">
        <f>TTEST(AS134:AW134,AD134:AH134,2,2)</f>
        <v>2.3294886440199697E-2</v>
      </c>
      <c r="CS134" t="e">
        <f>TTEST(AS134:AW134,AN134:AR134,2,2)</f>
        <v>#DIV/0!</v>
      </c>
      <c r="CT134">
        <f>TTEST(AS134:AW134,AX134:BB134,2,2)</f>
        <v>3.0156735509990186E-2</v>
      </c>
      <c r="CU134">
        <v>210</v>
      </c>
      <c r="CV134">
        <v>298</v>
      </c>
      <c r="CW134">
        <v>133</v>
      </c>
      <c r="CX134">
        <f t="shared" si="6"/>
        <v>2.2629310344827586E-2</v>
      </c>
      <c r="CY134">
        <f t="shared" si="7"/>
        <v>3.2112068965517243E-2</v>
      </c>
      <c r="CZ134">
        <f t="shared" si="8"/>
        <v>1.4331896551724139E-2</v>
      </c>
      <c r="DA134" t="str">
        <f>IF(CR134&lt;CX134,"yes","no")</f>
        <v>no</v>
      </c>
      <c r="DB134" t="e">
        <f>IF(CS134&lt;CY134,"yes","no")</f>
        <v>#DIV/0!</v>
      </c>
      <c r="DC134" t="str">
        <f>IF(CT134&lt;CZ134,"yes","no")</f>
        <v>no</v>
      </c>
    </row>
    <row r="135" spans="1:107" x14ac:dyDescent="0.2">
      <c r="A135" s="2" t="b">
        <v>0</v>
      </c>
      <c r="B135" s="2" t="s">
        <v>79</v>
      </c>
      <c r="C135" s="2" t="s">
        <v>80</v>
      </c>
      <c r="D135" s="2" t="s">
        <v>173</v>
      </c>
      <c r="E135" s="2" t="s">
        <v>174</v>
      </c>
      <c r="F135" s="2">
        <v>29</v>
      </c>
      <c r="G135" s="2">
        <v>5</v>
      </c>
      <c r="H135" s="2">
        <v>192</v>
      </c>
      <c r="I135" s="2">
        <v>7.05</v>
      </c>
      <c r="J135" s="2" t="s">
        <v>89</v>
      </c>
      <c r="K135" s="2" t="s">
        <v>95</v>
      </c>
      <c r="L135" s="2" t="s">
        <v>102</v>
      </c>
      <c r="M135" s="2" t="s">
        <v>175</v>
      </c>
      <c r="N135" s="2" t="s">
        <v>176</v>
      </c>
      <c r="O135" s="2">
        <v>5.69</v>
      </c>
      <c r="P135" s="2">
        <v>0.45400000000000001</v>
      </c>
      <c r="Q135" s="2">
        <v>1.1879999999999999</v>
      </c>
      <c r="R135" s="2">
        <v>0.52200000000000002</v>
      </c>
      <c r="S135" s="2">
        <v>8.8070000000000004</v>
      </c>
      <c r="T135" s="2">
        <v>0.16600000000000001</v>
      </c>
      <c r="U135" s="2">
        <v>1.175</v>
      </c>
      <c r="V135" s="2">
        <v>6.6000000000000003E-2</v>
      </c>
      <c r="W135" s="2">
        <v>7.0999999999999994E-2</v>
      </c>
      <c r="X135" s="2">
        <v>2.2189999999999999</v>
      </c>
      <c r="Y135" s="2">
        <v>49.8</v>
      </c>
      <c r="Z135" s="2">
        <v>48</v>
      </c>
      <c r="AA135" s="2">
        <v>382.2</v>
      </c>
      <c r="AB135" s="2">
        <v>9.8000000000000007</v>
      </c>
      <c r="AC135" s="2">
        <v>10.199999999999999</v>
      </c>
      <c r="AD135" s="2">
        <v>2435600.9375</v>
      </c>
      <c r="AE135" s="2">
        <v>2012839</v>
      </c>
      <c r="AF135" s="2">
        <v>1879268.0859375</v>
      </c>
      <c r="AG135" s="2">
        <v>1838305.0625</v>
      </c>
      <c r="AH135" s="2">
        <v>1004925.78320313</v>
      </c>
      <c r="AI135" s="2">
        <v>42430.7490234375</v>
      </c>
      <c r="AJ135" s="2">
        <v>71337.927734375</v>
      </c>
      <c r="AK135" s="2">
        <v>54376.437011718801</v>
      </c>
      <c r="AL135" s="2">
        <v>51155.1484375</v>
      </c>
      <c r="AM135" s="2">
        <v>34041.796875</v>
      </c>
      <c r="AN135" s="2">
        <v>243340.09765625</v>
      </c>
      <c r="AO135" s="2">
        <v>260410.578125</v>
      </c>
      <c r="AP135" s="2">
        <v>385755.6328125</v>
      </c>
      <c r="AQ135" s="2">
        <v>251011.61669921901</v>
      </c>
      <c r="AR135" s="2">
        <v>530670.22924804699</v>
      </c>
      <c r="AS135" s="2">
        <v>127384.228515625</v>
      </c>
      <c r="AT135" s="2">
        <v>89704.5263671875</v>
      </c>
      <c r="AU135" s="2">
        <v>39302.490234375</v>
      </c>
      <c r="AV135" s="2">
        <v>53147.5888671875</v>
      </c>
      <c r="AW135" s="2">
        <v>129213.71484375</v>
      </c>
      <c r="AX135" s="2" t="s">
        <v>83</v>
      </c>
      <c r="AY135" s="2">
        <v>52130.244140625</v>
      </c>
      <c r="AZ135" s="2">
        <v>19285.875</v>
      </c>
      <c r="BA135" s="2">
        <v>11354.0185546875</v>
      </c>
      <c r="BB135" s="2">
        <v>30523.328613281301</v>
      </c>
      <c r="BC135" s="2" t="s">
        <v>79</v>
      </c>
      <c r="BD135" s="2" t="s">
        <v>79</v>
      </c>
      <c r="BE135" s="2" t="s">
        <v>79</v>
      </c>
      <c r="BF135" s="2" t="s">
        <v>79</v>
      </c>
      <c r="BG135" s="2" t="s">
        <v>79</v>
      </c>
      <c r="BH135" s="2" t="s">
        <v>91</v>
      </c>
      <c r="BI135" s="2" t="s">
        <v>91</v>
      </c>
      <c r="BJ135" s="2" t="s">
        <v>91</v>
      </c>
      <c r="BK135" s="2" t="s">
        <v>91</v>
      </c>
      <c r="BL135" s="2" t="s">
        <v>91</v>
      </c>
      <c r="BM135" s="2" t="s">
        <v>79</v>
      </c>
      <c r="BN135" s="2" t="s">
        <v>79</v>
      </c>
      <c r="BO135" s="2" t="s">
        <v>79</v>
      </c>
      <c r="BP135" s="2" t="s">
        <v>91</v>
      </c>
      <c r="BQ135" s="2" t="s">
        <v>79</v>
      </c>
      <c r="BR135" s="2" t="s">
        <v>91</v>
      </c>
      <c r="BS135" s="2" t="s">
        <v>91</v>
      </c>
      <c r="BT135" s="2" t="s">
        <v>91</v>
      </c>
      <c r="BU135" s="2" t="s">
        <v>91</v>
      </c>
      <c r="BV135" s="2" t="s">
        <v>91</v>
      </c>
      <c r="BW135" s="2" t="s">
        <v>91</v>
      </c>
      <c r="BX135" s="2" t="s">
        <v>91</v>
      </c>
      <c r="BY135" s="2" t="s">
        <v>91</v>
      </c>
      <c r="BZ135" s="2" t="s">
        <v>91</v>
      </c>
      <c r="CA135" s="2" t="s">
        <v>91</v>
      </c>
      <c r="CB135">
        <f>TTEST(AS135:AW135,AI135:AM135,2,2)</f>
        <v>9.4071775551967468E-2</v>
      </c>
      <c r="CC135">
        <f>TTEST(AD135:AH135,AI135:AM135,2,2)</f>
        <v>5.9588586530809963E-5</v>
      </c>
      <c r="CD135">
        <f>TTEST(AN135:AR135,AI135:AM135,2,2)</f>
        <v>9.698440337231885E-4</v>
      </c>
      <c r="CE135">
        <f>TTEST(AX135:BB135,AI135:AM135,2,2)</f>
        <v>7.1632598109961018E-2</v>
      </c>
      <c r="CF135">
        <v>156</v>
      </c>
      <c r="CG135">
        <v>105</v>
      </c>
      <c r="CH135">
        <v>75</v>
      </c>
      <c r="CI135">
        <v>114</v>
      </c>
      <c r="CJ135">
        <f>0.05*CF135/464</f>
        <v>1.6810344827586209E-2</v>
      </c>
      <c r="CK135">
        <f>0.05*CG135/464</f>
        <v>1.1314655172413793E-2</v>
      </c>
      <c r="CL135">
        <f>0.05*CH135/464</f>
        <v>8.0818965517241385E-3</v>
      </c>
      <c r="CM135">
        <f>0.05*CI135/464</f>
        <v>1.228448275862069E-2</v>
      </c>
      <c r="CN135" t="str">
        <f>IF(CB135&lt;CJ135,"yes","no")</f>
        <v>no</v>
      </c>
      <c r="CO135" t="str">
        <f>IF(CC135&lt;CK135,"yes","no")</f>
        <v>yes</v>
      </c>
      <c r="CP135" t="str">
        <f>IF(CD135&lt;CL135,"yes","no")</f>
        <v>yes</v>
      </c>
      <c r="CQ135" t="str">
        <f>IF(CE135&lt;CM135,"yes","no")</f>
        <v>no</v>
      </c>
      <c r="CR135">
        <f>TTEST(AS135:AW135,AD135:AH135,2,2)</f>
        <v>7.0582660023658974E-5</v>
      </c>
      <c r="CS135">
        <f>TTEST(AS135:AW135,AN135:AR135,2,2)</f>
        <v>2.9757608764728015E-3</v>
      </c>
      <c r="CT135">
        <f>TTEST(AS135:AW135,AX135:BB135,2,2)</f>
        <v>3.2592629187216969E-2</v>
      </c>
      <c r="CU135">
        <v>126</v>
      </c>
      <c r="CV135">
        <v>111</v>
      </c>
      <c r="CW135">
        <v>134</v>
      </c>
      <c r="CX135">
        <f t="shared" si="6"/>
        <v>1.3577586206896553E-2</v>
      </c>
      <c r="CY135">
        <f t="shared" si="7"/>
        <v>1.1961206896551725E-2</v>
      </c>
      <c r="CZ135">
        <f t="shared" si="8"/>
        <v>1.4439655172413794E-2</v>
      </c>
      <c r="DA135" t="str">
        <f>IF(CR135&lt;CX135,"yes","no")</f>
        <v>yes</v>
      </c>
      <c r="DB135" t="str">
        <f>IF(CS135&lt;CY135,"yes","no")</f>
        <v>yes</v>
      </c>
      <c r="DC135" t="str">
        <f>IF(CT135&lt;CZ135,"yes","no")</f>
        <v>no</v>
      </c>
    </row>
    <row r="136" spans="1:107" x14ac:dyDescent="0.2">
      <c r="A136" s="2" t="b">
        <v>0</v>
      </c>
      <c r="B136" s="2" t="s">
        <v>79</v>
      </c>
      <c r="C136" s="2" t="s">
        <v>80</v>
      </c>
      <c r="D136" s="2" t="s">
        <v>893</v>
      </c>
      <c r="E136" s="2" t="s">
        <v>894</v>
      </c>
      <c r="F136" s="2">
        <v>4</v>
      </c>
      <c r="G136" s="2">
        <v>4</v>
      </c>
      <c r="H136" s="2">
        <v>29.5</v>
      </c>
      <c r="I136" s="2">
        <v>6.61</v>
      </c>
      <c r="J136" s="2" t="s">
        <v>380</v>
      </c>
      <c r="K136" s="2" t="s">
        <v>607</v>
      </c>
      <c r="L136" s="2" t="s">
        <v>83</v>
      </c>
      <c r="M136" s="2" t="s">
        <v>83</v>
      </c>
      <c r="N136" s="2" t="s">
        <v>895</v>
      </c>
      <c r="O136" s="2">
        <v>4.3090000000000002</v>
      </c>
      <c r="P136" s="2">
        <v>0.59099999999999997</v>
      </c>
      <c r="Q136" s="2">
        <v>0.66800000000000004</v>
      </c>
      <c r="R136" s="2">
        <v>0.17100000000000001</v>
      </c>
      <c r="S136" s="2">
        <v>0.74099999999999999</v>
      </c>
      <c r="T136" s="2">
        <v>0.22500000000000001</v>
      </c>
      <c r="U136" s="2" t="s">
        <v>83</v>
      </c>
      <c r="V136" s="2">
        <v>0.29299999999999998</v>
      </c>
      <c r="W136" s="2" t="s">
        <v>83</v>
      </c>
      <c r="X136" s="2">
        <v>1.1890000000000001</v>
      </c>
      <c r="Y136" s="2">
        <v>120.4</v>
      </c>
      <c r="Z136" s="2">
        <v>143</v>
      </c>
      <c r="AA136" s="2">
        <v>106</v>
      </c>
      <c r="AB136" s="2">
        <v>65.8</v>
      </c>
      <c r="AC136" s="2">
        <v>64.7</v>
      </c>
      <c r="AD136" s="2">
        <v>381739.7578125</v>
      </c>
      <c r="AE136" s="2">
        <v>359485.7109375</v>
      </c>
      <c r="AF136" s="2">
        <v>356532.5625</v>
      </c>
      <c r="AG136" s="2">
        <v>395207.125</v>
      </c>
      <c r="AH136" s="2">
        <v>357161.75</v>
      </c>
      <c r="AI136" s="2">
        <v>10119.5263671875</v>
      </c>
      <c r="AJ136" s="2" t="s">
        <v>83</v>
      </c>
      <c r="AK136" s="2">
        <v>7663.4794921875</v>
      </c>
      <c r="AL136" s="2">
        <v>12165.7626953125</v>
      </c>
      <c r="AM136" s="2" t="s">
        <v>83</v>
      </c>
      <c r="AN136" s="2">
        <v>6620.490234375</v>
      </c>
      <c r="AO136" s="2">
        <v>4991.78857421875</v>
      </c>
      <c r="AP136" s="2">
        <v>6332.46728515625</v>
      </c>
      <c r="AQ136" s="2">
        <v>7498.18359375</v>
      </c>
      <c r="AR136" s="2">
        <v>7785.58740234375</v>
      </c>
      <c r="AS136" s="2">
        <v>31888.732421875</v>
      </c>
      <c r="AT136" s="2">
        <v>43842.3046875</v>
      </c>
      <c r="AU136" s="2">
        <v>13954.818359375</v>
      </c>
      <c r="AV136" s="2">
        <v>41844.90234375</v>
      </c>
      <c r="AW136" s="2">
        <v>21179.41796875</v>
      </c>
      <c r="AX136" s="2">
        <v>9758.525390625</v>
      </c>
      <c r="AY136" s="2" t="s">
        <v>83</v>
      </c>
      <c r="AZ136" s="2" t="s">
        <v>83</v>
      </c>
      <c r="BA136" s="2">
        <v>12060.72265625</v>
      </c>
      <c r="BB136" s="2">
        <v>5241.46728515625</v>
      </c>
      <c r="BC136" s="2" t="s">
        <v>79</v>
      </c>
      <c r="BD136" s="2" t="s">
        <v>79</v>
      </c>
      <c r="BE136" s="2" t="s">
        <v>79</v>
      </c>
      <c r="BF136" s="2" t="s">
        <v>79</v>
      </c>
      <c r="BG136" s="2" t="s">
        <v>79</v>
      </c>
      <c r="BH136" s="2" t="s">
        <v>91</v>
      </c>
      <c r="BI136" s="2" t="s">
        <v>91</v>
      </c>
      <c r="BJ136" s="2" t="s">
        <v>91</v>
      </c>
      <c r="BK136" s="2" t="s">
        <v>91</v>
      </c>
      <c r="BL136" s="2" t="s">
        <v>91</v>
      </c>
      <c r="BM136" s="2" t="s">
        <v>91</v>
      </c>
      <c r="BN136" s="2" t="s">
        <v>91</v>
      </c>
      <c r="BO136" s="2" t="s">
        <v>91</v>
      </c>
      <c r="BP136" s="2" t="s">
        <v>91</v>
      </c>
      <c r="BQ136" s="2" t="s">
        <v>91</v>
      </c>
      <c r="BR136" s="2" t="s">
        <v>79</v>
      </c>
      <c r="BS136" s="2" t="s">
        <v>79</v>
      </c>
      <c r="BT136" s="2" t="s">
        <v>79</v>
      </c>
      <c r="BU136" s="2" t="s">
        <v>79</v>
      </c>
      <c r="BV136" s="2" t="s">
        <v>79</v>
      </c>
      <c r="BW136" s="2" t="s">
        <v>91</v>
      </c>
      <c r="BX136" s="2" t="s">
        <v>91</v>
      </c>
      <c r="BY136" s="2" t="s">
        <v>91</v>
      </c>
      <c r="BZ136" s="2" t="s">
        <v>91</v>
      </c>
      <c r="CA136" s="2" t="s">
        <v>91</v>
      </c>
      <c r="CB136">
        <f>TTEST(AS136:AW136,AI136:AM136,2,2)</f>
        <v>3.8257203699827408E-2</v>
      </c>
      <c r="CC136">
        <f>TTEST(AD136:AH136,AI136:AM136,2,2)</f>
        <v>4.0955945662709372E-8</v>
      </c>
      <c r="CD136">
        <f>TTEST(AN136:AR136,AI136:AM136,2,2)</f>
        <v>2.7771266883516842E-2</v>
      </c>
      <c r="CE136">
        <f>TTEST(AX136:BB136,AI136:AM136,2,2)</f>
        <v>0.7075346634225359</v>
      </c>
      <c r="CF136">
        <v>147</v>
      </c>
      <c r="CG136">
        <v>12</v>
      </c>
      <c r="CH136">
        <v>112</v>
      </c>
      <c r="CI136">
        <v>179</v>
      </c>
      <c r="CJ136">
        <f>0.05*CF136/464</f>
        <v>1.5840517241379311E-2</v>
      </c>
      <c r="CK136">
        <f>0.05*CG136/464</f>
        <v>1.2931034482758623E-3</v>
      </c>
      <c r="CL136">
        <f>0.05*CH136/464</f>
        <v>1.2068965517241381E-2</v>
      </c>
      <c r="CM136">
        <f>0.05*CI136/464</f>
        <v>1.928879310344828E-2</v>
      </c>
      <c r="CN136" t="str">
        <f>IF(CB136&lt;CJ136,"yes","no")</f>
        <v>no</v>
      </c>
      <c r="CO136" t="str">
        <f>IF(CC136&lt;CK136,"yes","no")</f>
        <v>yes</v>
      </c>
      <c r="CP136" t="str">
        <f>IF(CD136&lt;CL136,"yes","no")</f>
        <v>no</v>
      </c>
      <c r="CQ136" t="str">
        <f>IF(CE136&lt;CM136,"yes","no")</f>
        <v>no</v>
      </c>
      <c r="CR136">
        <f>TTEST(AS136:AW136,AD136:AH136,2,2)</f>
        <v>5.0417261596312712E-10</v>
      </c>
      <c r="CS136">
        <f>TTEST(AS136:AW136,AN136:AR136,2,2)</f>
        <v>3.3625960756399013E-3</v>
      </c>
      <c r="CT136">
        <f>TTEST(AS136:AW136,AX136:BB136,2,2)</f>
        <v>3.3669558471779618E-2</v>
      </c>
      <c r="CU136">
        <v>1</v>
      </c>
      <c r="CV136">
        <v>115</v>
      </c>
      <c r="CW136">
        <v>135</v>
      </c>
      <c r="CX136">
        <f t="shared" si="6"/>
        <v>1.0775862068965518E-4</v>
      </c>
      <c r="CY136">
        <f t="shared" si="7"/>
        <v>1.2392241379310345E-2</v>
      </c>
      <c r="CZ136">
        <f t="shared" si="8"/>
        <v>1.4547413793103448E-2</v>
      </c>
      <c r="DA136" t="str">
        <f>IF(CR136&lt;CX136,"yes","no")</f>
        <v>yes</v>
      </c>
      <c r="DB136" t="str">
        <f>IF(CS136&lt;CY136,"yes","no")</f>
        <v>yes</v>
      </c>
      <c r="DC136" t="str">
        <f>IF(CT136&lt;CZ136,"yes","no")</f>
        <v>no</v>
      </c>
    </row>
    <row r="137" spans="1:107" x14ac:dyDescent="0.2">
      <c r="A137" s="2" t="b">
        <v>0</v>
      </c>
      <c r="B137" s="2" t="s">
        <v>79</v>
      </c>
      <c r="C137" s="2" t="s">
        <v>80</v>
      </c>
      <c r="D137" s="2" t="s">
        <v>422</v>
      </c>
      <c r="E137" s="2" t="s">
        <v>423</v>
      </c>
      <c r="F137" s="2">
        <v>11</v>
      </c>
      <c r="G137" s="2">
        <v>11</v>
      </c>
      <c r="H137" s="2">
        <v>67.2</v>
      </c>
      <c r="I137" s="2">
        <v>7.72</v>
      </c>
      <c r="J137" s="2" t="s">
        <v>83</v>
      </c>
      <c r="K137" s="2" t="s">
        <v>83</v>
      </c>
      <c r="L137" s="2" t="s">
        <v>83</v>
      </c>
      <c r="M137" s="2" t="s">
        <v>83</v>
      </c>
      <c r="N137" s="2" t="s">
        <v>422</v>
      </c>
      <c r="O137" s="2">
        <v>5.7539999999999996</v>
      </c>
      <c r="P137" s="2">
        <v>0.28499999999999998</v>
      </c>
      <c r="Q137" s="2">
        <v>4.5789999999999997</v>
      </c>
      <c r="R137" s="2">
        <v>1.0940000000000001</v>
      </c>
      <c r="S137" s="2">
        <v>3.141</v>
      </c>
      <c r="T137" s="2">
        <v>0.33600000000000002</v>
      </c>
      <c r="U137" s="2">
        <v>0.747</v>
      </c>
      <c r="V137" s="2">
        <v>0.04</v>
      </c>
      <c r="W137" s="2">
        <v>0.17599999999999999</v>
      </c>
      <c r="X137" s="2">
        <v>1.857</v>
      </c>
      <c r="Y137" s="2">
        <v>76.099999999999994</v>
      </c>
      <c r="Z137" s="2">
        <v>36.9</v>
      </c>
      <c r="AA137" s="2">
        <v>364.2</v>
      </c>
      <c r="AB137" s="2">
        <v>17.600000000000001</v>
      </c>
      <c r="AC137" s="2">
        <v>5.2</v>
      </c>
      <c r="AD137" s="2">
        <v>6705698.49609375</v>
      </c>
      <c r="AE137" s="2">
        <v>7004130.953125</v>
      </c>
      <c r="AF137" s="2">
        <v>5746240.80859375</v>
      </c>
      <c r="AG137" s="2">
        <v>3840970.1503906301</v>
      </c>
      <c r="AH137" s="2">
        <v>4056594.265625</v>
      </c>
      <c r="AI137" s="2">
        <v>66027.25390625</v>
      </c>
      <c r="AJ137" s="2">
        <v>58743.09375</v>
      </c>
      <c r="AK137" s="2">
        <v>49035.510253906301</v>
      </c>
      <c r="AL137" s="2">
        <v>84521.994140625</v>
      </c>
      <c r="AM137" s="2">
        <v>53349.25</v>
      </c>
      <c r="AN137" s="2">
        <v>512106.658203125</v>
      </c>
      <c r="AO137" s="2">
        <v>525256.39599609398</v>
      </c>
      <c r="AP137" s="2">
        <v>599146.76220703102</v>
      </c>
      <c r="AQ137" s="2">
        <v>550017.20703125</v>
      </c>
      <c r="AR137" s="2">
        <v>712389.40380859398</v>
      </c>
      <c r="AS137" s="2">
        <v>188412.93847656299</v>
      </c>
      <c r="AT137" s="2">
        <v>359450.78222656302</v>
      </c>
      <c r="AU137" s="2">
        <v>143493.03222656299</v>
      </c>
      <c r="AV137" s="2">
        <v>158274.96728515599</v>
      </c>
      <c r="AW137" s="2">
        <v>317371.18115234398</v>
      </c>
      <c r="AX137" s="2">
        <v>15521.3427734375</v>
      </c>
      <c r="AY137" s="2" t="s">
        <v>83</v>
      </c>
      <c r="AZ137" s="2">
        <v>28732.64453125</v>
      </c>
      <c r="BA137" s="2" t="s">
        <v>83</v>
      </c>
      <c r="BB137" s="2" t="s">
        <v>83</v>
      </c>
      <c r="BC137" s="2" t="s">
        <v>79</v>
      </c>
      <c r="BD137" s="2" t="s">
        <v>79</v>
      </c>
      <c r="BE137" s="2" t="s">
        <v>79</v>
      </c>
      <c r="BF137" s="2" t="s">
        <v>79</v>
      </c>
      <c r="BG137" s="2" t="s">
        <v>79</v>
      </c>
      <c r="BH137" s="2" t="s">
        <v>91</v>
      </c>
      <c r="BI137" s="2" t="s">
        <v>91</v>
      </c>
      <c r="BJ137" s="2" t="s">
        <v>91</v>
      </c>
      <c r="BK137" s="2" t="s">
        <v>91</v>
      </c>
      <c r="BL137" s="2" t="s">
        <v>91</v>
      </c>
      <c r="BM137" s="2" t="s">
        <v>79</v>
      </c>
      <c r="BN137" s="2" t="s">
        <v>79</v>
      </c>
      <c r="BO137" s="2" t="s">
        <v>79</v>
      </c>
      <c r="BP137" s="2" t="s">
        <v>79</v>
      </c>
      <c r="BQ137" s="2" t="s">
        <v>79</v>
      </c>
      <c r="BR137" s="2" t="s">
        <v>79</v>
      </c>
      <c r="BS137" s="2" t="s">
        <v>79</v>
      </c>
      <c r="BT137" s="2" t="s">
        <v>79</v>
      </c>
      <c r="BU137" s="2" t="s">
        <v>79</v>
      </c>
      <c r="BV137" s="2" t="s">
        <v>79</v>
      </c>
      <c r="BW137" s="2" t="s">
        <v>91</v>
      </c>
      <c r="BX137" s="2" t="s">
        <v>98</v>
      </c>
      <c r="BY137" s="2" t="s">
        <v>91</v>
      </c>
      <c r="BZ137" s="2" t="s">
        <v>98</v>
      </c>
      <c r="CA137" s="2" t="s">
        <v>98</v>
      </c>
      <c r="CB137">
        <f>TTEST(AS137:AW137,AI137:AM137,2,2)</f>
        <v>4.8715634204387149E-3</v>
      </c>
      <c r="CC137">
        <f>TTEST(AD137:AH137,AI137:AM137,2,2)</f>
        <v>3.517223226704242E-5</v>
      </c>
      <c r="CD137">
        <f>TTEST(AN137:AR137,AI137:AM137,2,2)</f>
        <v>6.4359036411391879E-7</v>
      </c>
      <c r="CE137">
        <f>TTEST(AX137:BB137,AI137:AM137,2,2)</f>
        <v>1.4647165841566848E-2</v>
      </c>
      <c r="CF137">
        <v>125</v>
      </c>
      <c r="CG137">
        <v>94</v>
      </c>
      <c r="CH137">
        <v>5</v>
      </c>
      <c r="CI137">
        <v>86</v>
      </c>
      <c r="CJ137">
        <f>0.05*CF137/464</f>
        <v>1.3469827586206896E-2</v>
      </c>
      <c r="CK137">
        <f>0.05*CG137/464</f>
        <v>1.0129310344827587E-2</v>
      </c>
      <c r="CL137">
        <f>0.05*CH137/464</f>
        <v>5.3879310344827585E-4</v>
      </c>
      <c r="CM137">
        <f>0.05*CI137/464</f>
        <v>9.2672413793103443E-3</v>
      </c>
      <c r="CN137" t="str">
        <f>IF(CB137&lt;CJ137,"yes","no")</f>
        <v>yes</v>
      </c>
      <c r="CO137" t="str">
        <f>IF(CC137&lt;CK137,"yes","no")</f>
        <v>yes</v>
      </c>
      <c r="CP137" t="str">
        <f>IF(CD137&lt;CL137,"yes","no")</f>
        <v>yes</v>
      </c>
      <c r="CQ137" t="str">
        <f>IF(CE137&lt;CM137,"yes","no")</f>
        <v>no</v>
      </c>
      <c r="CR137">
        <f>TTEST(AS137:AW137,AD137:AH137,2,2)</f>
        <v>4.5062556905229536E-5</v>
      </c>
      <c r="CS137">
        <f>TTEST(AS137:AW137,AN137:AR137,2,2)</f>
        <v>2.9862962421796938E-4</v>
      </c>
      <c r="CT137">
        <f>TTEST(AS137:AW137,AX137:BB137,2,2)</f>
        <v>3.5101280460997579E-2</v>
      </c>
      <c r="CU137">
        <v>116</v>
      </c>
      <c r="CV137">
        <v>73</v>
      </c>
      <c r="CW137">
        <v>136</v>
      </c>
      <c r="CX137">
        <f t="shared" si="6"/>
        <v>1.2500000000000001E-2</v>
      </c>
      <c r="CY137">
        <f t="shared" si="7"/>
        <v>7.8663793103448277E-3</v>
      </c>
      <c r="CZ137">
        <f t="shared" si="8"/>
        <v>1.4655172413793105E-2</v>
      </c>
      <c r="DA137" t="str">
        <f>IF(CR137&lt;CX137,"yes","no")</f>
        <v>yes</v>
      </c>
      <c r="DB137" t="str">
        <f>IF(CS137&lt;CY137,"yes","no")</f>
        <v>yes</v>
      </c>
      <c r="DC137" t="str">
        <f>IF(CT137&lt;CZ137,"yes","no")</f>
        <v>no</v>
      </c>
    </row>
    <row r="138" spans="1:107" x14ac:dyDescent="0.2">
      <c r="A138" s="2" t="b">
        <v>0</v>
      </c>
      <c r="B138" s="2" t="s">
        <v>79</v>
      </c>
      <c r="C138" s="2" t="s">
        <v>80</v>
      </c>
      <c r="D138" s="2" t="s">
        <v>678</v>
      </c>
      <c r="E138" s="2" t="s">
        <v>679</v>
      </c>
      <c r="F138" s="2">
        <v>7</v>
      </c>
      <c r="G138" s="2">
        <v>7</v>
      </c>
      <c r="H138" s="2">
        <v>75.5</v>
      </c>
      <c r="I138" s="2">
        <v>6.25</v>
      </c>
      <c r="J138" s="2" t="s">
        <v>680</v>
      </c>
      <c r="K138" s="2" t="s">
        <v>84</v>
      </c>
      <c r="L138" s="2" t="s">
        <v>119</v>
      </c>
      <c r="M138" s="2" t="s">
        <v>681</v>
      </c>
      <c r="N138" s="2" t="s">
        <v>682</v>
      </c>
      <c r="O138" s="2">
        <v>4.8810000000000002</v>
      </c>
      <c r="P138" s="2">
        <v>0.23899999999999999</v>
      </c>
      <c r="Q138" s="2">
        <v>3.6680000000000001</v>
      </c>
      <c r="R138" s="2">
        <v>0.191</v>
      </c>
      <c r="S138" s="2">
        <v>1.155</v>
      </c>
      <c r="T138" s="2">
        <v>3.6999999999999998E-2</v>
      </c>
      <c r="U138" s="2">
        <v>0.42899999999999999</v>
      </c>
      <c r="V138" s="2">
        <v>3.7999999999999999E-2</v>
      </c>
      <c r="W138" s="2">
        <v>0.59699999999999998</v>
      </c>
      <c r="X138" s="2">
        <v>8.7059999999999995</v>
      </c>
      <c r="Y138" s="2">
        <v>65.3</v>
      </c>
      <c r="Z138" s="2">
        <v>88.2</v>
      </c>
      <c r="AA138" s="2">
        <v>296.5</v>
      </c>
      <c r="AB138" s="2">
        <v>4.9000000000000004</v>
      </c>
      <c r="AC138" s="2">
        <v>45.1</v>
      </c>
      <c r="AD138" s="2">
        <v>1261513.21875</v>
      </c>
      <c r="AE138" s="2">
        <v>1053286.4609375</v>
      </c>
      <c r="AF138" s="2">
        <v>979545.03125</v>
      </c>
      <c r="AG138" s="2">
        <v>800395.6328125</v>
      </c>
      <c r="AH138" s="2">
        <v>816016.6015625</v>
      </c>
      <c r="AI138" s="2">
        <v>8494.6494140625</v>
      </c>
      <c r="AJ138" s="2">
        <v>32911.55859375</v>
      </c>
      <c r="AK138" s="2">
        <v>35915.5390625</v>
      </c>
      <c r="AL138" s="2">
        <v>26259.150390625</v>
      </c>
      <c r="AM138" s="2">
        <v>24668.1171875</v>
      </c>
      <c r="AN138" s="2">
        <v>97019.6142578125</v>
      </c>
      <c r="AO138" s="2">
        <v>75905.6064453125</v>
      </c>
      <c r="AP138" s="2">
        <v>77463.80859375</v>
      </c>
      <c r="AQ138" s="2">
        <v>79944.6376953125</v>
      </c>
      <c r="AR138" s="2">
        <v>130871.0703125</v>
      </c>
      <c r="AS138" s="2">
        <v>10969.9365234375</v>
      </c>
      <c r="AT138" s="2">
        <v>28359.013671875</v>
      </c>
      <c r="AU138" s="2">
        <v>9547.2431640625</v>
      </c>
      <c r="AV138" s="2">
        <v>29679.338378906301</v>
      </c>
      <c r="AW138" s="2">
        <v>13342.381347656299</v>
      </c>
      <c r="AX138" s="2">
        <v>37539.98828125</v>
      </c>
      <c r="AY138" s="2" t="s">
        <v>83</v>
      </c>
      <c r="AZ138" s="2">
        <v>29018.091796875</v>
      </c>
      <c r="BA138" s="2">
        <v>37817.7353515625</v>
      </c>
      <c r="BB138" s="2" t="s">
        <v>83</v>
      </c>
      <c r="BC138" s="2" t="s">
        <v>79</v>
      </c>
      <c r="BD138" s="2" t="s">
        <v>79</v>
      </c>
      <c r="BE138" s="2" t="s">
        <v>79</v>
      </c>
      <c r="BF138" s="2" t="s">
        <v>79</v>
      </c>
      <c r="BG138" s="2" t="s">
        <v>79</v>
      </c>
      <c r="BH138" s="2" t="s">
        <v>91</v>
      </c>
      <c r="BI138" s="2" t="s">
        <v>91</v>
      </c>
      <c r="BJ138" s="2" t="s">
        <v>91</v>
      </c>
      <c r="BK138" s="2" t="s">
        <v>91</v>
      </c>
      <c r="BL138" s="2" t="s">
        <v>91</v>
      </c>
      <c r="BM138" s="2" t="s">
        <v>79</v>
      </c>
      <c r="BN138" s="2" t="s">
        <v>79</v>
      </c>
      <c r="BO138" s="2" t="s">
        <v>79</v>
      </c>
      <c r="BP138" s="2" t="s">
        <v>79</v>
      </c>
      <c r="BQ138" s="2" t="s">
        <v>79</v>
      </c>
      <c r="BR138" s="2" t="s">
        <v>91</v>
      </c>
      <c r="BS138" s="2" t="s">
        <v>91</v>
      </c>
      <c r="BT138" s="2" t="s">
        <v>91</v>
      </c>
      <c r="BU138" s="2" t="s">
        <v>91</v>
      </c>
      <c r="BV138" s="2" t="s">
        <v>91</v>
      </c>
      <c r="BW138" s="2" t="s">
        <v>91</v>
      </c>
      <c r="BX138" s="2" t="s">
        <v>98</v>
      </c>
      <c r="BY138" s="2" t="s">
        <v>91</v>
      </c>
      <c r="BZ138" s="2" t="s">
        <v>91</v>
      </c>
      <c r="CA138" s="2" t="s">
        <v>98</v>
      </c>
      <c r="CB138">
        <f>TTEST(AS138:AW138,AI138:AM138,2,2)</f>
        <v>0.29429518505786079</v>
      </c>
      <c r="CC138">
        <f>TTEST(AD138:AH138,AI138:AM138,2,2)</f>
        <v>3.4660468482249673E-6</v>
      </c>
      <c r="CD138">
        <f>TTEST(AN138:AR138,AI138:AM138,2,2)</f>
        <v>3.8956500019085837E-4</v>
      </c>
      <c r="CE138">
        <f>TTEST(AX138:BB138,AI138:AM138,2,2)</f>
        <v>0.22088058524661275</v>
      </c>
      <c r="CF138">
        <v>177</v>
      </c>
      <c r="CG138">
        <v>73</v>
      </c>
      <c r="CH138">
        <v>63</v>
      </c>
      <c r="CI138">
        <v>133</v>
      </c>
      <c r="CJ138">
        <f>0.05*CF138/464</f>
        <v>1.9073275862068965E-2</v>
      </c>
      <c r="CK138">
        <f>0.05*CG138/464</f>
        <v>7.8663793103448277E-3</v>
      </c>
      <c r="CL138">
        <f>0.05*CH138/464</f>
        <v>6.7887931034482764E-3</v>
      </c>
      <c r="CM138">
        <f>0.05*CI138/464</f>
        <v>1.4331896551724139E-2</v>
      </c>
      <c r="CN138" t="str">
        <f>IF(CB138&lt;CJ138,"yes","no")</f>
        <v>no</v>
      </c>
      <c r="CO138" t="str">
        <f>IF(CC138&lt;CK138,"yes","no")</f>
        <v>yes</v>
      </c>
      <c r="CP138" t="str">
        <f>IF(CD138&lt;CL138,"yes","no")</f>
        <v>yes</v>
      </c>
      <c r="CQ138" t="str">
        <f>IF(CE138&lt;CM138,"yes","no")</f>
        <v>no</v>
      </c>
      <c r="CR138">
        <f>TTEST(AS138:AW138,AD138:AH138,2,2)</f>
        <v>3.2669575251780863E-6</v>
      </c>
      <c r="CS138">
        <f>TTEST(AS138:AW138,AN138:AR138,2,2)</f>
        <v>1.7700412381853274E-4</v>
      </c>
      <c r="CT138">
        <f>TTEST(AS138:AW138,AX138:BB138,2,2)</f>
        <v>3.8666862472578549E-2</v>
      </c>
      <c r="CU138">
        <v>71</v>
      </c>
      <c r="CV138">
        <v>58</v>
      </c>
      <c r="CW138">
        <v>137</v>
      </c>
      <c r="CX138">
        <f t="shared" si="6"/>
        <v>7.6508620689655178E-3</v>
      </c>
      <c r="CY138">
        <f t="shared" si="7"/>
        <v>6.2500000000000003E-3</v>
      </c>
      <c r="CZ138">
        <f t="shared" si="8"/>
        <v>1.476293103448276E-2</v>
      </c>
      <c r="DA138" t="str">
        <f>IF(CR138&lt;CX138,"yes","no")</f>
        <v>yes</v>
      </c>
      <c r="DB138" t="str">
        <f>IF(CS138&lt;CY138,"yes","no")</f>
        <v>yes</v>
      </c>
      <c r="DC138" t="str">
        <f>IF(CT138&lt;CZ138,"yes","no")</f>
        <v>no</v>
      </c>
    </row>
    <row r="139" spans="1:107" x14ac:dyDescent="0.2">
      <c r="A139" s="2" t="b">
        <v>0</v>
      </c>
      <c r="B139" s="2" t="s">
        <v>79</v>
      </c>
      <c r="C139" s="2" t="s">
        <v>80</v>
      </c>
      <c r="D139" s="2" t="s">
        <v>831</v>
      </c>
      <c r="E139" s="2" t="s">
        <v>832</v>
      </c>
      <c r="F139" s="2">
        <v>5</v>
      </c>
      <c r="G139" s="2">
        <v>5</v>
      </c>
      <c r="H139" s="2">
        <v>39</v>
      </c>
      <c r="I139" s="2">
        <v>8.7799999999999994</v>
      </c>
      <c r="J139" s="2" t="s">
        <v>322</v>
      </c>
      <c r="K139" s="2" t="s">
        <v>833</v>
      </c>
      <c r="L139" s="2" t="s">
        <v>119</v>
      </c>
      <c r="M139" s="2" t="s">
        <v>834</v>
      </c>
      <c r="N139" s="2" t="s">
        <v>831</v>
      </c>
      <c r="O139" s="2">
        <v>2.319</v>
      </c>
      <c r="P139" s="2">
        <v>0.25700000000000001</v>
      </c>
      <c r="Q139" s="2">
        <v>2.4420000000000002</v>
      </c>
      <c r="R139" s="2">
        <v>0.75900000000000001</v>
      </c>
      <c r="S139" s="2">
        <v>3.0739999999999998</v>
      </c>
      <c r="T139" s="2">
        <v>0.31</v>
      </c>
      <c r="U139" s="2">
        <v>1.8540000000000001</v>
      </c>
      <c r="V139" s="2">
        <v>0.10100000000000001</v>
      </c>
      <c r="W139" s="2">
        <v>0.63500000000000001</v>
      </c>
      <c r="X139" s="2">
        <v>6.2969999999999997</v>
      </c>
      <c r="Y139" s="2">
        <v>49.5</v>
      </c>
      <c r="Z139" s="2">
        <v>72.2</v>
      </c>
      <c r="AA139" s="2">
        <v>222</v>
      </c>
      <c r="AB139" s="2">
        <v>22.4</v>
      </c>
      <c r="AC139" s="2">
        <v>133.9</v>
      </c>
      <c r="AD139" s="2">
        <v>309478.5625</v>
      </c>
      <c r="AE139" s="2" t="s">
        <v>83</v>
      </c>
      <c r="AF139" s="2">
        <v>168769.75</v>
      </c>
      <c r="AG139" s="2">
        <v>1649763.515625</v>
      </c>
      <c r="AH139" s="2">
        <v>210457.32421875</v>
      </c>
      <c r="AI139" s="2" t="s">
        <v>83</v>
      </c>
      <c r="AJ139" s="2" t="s">
        <v>83</v>
      </c>
      <c r="AK139" s="2" t="s">
        <v>83</v>
      </c>
      <c r="AL139" s="2">
        <v>10624.236328125</v>
      </c>
      <c r="AM139" s="2" t="s">
        <v>83</v>
      </c>
      <c r="AN139" s="2">
        <v>8439.7197265625</v>
      </c>
      <c r="AO139" s="2" t="s">
        <v>83</v>
      </c>
      <c r="AP139" s="2" t="s">
        <v>83</v>
      </c>
      <c r="AQ139" s="2" t="s">
        <v>83</v>
      </c>
      <c r="AR139" s="2">
        <v>57311.75</v>
      </c>
      <c r="AS139" s="2" t="s">
        <v>83</v>
      </c>
      <c r="AT139" s="2">
        <v>12642.2978515625</v>
      </c>
      <c r="AU139" s="2" t="s">
        <v>83</v>
      </c>
      <c r="AV139" s="2">
        <v>29946.033203125</v>
      </c>
      <c r="AW139" s="2" t="s">
        <v>83</v>
      </c>
      <c r="AX139" s="2">
        <v>29466.466796875</v>
      </c>
      <c r="AY139" s="2">
        <v>44879.6015625</v>
      </c>
      <c r="AZ139" s="2">
        <v>37709.421875</v>
      </c>
      <c r="BA139" s="2">
        <v>42926.875</v>
      </c>
      <c r="BB139" s="2">
        <v>46878.63671875</v>
      </c>
      <c r="BC139" s="2" t="s">
        <v>79</v>
      </c>
      <c r="BD139" s="2" t="s">
        <v>79</v>
      </c>
      <c r="BE139" s="2" t="s">
        <v>91</v>
      </c>
      <c r="BF139" s="2" t="s">
        <v>79</v>
      </c>
      <c r="BG139" s="2" t="s">
        <v>79</v>
      </c>
      <c r="BH139" s="2" t="s">
        <v>98</v>
      </c>
      <c r="BI139" s="2" t="s">
        <v>98</v>
      </c>
      <c r="BJ139" s="2" t="s">
        <v>98</v>
      </c>
      <c r="BK139" s="2" t="s">
        <v>91</v>
      </c>
      <c r="BL139" s="2" t="s">
        <v>98</v>
      </c>
      <c r="BM139" s="2" t="s">
        <v>91</v>
      </c>
      <c r="BN139" s="2" t="s">
        <v>98</v>
      </c>
      <c r="BO139" s="2" t="s">
        <v>98</v>
      </c>
      <c r="BP139" s="2" t="s">
        <v>98</v>
      </c>
      <c r="BQ139" s="2" t="s">
        <v>79</v>
      </c>
      <c r="BR139" s="2" t="s">
        <v>98</v>
      </c>
      <c r="BS139" s="2" t="s">
        <v>91</v>
      </c>
      <c r="BT139" s="2" t="s">
        <v>98</v>
      </c>
      <c r="BU139" s="2" t="s">
        <v>91</v>
      </c>
      <c r="BV139" s="2" t="s">
        <v>98</v>
      </c>
      <c r="BW139" s="2" t="s">
        <v>91</v>
      </c>
      <c r="BX139" s="2" t="s">
        <v>91</v>
      </c>
      <c r="BY139" s="2" t="s">
        <v>91</v>
      </c>
      <c r="BZ139" s="2" t="s">
        <v>91</v>
      </c>
      <c r="CA139" s="2" t="s">
        <v>91</v>
      </c>
      <c r="CB139" t="e">
        <f>TTEST(AS139:AW139,AI139:AM139,2,2)</f>
        <v>#DIV/0!</v>
      </c>
      <c r="CC139" t="e">
        <f>TTEST(AD139:AH139,AI139:AM139,2,2)</f>
        <v>#DIV/0!</v>
      </c>
      <c r="CD139" t="e">
        <f>TTEST(AN139:AR139,AI139:AM139,2,2)</f>
        <v>#DIV/0!</v>
      </c>
      <c r="CE139" t="e">
        <f>TTEST(AX139:BB139,AI139:AM139,2,2)</f>
        <v>#DIV/0!</v>
      </c>
      <c r="CF139">
        <v>306</v>
      </c>
      <c r="CG139">
        <v>320</v>
      </c>
      <c r="CH139">
        <v>324</v>
      </c>
      <c r="CI139">
        <v>276</v>
      </c>
      <c r="CJ139">
        <f>0.05*CF139/464</f>
        <v>3.2974137931034486E-2</v>
      </c>
      <c r="CK139">
        <f>0.05*CG139/464</f>
        <v>3.4482758620689655E-2</v>
      </c>
      <c r="CL139">
        <f>0.05*CH139/464</f>
        <v>3.4913793103448276E-2</v>
      </c>
      <c r="CM139">
        <f>0.05*CI139/464</f>
        <v>2.9741379310344828E-2</v>
      </c>
      <c r="CN139" t="e">
        <f>IF(CB139&lt;CJ139,"yes","no")</f>
        <v>#DIV/0!</v>
      </c>
      <c r="CO139" t="e">
        <f>IF(CC139&lt;CK139,"yes","no")</f>
        <v>#DIV/0!</v>
      </c>
      <c r="CP139" t="e">
        <f>IF(CD139&lt;CL139,"yes","no")</f>
        <v>#DIV/0!</v>
      </c>
      <c r="CQ139" t="e">
        <f>IF(CE139&lt;CM139,"yes","no")</f>
        <v>#DIV/0!</v>
      </c>
      <c r="CR139">
        <f>TTEST(AS139:AW139,AD139:AH139,2,2)</f>
        <v>0.35131706753990682</v>
      </c>
      <c r="CS139">
        <f>TTEST(AS139:AW139,AN139:AR139,2,2)</f>
        <v>0.69875598023633401</v>
      </c>
      <c r="CT139">
        <f>TTEST(AS139:AW139,AX139:BB139,2,2)</f>
        <v>4.0528045697012828E-2</v>
      </c>
      <c r="CU139">
        <v>287</v>
      </c>
      <c r="CV139">
        <v>243</v>
      </c>
      <c r="CW139">
        <v>138</v>
      </c>
      <c r="CX139">
        <f t="shared" si="6"/>
        <v>3.0926724137931037E-2</v>
      </c>
      <c r="CY139">
        <f t="shared" si="7"/>
        <v>2.6185344827586207E-2</v>
      </c>
      <c r="CZ139">
        <f t="shared" si="8"/>
        <v>1.4870689655172414E-2</v>
      </c>
      <c r="DA139" t="str">
        <f>IF(CR139&lt;CX139,"yes","no")</f>
        <v>no</v>
      </c>
      <c r="DB139" t="str">
        <f>IF(CS139&lt;CY139,"yes","no")</f>
        <v>no</v>
      </c>
      <c r="DC139" t="str">
        <f>IF(CT139&lt;CZ139,"yes","no")</f>
        <v>no</v>
      </c>
    </row>
    <row r="140" spans="1:107" x14ac:dyDescent="0.2">
      <c r="A140" s="2" t="b">
        <v>0</v>
      </c>
      <c r="B140" s="2" t="s">
        <v>79</v>
      </c>
      <c r="C140" s="2" t="s">
        <v>80</v>
      </c>
      <c r="D140" s="2" t="s">
        <v>1286</v>
      </c>
      <c r="E140" s="2" t="s">
        <v>1287</v>
      </c>
      <c r="F140" s="2">
        <v>2</v>
      </c>
      <c r="G140" s="2">
        <v>2</v>
      </c>
      <c r="H140" s="2">
        <v>48.6</v>
      </c>
      <c r="I140" s="2">
        <v>7.23</v>
      </c>
      <c r="J140" s="2" t="s">
        <v>254</v>
      </c>
      <c r="K140" s="2" t="s">
        <v>128</v>
      </c>
      <c r="L140" s="2" t="s">
        <v>119</v>
      </c>
      <c r="M140" s="2" t="s">
        <v>1288</v>
      </c>
      <c r="N140" s="2" t="s">
        <v>1289</v>
      </c>
      <c r="O140" s="2">
        <v>16.498000000000001</v>
      </c>
      <c r="P140" s="2">
        <v>1.9430000000000001</v>
      </c>
      <c r="Q140" s="2">
        <v>3.778</v>
      </c>
      <c r="R140" s="2">
        <v>0.42699999999999999</v>
      </c>
      <c r="S140" s="2">
        <v>6.923</v>
      </c>
      <c r="T140" s="2">
        <v>0.32600000000000001</v>
      </c>
      <c r="U140" s="2" t="s">
        <v>83</v>
      </c>
      <c r="V140" s="2">
        <v>4.4999999999999998E-2</v>
      </c>
      <c r="W140" s="2" t="s">
        <v>83</v>
      </c>
      <c r="X140" s="2">
        <v>1.952</v>
      </c>
      <c r="Y140" s="2">
        <v>18.3</v>
      </c>
      <c r="Z140" s="2">
        <v>45.1</v>
      </c>
      <c r="AA140" s="2">
        <v>370.4</v>
      </c>
      <c r="AB140" s="2">
        <v>24.7</v>
      </c>
      <c r="AC140" s="2">
        <v>41.5</v>
      </c>
      <c r="AD140" s="2">
        <v>297455.5</v>
      </c>
      <c r="AE140" s="2">
        <v>323335.9375</v>
      </c>
      <c r="AF140" s="2">
        <v>336213.40625</v>
      </c>
      <c r="AG140" s="2">
        <v>169656.328125</v>
      </c>
      <c r="AH140" s="2">
        <v>231266.6015625</v>
      </c>
      <c r="AI140" s="2">
        <v>13921.0087890625</v>
      </c>
      <c r="AJ140" s="2">
        <v>17471.72265625</v>
      </c>
      <c r="AK140" s="2">
        <v>14272.7158203125</v>
      </c>
      <c r="AL140" s="2">
        <v>16779.078125</v>
      </c>
      <c r="AM140" s="2">
        <v>10509.794921875</v>
      </c>
      <c r="AN140" s="2">
        <v>99111.3125</v>
      </c>
      <c r="AO140" s="2">
        <v>79661.328125</v>
      </c>
      <c r="AP140" s="2">
        <v>103580.2421875</v>
      </c>
      <c r="AQ140" s="2">
        <v>85002.7265625</v>
      </c>
      <c r="AR140" s="2">
        <v>134321.515625</v>
      </c>
      <c r="AS140" s="2">
        <v>46483.16796875</v>
      </c>
      <c r="AT140" s="2">
        <v>65568.328125</v>
      </c>
      <c r="AU140" s="2">
        <v>57295.6015625</v>
      </c>
      <c r="AV140" s="2">
        <v>92905.3671875</v>
      </c>
      <c r="AW140" s="2">
        <v>56437.70703125</v>
      </c>
      <c r="AX140" s="2">
        <v>56984.88671875</v>
      </c>
      <c r="AY140" s="2" t="s">
        <v>83</v>
      </c>
      <c r="AZ140" s="2">
        <v>24205.568359375</v>
      </c>
      <c r="BA140" s="2">
        <v>21259.06640625</v>
      </c>
      <c r="BB140" s="2">
        <v>38316.4453125</v>
      </c>
      <c r="BC140" s="2" t="s">
        <v>91</v>
      </c>
      <c r="BD140" s="2" t="s">
        <v>91</v>
      </c>
      <c r="BE140" s="2" t="s">
        <v>91</v>
      </c>
      <c r="BF140" s="2" t="s">
        <v>79</v>
      </c>
      <c r="BG140" s="2" t="s">
        <v>79</v>
      </c>
      <c r="BH140" s="2" t="s">
        <v>91</v>
      </c>
      <c r="BI140" s="2" t="s">
        <v>91</v>
      </c>
      <c r="BJ140" s="2" t="s">
        <v>91</v>
      </c>
      <c r="BK140" s="2" t="s">
        <v>91</v>
      </c>
      <c r="BL140" s="2" t="s">
        <v>91</v>
      </c>
      <c r="BM140" s="2" t="s">
        <v>91</v>
      </c>
      <c r="BN140" s="2" t="s">
        <v>79</v>
      </c>
      <c r="BO140" s="2" t="s">
        <v>79</v>
      </c>
      <c r="BP140" s="2" t="s">
        <v>91</v>
      </c>
      <c r="BQ140" s="2" t="s">
        <v>79</v>
      </c>
      <c r="BR140" s="2" t="s">
        <v>91</v>
      </c>
      <c r="BS140" s="2" t="s">
        <v>91</v>
      </c>
      <c r="BT140" s="2" t="s">
        <v>91</v>
      </c>
      <c r="BU140" s="2" t="s">
        <v>91</v>
      </c>
      <c r="BV140" s="2" t="s">
        <v>91</v>
      </c>
      <c r="BW140" s="2" t="s">
        <v>91</v>
      </c>
      <c r="BX140" s="2" t="s">
        <v>98</v>
      </c>
      <c r="BY140" s="2" t="s">
        <v>91</v>
      </c>
      <c r="BZ140" s="2" t="s">
        <v>91</v>
      </c>
      <c r="CA140" s="2" t="s">
        <v>91</v>
      </c>
      <c r="CB140">
        <f>TTEST(AS140:AW140,AI140:AM140,2,2)</f>
        <v>2.7374567444541763E-4</v>
      </c>
      <c r="CC140">
        <f>TTEST(AD140:AH140,AI140:AM140,2,2)</f>
        <v>3.6036971377172185E-5</v>
      </c>
      <c r="CD140">
        <f>TTEST(AN140:AR140,AI140:AM140,2,2)</f>
        <v>2.0256488131564483E-5</v>
      </c>
      <c r="CE140">
        <f>TTEST(AX140:BB140,AI140:AM140,2,2)</f>
        <v>2.5753108479452645E-2</v>
      </c>
      <c r="CF140">
        <v>83</v>
      </c>
      <c r="CG140">
        <v>95</v>
      </c>
      <c r="CH140">
        <v>27</v>
      </c>
      <c r="CI140">
        <v>97</v>
      </c>
      <c r="CJ140">
        <f>0.05*CF140/464</f>
        <v>8.9439655172413798E-3</v>
      </c>
      <c r="CK140">
        <f>0.05*CG140/464</f>
        <v>1.0237068965517241E-2</v>
      </c>
      <c r="CL140">
        <f>0.05*CH140/464</f>
        <v>2.9094827586206898E-3</v>
      </c>
      <c r="CM140">
        <f>0.05*CI140/464</f>
        <v>1.0452586206896554E-2</v>
      </c>
      <c r="CN140" t="str">
        <f>IF(CB140&lt;CJ140,"yes","no")</f>
        <v>yes</v>
      </c>
      <c r="CO140" t="str">
        <f>IF(CC140&lt;CK140,"yes","no")</f>
        <v>yes</v>
      </c>
      <c r="CP140" t="str">
        <f>IF(CD140&lt;CL140,"yes","no")</f>
        <v>yes</v>
      </c>
      <c r="CQ140" t="str">
        <f>IF(CE140&lt;CM140,"yes","no")</f>
        <v>no</v>
      </c>
      <c r="CR140">
        <f>TTEST(AS140:AW140,AD140:AH140,2,2)</f>
        <v>1.9888726206237307E-4</v>
      </c>
      <c r="CS140">
        <f>TTEST(AS140:AW140,AN140:AR140,2,2)</f>
        <v>1.8399782827791564E-2</v>
      </c>
      <c r="CT140">
        <f>TTEST(AS140:AW140,AX140:BB140,2,2)</f>
        <v>4.1655983914368026E-2</v>
      </c>
      <c r="CU140">
        <v>142</v>
      </c>
      <c r="CV140">
        <v>143</v>
      </c>
      <c r="CW140">
        <v>139</v>
      </c>
      <c r="CX140">
        <f t="shared" si="6"/>
        <v>1.5301724137931036E-2</v>
      </c>
      <c r="CY140">
        <f t="shared" si="7"/>
        <v>1.5409482758620691E-2</v>
      </c>
      <c r="CZ140">
        <f t="shared" si="8"/>
        <v>1.4978448275862069E-2</v>
      </c>
      <c r="DA140" t="str">
        <f>IF(CR140&lt;CX140,"yes","no")</f>
        <v>yes</v>
      </c>
      <c r="DB140" t="str">
        <f>IF(CS140&lt;CY140,"yes","no")</f>
        <v>no</v>
      </c>
      <c r="DC140" t="str">
        <f>IF(CT140&lt;CZ140,"yes","no")</f>
        <v>no</v>
      </c>
    </row>
    <row r="141" spans="1:107" x14ac:dyDescent="0.2">
      <c r="A141" s="2" t="b">
        <v>0</v>
      </c>
      <c r="B141" s="2" t="s">
        <v>79</v>
      </c>
      <c r="C141" s="2" t="s">
        <v>80</v>
      </c>
      <c r="D141" s="2" t="s">
        <v>715</v>
      </c>
      <c r="E141" s="2" t="s">
        <v>716</v>
      </c>
      <c r="F141" s="2">
        <v>4</v>
      </c>
      <c r="G141" s="2">
        <v>3</v>
      </c>
      <c r="H141" s="2">
        <v>12.9</v>
      </c>
      <c r="I141" s="2">
        <v>8.2899999999999991</v>
      </c>
      <c r="J141" s="2" t="s">
        <v>254</v>
      </c>
      <c r="K141" s="2" t="s">
        <v>319</v>
      </c>
      <c r="L141" s="2" t="s">
        <v>119</v>
      </c>
      <c r="M141" s="2" t="s">
        <v>83</v>
      </c>
      <c r="N141" s="2" t="s">
        <v>717</v>
      </c>
      <c r="O141" s="2">
        <v>1.7909999999999999</v>
      </c>
      <c r="P141" s="2">
        <v>0.188</v>
      </c>
      <c r="Q141" s="2">
        <v>0.184</v>
      </c>
      <c r="R141" s="2">
        <v>100</v>
      </c>
      <c r="S141" s="2">
        <v>100</v>
      </c>
      <c r="T141" s="2">
        <v>100</v>
      </c>
      <c r="U141" s="2">
        <v>100</v>
      </c>
      <c r="V141" s="2">
        <v>0.12</v>
      </c>
      <c r="W141" s="2">
        <v>7.9000000000000001E-2</v>
      </c>
      <c r="X141" s="2">
        <v>0.88</v>
      </c>
      <c r="Y141" s="2">
        <v>161.30000000000001</v>
      </c>
      <c r="Z141" s="2" t="s">
        <v>83</v>
      </c>
      <c r="AA141" s="2">
        <v>316.89999999999998</v>
      </c>
      <c r="AB141" s="2">
        <v>12.6</v>
      </c>
      <c r="AC141" s="2">
        <v>9.1999999999999993</v>
      </c>
      <c r="AD141" s="2">
        <v>2115613.4453125</v>
      </c>
      <c r="AE141" s="2">
        <v>1652747.61328125</v>
      </c>
      <c r="AF141" s="2">
        <v>1302424.71875</v>
      </c>
      <c r="AG141" s="2">
        <v>2054521.203125</v>
      </c>
      <c r="AH141" s="2">
        <v>1786711.09375</v>
      </c>
      <c r="AI141" s="2" t="s">
        <v>83</v>
      </c>
      <c r="AJ141" s="2" t="s">
        <v>83</v>
      </c>
      <c r="AK141" s="2" t="s">
        <v>83</v>
      </c>
      <c r="AL141" s="2" t="s">
        <v>83</v>
      </c>
      <c r="AM141" s="2" t="s">
        <v>83</v>
      </c>
      <c r="AN141" s="2">
        <v>56785.3154296875</v>
      </c>
      <c r="AO141" s="2">
        <v>60928.861328125</v>
      </c>
      <c r="AP141" s="2">
        <v>67277.08984375</v>
      </c>
      <c r="AQ141" s="2">
        <v>58266.408203125</v>
      </c>
      <c r="AR141" s="2">
        <v>90028.07421875</v>
      </c>
      <c r="AS141" s="2">
        <v>17045.677734375</v>
      </c>
      <c r="AT141" s="2">
        <v>31349.931640625</v>
      </c>
      <c r="AU141" s="2">
        <v>18875.93359375</v>
      </c>
      <c r="AV141" s="2">
        <v>13575.94140625</v>
      </c>
      <c r="AW141" s="2">
        <v>23401.5703125</v>
      </c>
      <c r="AX141" s="2">
        <v>7632.833984375</v>
      </c>
      <c r="AY141" s="2">
        <v>6204.3857421875</v>
      </c>
      <c r="AZ141" s="2" t="s">
        <v>83</v>
      </c>
      <c r="BA141" s="2" t="s">
        <v>83</v>
      </c>
      <c r="BB141" s="2" t="s">
        <v>83</v>
      </c>
      <c r="BC141" s="2" t="s">
        <v>79</v>
      </c>
      <c r="BD141" s="2" t="s">
        <v>79</v>
      </c>
      <c r="BE141" s="2" t="s">
        <v>79</v>
      </c>
      <c r="BF141" s="2" t="s">
        <v>79</v>
      </c>
      <c r="BG141" s="2" t="s">
        <v>79</v>
      </c>
      <c r="BH141" s="2" t="s">
        <v>98</v>
      </c>
      <c r="BI141" s="2" t="s">
        <v>98</v>
      </c>
      <c r="BJ141" s="2" t="s">
        <v>98</v>
      </c>
      <c r="BK141" s="2" t="s">
        <v>98</v>
      </c>
      <c r="BL141" s="2" t="s">
        <v>98</v>
      </c>
      <c r="BM141" s="2" t="s">
        <v>79</v>
      </c>
      <c r="BN141" s="2" t="s">
        <v>79</v>
      </c>
      <c r="BO141" s="2" t="s">
        <v>79</v>
      </c>
      <c r="BP141" s="2" t="s">
        <v>79</v>
      </c>
      <c r="BQ141" s="2" t="s">
        <v>79</v>
      </c>
      <c r="BR141" s="2" t="s">
        <v>98</v>
      </c>
      <c r="BS141" s="2" t="s">
        <v>98</v>
      </c>
      <c r="BT141" s="2" t="s">
        <v>98</v>
      </c>
      <c r="BU141" s="2" t="s">
        <v>98</v>
      </c>
      <c r="BV141" s="2" t="s">
        <v>98</v>
      </c>
      <c r="BW141" s="2" t="s">
        <v>98</v>
      </c>
      <c r="BX141" s="2" t="s">
        <v>98</v>
      </c>
      <c r="BY141" s="2" t="s">
        <v>98</v>
      </c>
      <c r="BZ141" s="2" t="s">
        <v>98</v>
      </c>
      <c r="CA141" s="2" t="s">
        <v>98</v>
      </c>
      <c r="CB141" t="e">
        <f>TTEST(AS141:AW141,AI141:AM141,2,2)</f>
        <v>#DIV/0!</v>
      </c>
      <c r="CC141" t="e">
        <f>TTEST(AD141:AH141,AI141:AM141,2,2)</f>
        <v>#DIV/0!</v>
      </c>
      <c r="CD141" t="e">
        <f>TTEST(AN141:AR141,AI141:AM141,2,2)</f>
        <v>#DIV/0!</v>
      </c>
      <c r="CE141" t="e">
        <f>TTEST(AX141:BB141,AI141:AM141,2,2)</f>
        <v>#DIV/0!</v>
      </c>
      <c r="CF141">
        <v>241</v>
      </c>
      <c r="CG141">
        <v>255</v>
      </c>
      <c r="CH141">
        <v>259</v>
      </c>
      <c r="CI141">
        <v>205</v>
      </c>
      <c r="CJ141">
        <f>0.05*CF141/464</f>
        <v>2.5969827586206896E-2</v>
      </c>
      <c r="CK141">
        <f>0.05*CG141/464</f>
        <v>2.7478448275862068E-2</v>
      </c>
      <c r="CL141">
        <f>0.05*CH141/464</f>
        <v>2.7909482758620693E-2</v>
      </c>
      <c r="CM141">
        <f>0.05*CI141/464</f>
        <v>2.2090517241379309E-2</v>
      </c>
      <c r="CN141" t="e">
        <f>IF(CB141&lt;CJ141,"yes","no")</f>
        <v>#DIV/0!</v>
      </c>
      <c r="CO141" t="e">
        <f>IF(CC141&lt;CK141,"yes","no")</f>
        <v>#DIV/0!</v>
      </c>
      <c r="CP141" t="e">
        <f>IF(CD141&lt;CL141,"yes","no")</f>
        <v>#DIV/0!</v>
      </c>
      <c r="CQ141" t="e">
        <f>IF(CE141&lt;CM141,"yes","no")</f>
        <v>#DIV/0!</v>
      </c>
      <c r="CR141">
        <f>TTEST(AS141:AW141,AD141:AH141,2,2)</f>
        <v>2.172274027910952E-6</v>
      </c>
      <c r="CS141">
        <f>TTEST(AS141:AW141,AN141:AR141,2,2)</f>
        <v>1.5294755914979129E-4</v>
      </c>
      <c r="CT141">
        <f>TTEST(AS141:AW141,AX141:BB141,2,2)</f>
        <v>4.2385156711870008E-2</v>
      </c>
      <c r="CU141">
        <v>65</v>
      </c>
      <c r="CV141">
        <v>50</v>
      </c>
      <c r="CW141">
        <v>140</v>
      </c>
      <c r="CX141">
        <f t="shared" si="6"/>
        <v>7.0043103448275863E-3</v>
      </c>
      <c r="CY141">
        <f t="shared" si="7"/>
        <v>5.387931034482759E-3</v>
      </c>
      <c r="CZ141">
        <f t="shared" si="8"/>
        <v>1.5086206896551725E-2</v>
      </c>
      <c r="DA141" t="str">
        <f>IF(CR141&lt;CX141,"yes","no")</f>
        <v>yes</v>
      </c>
      <c r="DB141" t="str">
        <f>IF(CS141&lt;CY141,"yes","no")</f>
        <v>yes</v>
      </c>
      <c r="DC141" t="str">
        <f>IF(CT141&lt;CZ141,"yes","no")</f>
        <v>no</v>
      </c>
    </row>
    <row r="142" spans="1:107" x14ac:dyDescent="0.2">
      <c r="A142" s="2" t="b">
        <v>0</v>
      </c>
      <c r="B142" s="2" t="s">
        <v>79</v>
      </c>
      <c r="C142" s="2" t="s">
        <v>80</v>
      </c>
      <c r="D142" s="2" t="s">
        <v>454</v>
      </c>
      <c r="E142" s="2" t="s">
        <v>455</v>
      </c>
      <c r="F142" s="2">
        <v>10</v>
      </c>
      <c r="G142" s="2">
        <v>10</v>
      </c>
      <c r="H142" s="2">
        <v>146.19999999999999</v>
      </c>
      <c r="I142" s="2">
        <v>7.25</v>
      </c>
      <c r="J142" s="2" t="s">
        <v>83</v>
      </c>
      <c r="K142" s="2" t="s">
        <v>456</v>
      </c>
      <c r="L142" s="2" t="s">
        <v>119</v>
      </c>
      <c r="M142" s="2" t="s">
        <v>83</v>
      </c>
      <c r="N142" s="2" t="s">
        <v>454</v>
      </c>
      <c r="O142" s="2">
        <v>3.3940000000000001</v>
      </c>
      <c r="P142" s="2">
        <v>0.505</v>
      </c>
      <c r="Q142" s="2">
        <v>1.1160000000000001</v>
      </c>
      <c r="R142" s="2">
        <v>0.38100000000000001</v>
      </c>
      <c r="S142" s="2">
        <v>1.6359999999999999</v>
      </c>
      <c r="T142" s="2">
        <v>0.24099999999999999</v>
      </c>
      <c r="U142" s="2">
        <v>0.71</v>
      </c>
      <c r="V142" s="2">
        <v>0.13400000000000001</v>
      </c>
      <c r="W142" s="2">
        <v>0.30599999999999999</v>
      </c>
      <c r="X142" s="2">
        <v>1.859</v>
      </c>
      <c r="Y142" s="2">
        <v>135.80000000000001</v>
      </c>
      <c r="Z142" s="2">
        <v>88.6</v>
      </c>
      <c r="AA142" s="2">
        <v>200</v>
      </c>
      <c r="AB142" s="2">
        <v>39.6</v>
      </c>
      <c r="AC142" s="2">
        <v>36.1</v>
      </c>
      <c r="AD142" s="2">
        <v>1219134.75</v>
      </c>
      <c r="AE142" s="2">
        <v>887934.8515625</v>
      </c>
      <c r="AF142" s="2">
        <v>814403.9375</v>
      </c>
      <c r="AG142" s="2">
        <v>1090906.140625</v>
      </c>
      <c r="AH142" s="2">
        <v>708797.916015625</v>
      </c>
      <c r="AI142" s="2">
        <v>58804.755859375</v>
      </c>
      <c r="AJ142" s="2">
        <v>13641.08203125</v>
      </c>
      <c r="AK142" s="2">
        <v>10231.7414550781</v>
      </c>
      <c r="AL142" s="2">
        <v>11358.6904296875</v>
      </c>
      <c r="AM142" s="2" t="s">
        <v>83</v>
      </c>
      <c r="AN142" s="2" t="s">
        <v>83</v>
      </c>
      <c r="AO142" s="2">
        <v>13275.4052734375</v>
      </c>
      <c r="AP142" s="2">
        <v>9719.91796875</v>
      </c>
      <c r="AQ142" s="2">
        <v>48705.66015625</v>
      </c>
      <c r="AR142" s="2">
        <v>65429.23828125</v>
      </c>
      <c r="AS142" s="2">
        <v>70012.744140625</v>
      </c>
      <c r="AT142" s="2">
        <v>53392.232421875</v>
      </c>
      <c r="AU142" s="2">
        <v>26989.232421875</v>
      </c>
      <c r="AV142" s="2">
        <v>39898.873046875</v>
      </c>
      <c r="AW142" s="2">
        <v>124379.45996093799</v>
      </c>
      <c r="AX142" s="2">
        <v>33743.1650390625</v>
      </c>
      <c r="AY142" s="2">
        <v>14325.5439453125</v>
      </c>
      <c r="AZ142" s="2">
        <v>13782.146972656299</v>
      </c>
      <c r="BA142" s="2">
        <v>12545.8740234375</v>
      </c>
      <c r="BB142" s="2">
        <v>29841.088378906301</v>
      </c>
      <c r="BC142" s="2" t="s">
        <v>79</v>
      </c>
      <c r="BD142" s="2" t="s">
        <v>79</v>
      </c>
      <c r="BE142" s="2" t="s">
        <v>79</v>
      </c>
      <c r="BF142" s="2" t="s">
        <v>79</v>
      </c>
      <c r="BG142" s="2" t="s">
        <v>79</v>
      </c>
      <c r="BH142" s="2" t="s">
        <v>91</v>
      </c>
      <c r="BI142" s="2" t="s">
        <v>91</v>
      </c>
      <c r="BJ142" s="2" t="s">
        <v>91</v>
      </c>
      <c r="BK142" s="2" t="s">
        <v>91</v>
      </c>
      <c r="BL142" s="2" t="s">
        <v>98</v>
      </c>
      <c r="BM142" s="2" t="s">
        <v>98</v>
      </c>
      <c r="BN142" s="2" t="s">
        <v>91</v>
      </c>
      <c r="BO142" s="2" t="s">
        <v>91</v>
      </c>
      <c r="BP142" s="2" t="s">
        <v>91</v>
      </c>
      <c r="BQ142" s="2" t="s">
        <v>91</v>
      </c>
      <c r="BR142" s="2" t="s">
        <v>91</v>
      </c>
      <c r="BS142" s="2" t="s">
        <v>91</v>
      </c>
      <c r="BT142" s="2" t="s">
        <v>91</v>
      </c>
      <c r="BU142" s="2" t="s">
        <v>91</v>
      </c>
      <c r="BV142" s="2" t="s">
        <v>91</v>
      </c>
      <c r="BW142" s="2" t="s">
        <v>91</v>
      </c>
      <c r="BX142" s="2" t="s">
        <v>91</v>
      </c>
      <c r="BY142" s="2" t="s">
        <v>91</v>
      </c>
      <c r="BZ142" s="2" t="s">
        <v>91</v>
      </c>
      <c r="CA142" s="2" t="s">
        <v>91</v>
      </c>
      <c r="CB142">
        <f>TTEST(AS142:AW142,AI142:AM142,2,2)</f>
        <v>0.11374310718726054</v>
      </c>
      <c r="CC142">
        <f>TTEST(AD142:AH142,AI142:AM142,2,2)</f>
        <v>5.3134100126462063E-5</v>
      </c>
      <c r="CD142">
        <f>TTEST(AN142:AR142,AI142:AM142,2,2)</f>
        <v>0.57146497318106171</v>
      </c>
      <c r="CE142">
        <f>TTEST(AX142:BB142,AI142:AM142,2,2)</f>
        <v>0.8243648964154815</v>
      </c>
      <c r="CF142">
        <v>159</v>
      </c>
      <c r="CG142">
        <v>102</v>
      </c>
      <c r="CH142">
        <v>193</v>
      </c>
      <c r="CI142">
        <v>193</v>
      </c>
      <c r="CJ142">
        <f>0.05*CF142/464</f>
        <v>1.7133620689655172E-2</v>
      </c>
      <c r="CK142">
        <f>0.05*CG142/464</f>
        <v>1.0991379310344829E-2</v>
      </c>
      <c r="CL142">
        <f>0.05*CH142/464</f>
        <v>2.0797413793103448E-2</v>
      </c>
      <c r="CM142">
        <f>0.05*CI142/464</f>
        <v>2.0797413793103448E-2</v>
      </c>
      <c r="CN142" t="str">
        <f>IF(CB142&lt;CJ142,"yes","no")</f>
        <v>no</v>
      </c>
      <c r="CO142" t="str">
        <f>IF(CC142&lt;CK142,"yes","no")</f>
        <v>yes</v>
      </c>
      <c r="CP142" t="str">
        <f>IF(CD142&lt;CL142,"yes","no")</f>
        <v>no</v>
      </c>
      <c r="CQ142" t="str">
        <f>IF(CE142&lt;CM142,"yes","no")</f>
        <v>no</v>
      </c>
      <c r="CR142">
        <f>TTEST(AS142:AW142,AD142:AH142,2,2)</f>
        <v>1.4159852952520035E-5</v>
      </c>
      <c r="CS142">
        <f>TTEST(AS142:AW142,AN142:AR142,2,2)</f>
        <v>0.24586936954799873</v>
      </c>
      <c r="CT142">
        <f>TTEST(AS142:AW142,AX142:BB142,2,2)</f>
        <v>4.3144018210867163E-2</v>
      </c>
      <c r="CU142">
        <v>101</v>
      </c>
      <c r="CV142">
        <v>205</v>
      </c>
      <c r="CW142">
        <v>141</v>
      </c>
      <c r="CX142">
        <f t="shared" si="6"/>
        <v>1.0883620689655173E-2</v>
      </c>
      <c r="CY142">
        <f t="shared" si="7"/>
        <v>2.2090517241379309E-2</v>
      </c>
      <c r="CZ142">
        <f t="shared" si="8"/>
        <v>1.519396551724138E-2</v>
      </c>
      <c r="DA142" t="str">
        <f>IF(CR142&lt;CX142,"yes","no")</f>
        <v>yes</v>
      </c>
      <c r="DB142" t="str">
        <f>IF(CS142&lt;CY142,"yes","no")</f>
        <v>no</v>
      </c>
      <c r="DC142" t="str">
        <f>IF(CT142&lt;CZ142,"yes","no")</f>
        <v>no</v>
      </c>
    </row>
    <row r="143" spans="1:107" x14ac:dyDescent="0.2">
      <c r="A143" s="2" t="b">
        <v>0</v>
      </c>
      <c r="B143" s="2" t="s">
        <v>79</v>
      </c>
      <c r="C143" s="2" t="s">
        <v>80</v>
      </c>
      <c r="D143" s="2" t="s">
        <v>867</v>
      </c>
      <c r="E143" s="2" t="s">
        <v>868</v>
      </c>
      <c r="F143" s="2">
        <v>3</v>
      </c>
      <c r="G143" s="2">
        <v>3</v>
      </c>
      <c r="H143" s="2">
        <v>47.3</v>
      </c>
      <c r="I143" s="2">
        <v>9</v>
      </c>
      <c r="J143" s="2" t="s">
        <v>135</v>
      </c>
      <c r="K143" s="2" t="s">
        <v>83</v>
      </c>
      <c r="L143" s="2" t="s">
        <v>119</v>
      </c>
      <c r="M143" s="2" t="s">
        <v>83</v>
      </c>
      <c r="N143" s="2" t="s">
        <v>869</v>
      </c>
      <c r="O143" s="2">
        <v>1.843</v>
      </c>
      <c r="P143" s="2">
        <v>0.31900000000000001</v>
      </c>
      <c r="Q143" s="2">
        <v>3.4319999999999999</v>
      </c>
      <c r="R143" s="2">
        <v>0.747</v>
      </c>
      <c r="S143" s="2">
        <v>1.379</v>
      </c>
      <c r="T143" s="2">
        <v>0.22800000000000001</v>
      </c>
      <c r="U143" s="2">
        <v>2.2490000000000001</v>
      </c>
      <c r="V143" s="2">
        <v>0.17199999999999999</v>
      </c>
      <c r="W143" s="2">
        <v>1.798</v>
      </c>
      <c r="X143" s="2">
        <v>10.443</v>
      </c>
      <c r="Y143" s="2">
        <v>65.2</v>
      </c>
      <c r="Z143" s="2">
        <v>75.099999999999994</v>
      </c>
      <c r="AA143" s="2">
        <v>84.8</v>
      </c>
      <c r="AB143" s="2">
        <v>13.6</v>
      </c>
      <c r="AC143" s="2">
        <v>261.3</v>
      </c>
      <c r="AD143" s="2">
        <v>615754.3125</v>
      </c>
      <c r="AE143" s="2" t="s">
        <v>83</v>
      </c>
      <c r="AF143" s="2">
        <v>502129.875</v>
      </c>
      <c r="AG143" s="2">
        <v>3363251.921875</v>
      </c>
      <c r="AH143" s="2" t="s">
        <v>83</v>
      </c>
      <c r="AI143" s="2" t="s">
        <v>83</v>
      </c>
      <c r="AJ143" s="2">
        <v>4630.123046875</v>
      </c>
      <c r="AK143" s="2">
        <v>15475.2109375</v>
      </c>
      <c r="AL143" s="2">
        <v>42913.3359375</v>
      </c>
      <c r="AM143" s="2">
        <v>8234.0712890625</v>
      </c>
      <c r="AN143" s="2">
        <v>7329.9052734375</v>
      </c>
      <c r="AO143" s="2">
        <v>18621.463378906301</v>
      </c>
      <c r="AP143" s="2" t="s">
        <v>83</v>
      </c>
      <c r="AQ143" s="2">
        <v>4337.6484375</v>
      </c>
      <c r="AR143" s="2">
        <v>152973.93359375</v>
      </c>
      <c r="AS143" s="2">
        <v>7113.0419921875</v>
      </c>
      <c r="AT143" s="2">
        <v>52377.966796875</v>
      </c>
      <c r="AU143" s="2">
        <v>16223.193359375</v>
      </c>
      <c r="AV143" s="2">
        <v>18081.3671875</v>
      </c>
      <c r="AW143" s="2">
        <v>15960.537109375</v>
      </c>
      <c r="AX143" s="2">
        <v>170781.8046875</v>
      </c>
      <c r="AY143" s="2" t="s">
        <v>83</v>
      </c>
      <c r="AZ143" s="2" t="s">
        <v>83</v>
      </c>
      <c r="BA143" s="2">
        <v>26352.701171875</v>
      </c>
      <c r="BB143" s="2">
        <v>109887.19140625</v>
      </c>
      <c r="BC143" s="2" t="s">
        <v>79</v>
      </c>
      <c r="BD143" s="2" t="s">
        <v>98</v>
      </c>
      <c r="BE143" s="2" t="s">
        <v>79</v>
      </c>
      <c r="BF143" s="2" t="s">
        <v>79</v>
      </c>
      <c r="BG143" s="2" t="s">
        <v>98</v>
      </c>
      <c r="BH143" s="2" t="s">
        <v>98</v>
      </c>
      <c r="BI143" s="2" t="s">
        <v>91</v>
      </c>
      <c r="BJ143" s="2" t="s">
        <v>91</v>
      </c>
      <c r="BK143" s="2" t="s">
        <v>79</v>
      </c>
      <c r="BL143" s="2" t="s">
        <v>91</v>
      </c>
      <c r="BM143" s="2" t="s">
        <v>91</v>
      </c>
      <c r="BN143" s="2" t="s">
        <v>91</v>
      </c>
      <c r="BO143" s="2" t="s">
        <v>98</v>
      </c>
      <c r="BP143" s="2" t="s">
        <v>91</v>
      </c>
      <c r="BQ143" s="2" t="s">
        <v>79</v>
      </c>
      <c r="BR143" s="2" t="s">
        <v>91</v>
      </c>
      <c r="BS143" s="2" t="s">
        <v>91</v>
      </c>
      <c r="BT143" s="2" t="s">
        <v>91</v>
      </c>
      <c r="BU143" s="2" t="s">
        <v>91</v>
      </c>
      <c r="BV143" s="2" t="s">
        <v>91</v>
      </c>
      <c r="BW143" s="2" t="s">
        <v>79</v>
      </c>
      <c r="BX143" s="2" t="s">
        <v>98</v>
      </c>
      <c r="BY143" s="2" t="s">
        <v>98</v>
      </c>
      <c r="BZ143" s="2" t="s">
        <v>91</v>
      </c>
      <c r="CA143" s="2" t="s">
        <v>79</v>
      </c>
      <c r="CB143">
        <f>TTEST(AS143:AW143,AI143:AM143,2,2)</f>
        <v>0.73406828018259895</v>
      </c>
      <c r="CC143">
        <f>TTEST(AD143:AH143,AI143:AM143,2,2)</f>
        <v>0.11799278542683098</v>
      </c>
      <c r="CD143">
        <f>TTEST(AN143:AR143,AI143:AM143,2,2)</f>
        <v>0.47648557332480401</v>
      </c>
      <c r="CE143">
        <f>TTEST(AX143:BB143,AI143:AM143,2,2)</f>
        <v>6.8383732474820963E-2</v>
      </c>
      <c r="CF143">
        <v>211</v>
      </c>
      <c r="CG143">
        <v>196</v>
      </c>
      <c r="CH143">
        <v>182</v>
      </c>
      <c r="CI143">
        <v>112</v>
      </c>
      <c r="CJ143">
        <f>0.05*CF143/464</f>
        <v>2.2737068965517242E-2</v>
      </c>
      <c r="CK143">
        <f>0.05*CG143/464</f>
        <v>2.1120689655172414E-2</v>
      </c>
      <c r="CL143">
        <f>0.05*CH143/464</f>
        <v>1.9612068965517239E-2</v>
      </c>
      <c r="CM143">
        <f>0.05*CI143/464</f>
        <v>1.2068965517241381E-2</v>
      </c>
      <c r="CN143" t="str">
        <f>IF(CB143&lt;CJ143,"yes","no")</f>
        <v>no</v>
      </c>
      <c r="CO143" t="str">
        <f>IF(CC143&lt;CK143,"yes","no")</f>
        <v>no</v>
      </c>
      <c r="CP143" t="str">
        <f>IF(CD143&lt;CL143,"yes","no")</f>
        <v>no</v>
      </c>
      <c r="CQ143" t="str">
        <f>IF(CE143&lt;CM143,"yes","no")</f>
        <v>no</v>
      </c>
      <c r="CR143">
        <f>TTEST(AS143:AW143,AD143:AH143,2,2)</f>
        <v>7.4657298222394808E-2</v>
      </c>
      <c r="CS143">
        <f>TTEST(AS143:AW143,AN143:AR143,2,2)</f>
        <v>0.48946215850298325</v>
      </c>
      <c r="CT143">
        <f>TTEST(AS143:AW143,AX143:BB143,2,2)</f>
        <v>4.7290513006280677E-2</v>
      </c>
      <c r="CU143">
        <v>240</v>
      </c>
      <c r="CV143">
        <v>228</v>
      </c>
      <c r="CW143">
        <v>142</v>
      </c>
      <c r="CX143">
        <f t="shared" si="6"/>
        <v>2.5862068965517241E-2</v>
      </c>
      <c r="CY143">
        <f t="shared" si="7"/>
        <v>2.456896551724138E-2</v>
      </c>
      <c r="CZ143">
        <f t="shared" si="8"/>
        <v>1.5301724137931036E-2</v>
      </c>
      <c r="DA143" t="str">
        <f>IF(CR143&lt;CX143,"yes","no")</f>
        <v>no</v>
      </c>
      <c r="DB143" t="str">
        <f>IF(CS143&lt;CY143,"yes","no")</f>
        <v>no</v>
      </c>
      <c r="DC143" t="str">
        <f>IF(CT143&lt;CZ143,"yes","no")</f>
        <v>no</v>
      </c>
    </row>
    <row r="144" spans="1:107" x14ac:dyDescent="0.2">
      <c r="A144" s="2" t="b">
        <v>0</v>
      </c>
      <c r="B144" s="2" t="s">
        <v>79</v>
      </c>
      <c r="C144" s="2" t="s">
        <v>80</v>
      </c>
      <c r="D144" s="2" t="s">
        <v>671</v>
      </c>
      <c r="E144" s="2" t="s">
        <v>672</v>
      </c>
      <c r="F144" s="2">
        <v>4</v>
      </c>
      <c r="G144" s="2">
        <v>4</v>
      </c>
      <c r="H144" s="2">
        <v>27.2</v>
      </c>
      <c r="I144" s="2">
        <v>8.8800000000000008</v>
      </c>
      <c r="J144" s="2" t="s">
        <v>673</v>
      </c>
      <c r="K144" s="2" t="s">
        <v>95</v>
      </c>
      <c r="L144" s="2" t="s">
        <v>83</v>
      </c>
      <c r="M144" s="2" t="s">
        <v>674</v>
      </c>
      <c r="N144" s="2" t="s">
        <v>671</v>
      </c>
      <c r="O144" s="2">
        <v>18.291</v>
      </c>
      <c r="P144" s="2">
        <v>1.585</v>
      </c>
      <c r="Q144" s="2">
        <v>1.034</v>
      </c>
      <c r="R144" s="2">
        <v>1.044</v>
      </c>
      <c r="S144" s="2">
        <v>18.648</v>
      </c>
      <c r="T144" s="2">
        <v>1.675</v>
      </c>
      <c r="U144" s="2">
        <v>1.3120000000000001</v>
      </c>
      <c r="V144" s="2">
        <v>8.7999999999999995E-2</v>
      </c>
      <c r="W144" s="2">
        <v>6.5000000000000002E-2</v>
      </c>
      <c r="X144" s="2">
        <v>0.56299999999999994</v>
      </c>
      <c r="Y144" s="2">
        <v>22.4</v>
      </c>
      <c r="Z144" s="2">
        <v>19.2</v>
      </c>
      <c r="AA144" s="2">
        <v>347.4</v>
      </c>
      <c r="AB144" s="2">
        <v>51.1</v>
      </c>
      <c r="AC144" s="2">
        <v>59.9</v>
      </c>
      <c r="AD144" s="2">
        <v>2555091.0537109398</v>
      </c>
      <c r="AE144" s="2">
        <v>1733832.9375</v>
      </c>
      <c r="AF144" s="2">
        <v>2088137.2207031299</v>
      </c>
      <c r="AG144" s="2">
        <v>4179709.4980468801</v>
      </c>
      <c r="AH144" s="2">
        <v>3677960.8515625</v>
      </c>
      <c r="AI144" s="2">
        <v>42277.5234375</v>
      </c>
      <c r="AJ144" s="2">
        <v>40906.1181640625</v>
      </c>
      <c r="AK144" s="2">
        <v>37762.6884765625</v>
      </c>
      <c r="AL144" s="2" t="s">
        <v>83</v>
      </c>
      <c r="AM144" s="2">
        <v>40533.4951171875</v>
      </c>
      <c r="AN144" s="2">
        <v>518025.9453125</v>
      </c>
      <c r="AO144" s="2">
        <v>565596.17578125</v>
      </c>
      <c r="AP144" s="2">
        <v>990373.296875</v>
      </c>
      <c r="AQ144" s="2">
        <v>763965.546875</v>
      </c>
      <c r="AR144" s="2">
        <v>1120711.890625</v>
      </c>
      <c r="AS144" s="2">
        <v>822981.94921875</v>
      </c>
      <c r="AT144" s="2">
        <v>1200518.3706054699</v>
      </c>
      <c r="AU144" s="2">
        <v>677284.45019531297</v>
      </c>
      <c r="AV144" s="2">
        <v>746806.18359375</v>
      </c>
      <c r="AW144" s="2">
        <v>882504.2421875</v>
      </c>
      <c r="AX144" s="2">
        <v>539324.423828125</v>
      </c>
      <c r="AY144" s="2">
        <v>101765.51953125</v>
      </c>
      <c r="AZ144" s="2">
        <v>367251.62890625</v>
      </c>
      <c r="BA144" s="2">
        <v>1001826.45117188</v>
      </c>
      <c r="BB144" s="2">
        <v>220845.31933593799</v>
      </c>
      <c r="BC144" s="2" t="s">
        <v>79</v>
      </c>
      <c r="BD144" s="2" t="s">
        <v>79</v>
      </c>
      <c r="BE144" s="2" t="s">
        <v>79</v>
      </c>
      <c r="BF144" s="2" t="s">
        <v>79</v>
      </c>
      <c r="BG144" s="2" t="s">
        <v>79</v>
      </c>
      <c r="BH144" s="2" t="s">
        <v>91</v>
      </c>
      <c r="BI144" s="2" t="s">
        <v>91</v>
      </c>
      <c r="BJ144" s="2" t="s">
        <v>91</v>
      </c>
      <c r="BK144" s="2" t="s">
        <v>98</v>
      </c>
      <c r="BL144" s="2" t="s">
        <v>91</v>
      </c>
      <c r="BM144" s="2" t="s">
        <v>79</v>
      </c>
      <c r="BN144" s="2" t="s">
        <v>79</v>
      </c>
      <c r="BO144" s="2" t="s">
        <v>79</v>
      </c>
      <c r="BP144" s="2" t="s">
        <v>79</v>
      </c>
      <c r="BQ144" s="2" t="s">
        <v>79</v>
      </c>
      <c r="BR144" s="2" t="s">
        <v>79</v>
      </c>
      <c r="BS144" s="2" t="s">
        <v>79</v>
      </c>
      <c r="BT144" s="2" t="s">
        <v>79</v>
      </c>
      <c r="BU144" s="2" t="s">
        <v>79</v>
      </c>
      <c r="BV144" s="2" t="s">
        <v>79</v>
      </c>
      <c r="BW144" s="2" t="s">
        <v>91</v>
      </c>
      <c r="BX144" s="2" t="s">
        <v>79</v>
      </c>
      <c r="BY144" s="2" t="s">
        <v>91</v>
      </c>
      <c r="BZ144" s="2" t="s">
        <v>91</v>
      </c>
      <c r="CA144" s="2" t="s">
        <v>79</v>
      </c>
      <c r="CB144">
        <f>TTEST(AS144:AW144,AI144:AM144,2,2)</f>
        <v>8.7967001548997279E-5</v>
      </c>
      <c r="CC144">
        <f>TTEST(AD144:AH144,AI144:AM144,2,2)</f>
        <v>1.1269474626060293E-3</v>
      </c>
      <c r="CD144">
        <f>TTEST(AN144:AR144,AI144:AM144,2,2)</f>
        <v>7.6969696351151086E-4</v>
      </c>
      <c r="CE144">
        <f>TTEST(AX144:BB144,AI144:AM144,2,2)</f>
        <v>5.6677180233092248E-2</v>
      </c>
      <c r="CF144">
        <v>65</v>
      </c>
      <c r="CG144">
        <v>136</v>
      </c>
      <c r="CH144">
        <v>70</v>
      </c>
      <c r="CI144">
        <v>107</v>
      </c>
      <c r="CJ144">
        <f>0.05*CF144/464</f>
        <v>7.0043103448275863E-3</v>
      </c>
      <c r="CK144">
        <f>0.05*CG144/464</f>
        <v>1.4655172413793105E-2</v>
      </c>
      <c r="CL144">
        <f>0.05*CH144/464</f>
        <v>7.5431034482758624E-3</v>
      </c>
      <c r="CM144">
        <f>0.05*CI144/464</f>
        <v>1.1530172413793104E-2</v>
      </c>
      <c r="CN144" t="str">
        <f>IF(CB144&lt;CJ144,"yes","no")</f>
        <v>yes</v>
      </c>
      <c r="CO144" t="str">
        <f>IF(CC144&lt;CK144,"yes","no")</f>
        <v>yes</v>
      </c>
      <c r="CP144" t="str">
        <f>IF(CD144&lt;CL144,"yes","no")</f>
        <v>yes</v>
      </c>
      <c r="CQ144" t="str">
        <f>IF(CE144&lt;CM144,"yes","no")</f>
        <v>no</v>
      </c>
      <c r="CR144">
        <f>TTEST(AS144:AW144,AD144:AH144,2,2)</f>
        <v>3.1565541915421587E-3</v>
      </c>
      <c r="CS144">
        <f>TTEST(AS144:AW144,AN144:AR144,2,2)</f>
        <v>0.6293486571136595</v>
      </c>
      <c r="CT144">
        <f>TTEST(AS144:AW144,AX144:BB144,2,2)</f>
        <v>4.9189434246110671E-2</v>
      </c>
      <c r="CU144">
        <v>179</v>
      </c>
      <c r="CV144">
        <v>240</v>
      </c>
      <c r="CW144">
        <v>143</v>
      </c>
      <c r="CX144">
        <f t="shared" si="6"/>
        <v>1.928879310344828E-2</v>
      </c>
      <c r="CY144">
        <f t="shared" si="7"/>
        <v>2.5862068965517241E-2</v>
      </c>
      <c r="CZ144">
        <f t="shared" si="8"/>
        <v>1.5409482758620691E-2</v>
      </c>
      <c r="DA144" t="str">
        <f>IF(CR144&lt;CX144,"yes","no")</f>
        <v>yes</v>
      </c>
      <c r="DB144" t="str">
        <f>IF(CS144&lt;CY144,"yes","no")</f>
        <v>no</v>
      </c>
      <c r="DC144" t="str">
        <f>IF(CT144&lt;CZ144,"yes","no")</f>
        <v>no</v>
      </c>
    </row>
    <row r="145" spans="1:107" x14ac:dyDescent="0.2">
      <c r="A145" s="2" t="b">
        <v>0</v>
      </c>
      <c r="B145" s="2" t="s">
        <v>79</v>
      </c>
      <c r="C145" s="2" t="s">
        <v>80</v>
      </c>
      <c r="D145" s="2" t="s">
        <v>741</v>
      </c>
      <c r="E145" s="2" t="s">
        <v>742</v>
      </c>
      <c r="F145" s="2">
        <v>5</v>
      </c>
      <c r="G145" s="2">
        <v>5</v>
      </c>
      <c r="H145" s="2">
        <v>50.6</v>
      </c>
      <c r="I145" s="2">
        <v>7.94</v>
      </c>
      <c r="J145" s="2" t="s">
        <v>743</v>
      </c>
      <c r="K145" s="2" t="s">
        <v>461</v>
      </c>
      <c r="L145" s="2" t="s">
        <v>119</v>
      </c>
      <c r="M145" s="2" t="s">
        <v>744</v>
      </c>
      <c r="N145" s="2" t="s">
        <v>741</v>
      </c>
      <c r="O145" s="2">
        <v>4.9249999999999998</v>
      </c>
      <c r="P145" s="2">
        <v>0.80800000000000005</v>
      </c>
      <c r="Q145" s="2">
        <v>2.649</v>
      </c>
      <c r="R145" s="2">
        <v>0.35899999999999999</v>
      </c>
      <c r="S145" s="2">
        <v>1.9259999999999999</v>
      </c>
      <c r="T145" s="2">
        <v>0.154</v>
      </c>
      <c r="U145" s="2">
        <v>0.34599999999999997</v>
      </c>
      <c r="V145" s="2">
        <v>0.14299999999999999</v>
      </c>
      <c r="W145" s="2">
        <v>0.94899999999999995</v>
      </c>
      <c r="X145" s="2">
        <v>3.427</v>
      </c>
      <c r="Y145" s="2">
        <v>53.3</v>
      </c>
      <c r="Z145" s="2">
        <v>81.7</v>
      </c>
      <c r="AA145" s="2">
        <v>81.5</v>
      </c>
      <c r="AB145" s="2">
        <v>40</v>
      </c>
      <c r="AC145" s="2">
        <v>243.4</v>
      </c>
      <c r="AD145" s="2">
        <v>341745.171875</v>
      </c>
      <c r="AE145" s="2" t="s">
        <v>83</v>
      </c>
      <c r="AF145" s="2">
        <v>333999.37109375</v>
      </c>
      <c r="AG145" s="2">
        <v>1876845.453125</v>
      </c>
      <c r="AH145" s="2">
        <v>116525.8046875</v>
      </c>
      <c r="AI145" s="2" t="s">
        <v>83</v>
      </c>
      <c r="AJ145" s="2" t="s">
        <v>83</v>
      </c>
      <c r="AK145" s="2" t="s">
        <v>83</v>
      </c>
      <c r="AL145" s="2">
        <v>15493.01171875</v>
      </c>
      <c r="AM145" s="2" t="s">
        <v>83</v>
      </c>
      <c r="AN145" s="2" t="s">
        <v>83</v>
      </c>
      <c r="AO145" s="2" t="s">
        <v>83</v>
      </c>
      <c r="AP145" s="2">
        <v>6329.3173828125</v>
      </c>
      <c r="AQ145" s="2" t="s">
        <v>83</v>
      </c>
      <c r="AR145" s="2">
        <v>25427.412109375</v>
      </c>
      <c r="AS145" s="2">
        <v>24811.9716796875</v>
      </c>
      <c r="AT145" s="2">
        <v>94788.33203125</v>
      </c>
      <c r="AU145" s="2">
        <v>5135.3740234375</v>
      </c>
      <c r="AV145" s="2">
        <v>40988.9306640625</v>
      </c>
      <c r="AW145" s="2">
        <v>40978.291015625</v>
      </c>
      <c r="AX145" s="2">
        <v>59508.46875</v>
      </c>
      <c r="AY145" s="2">
        <v>141941.04931640599</v>
      </c>
      <c r="AZ145" s="2">
        <v>130773.0625</v>
      </c>
      <c r="BA145" s="2">
        <v>117861.29785156299</v>
      </c>
      <c r="BB145" s="2">
        <v>42439.2353515625</v>
      </c>
      <c r="BC145" s="2" t="s">
        <v>79</v>
      </c>
      <c r="BD145" s="2" t="s">
        <v>98</v>
      </c>
      <c r="BE145" s="2" t="s">
        <v>91</v>
      </c>
      <c r="BF145" s="2" t="s">
        <v>79</v>
      </c>
      <c r="BG145" s="2" t="s">
        <v>91</v>
      </c>
      <c r="BH145" s="2" t="s">
        <v>98</v>
      </c>
      <c r="BI145" s="2" t="s">
        <v>98</v>
      </c>
      <c r="BJ145" s="2" t="s">
        <v>98</v>
      </c>
      <c r="BK145" s="2" t="s">
        <v>91</v>
      </c>
      <c r="BL145" s="2" t="s">
        <v>98</v>
      </c>
      <c r="BM145" s="2" t="s">
        <v>98</v>
      </c>
      <c r="BN145" s="2" t="s">
        <v>98</v>
      </c>
      <c r="BO145" s="2" t="s">
        <v>91</v>
      </c>
      <c r="BP145" s="2" t="s">
        <v>98</v>
      </c>
      <c r="BQ145" s="2" t="s">
        <v>91</v>
      </c>
      <c r="BR145" s="2" t="s">
        <v>91</v>
      </c>
      <c r="BS145" s="2" t="s">
        <v>91</v>
      </c>
      <c r="BT145" s="2" t="s">
        <v>91</v>
      </c>
      <c r="BU145" s="2" t="s">
        <v>91</v>
      </c>
      <c r="BV145" s="2" t="s">
        <v>91</v>
      </c>
      <c r="BW145" s="2" t="s">
        <v>91</v>
      </c>
      <c r="BX145" s="2" t="s">
        <v>91</v>
      </c>
      <c r="BY145" s="2" t="s">
        <v>91</v>
      </c>
      <c r="BZ145" s="2" t="s">
        <v>91</v>
      </c>
      <c r="CA145" s="2" t="s">
        <v>91</v>
      </c>
      <c r="CB145" t="e">
        <f>TTEST(AS145:AW145,AI145:AM145,2,2)</f>
        <v>#DIV/0!</v>
      </c>
      <c r="CC145" t="e">
        <f>TTEST(AD145:AH145,AI145:AM145,2,2)</f>
        <v>#DIV/0!</v>
      </c>
      <c r="CD145" t="e">
        <f>TTEST(AN145:AR145,AI145:AM145,2,2)</f>
        <v>#DIV/0!</v>
      </c>
      <c r="CE145" t="e">
        <f>TTEST(AX145:BB145,AI145:AM145,2,2)</f>
        <v>#DIV/0!</v>
      </c>
      <c r="CF145">
        <v>299</v>
      </c>
      <c r="CG145">
        <v>313</v>
      </c>
      <c r="CH145">
        <v>317</v>
      </c>
      <c r="CI145">
        <v>268</v>
      </c>
      <c r="CJ145">
        <f>0.05*CF145/464</f>
        <v>3.2219827586206902E-2</v>
      </c>
      <c r="CK145">
        <f>0.05*CG145/464</f>
        <v>3.372844827586207E-2</v>
      </c>
      <c r="CL145">
        <f>0.05*CH145/464</f>
        <v>3.4159482758620692E-2</v>
      </c>
      <c r="CM145">
        <f>0.05*CI145/464</f>
        <v>2.8879310344827588E-2</v>
      </c>
      <c r="CN145" t="e">
        <f>IF(CB145&lt;CJ145,"yes","no")</f>
        <v>#DIV/0!</v>
      </c>
      <c r="CO145" t="e">
        <f>IF(CC145&lt;CK145,"yes","no")</f>
        <v>#DIV/0!</v>
      </c>
      <c r="CP145" t="e">
        <f>IF(CD145&lt;CL145,"yes","no")</f>
        <v>#DIV/0!</v>
      </c>
      <c r="CQ145" t="e">
        <f>IF(CE145&lt;CM145,"yes","no")</f>
        <v>#DIV/0!</v>
      </c>
      <c r="CR145">
        <f>TTEST(AS145:AW145,AD145:AH145,2,2)</f>
        <v>0.12341692992647305</v>
      </c>
      <c r="CS145">
        <f>TTEST(AS145:AW145,AN145:AR145,2,2)</f>
        <v>0.36285707005078432</v>
      </c>
      <c r="CT145">
        <f>TTEST(AS145:AW145,AX145:BB145,2,2)</f>
        <v>5.0861628507421014E-2</v>
      </c>
      <c r="CU145">
        <v>256</v>
      </c>
      <c r="CV145">
        <v>217</v>
      </c>
      <c r="CW145">
        <v>144</v>
      </c>
      <c r="CX145">
        <f t="shared" si="6"/>
        <v>2.7586206896551727E-2</v>
      </c>
      <c r="CY145">
        <f t="shared" si="7"/>
        <v>2.3383620689655174E-2</v>
      </c>
      <c r="CZ145">
        <f t="shared" si="8"/>
        <v>1.5517241379310345E-2</v>
      </c>
      <c r="DA145" t="str">
        <f>IF(CR145&lt;CX145,"yes","no")</f>
        <v>no</v>
      </c>
      <c r="DB145" t="str">
        <f>IF(CS145&lt;CY145,"yes","no")</f>
        <v>no</v>
      </c>
      <c r="DC145" t="str">
        <f>IF(CT145&lt;CZ145,"yes","no")</f>
        <v>no</v>
      </c>
    </row>
    <row r="146" spans="1:107" x14ac:dyDescent="0.2">
      <c r="A146" s="2" t="b">
        <v>0</v>
      </c>
      <c r="B146" s="2" t="s">
        <v>79</v>
      </c>
      <c r="C146" s="2" t="s">
        <v>80</v>
      </c>
      <c r="D146" s="2" t="s">
        <v>1472</v>
      </c>
      <c r="E146" s="2" t="s">
        <v>1473</v>
      </c>
      <c r="F146" s="2">
        <v>2</v>
      </c>
      <c r="G146" s="2">
        <v>1</v>
      </c>
      <c r="H146" s="2">
        <v>20.100000000000001</v>
      </c>
      <c r="I146" s="2">
        <v>6.14</v>
      </c>
      <c r="J146" s="2" t="s">
        <v>83</v>
      </c>
      <c r="K146" s="2" t="s">
        <v>83</v>
      </c>
      <c r="L146" s="2" t="s">
        <v>83</v>
      </c>
      <c r="M146" s="2" t="s">
        <v>1474</v>
      </c>
      <c r="N146" s="2" t="s">
        <v>1472</v>
      </c>
      <c r="O146" s="2">
        <v>4.524</v>
      </c>
      <c r="P146" s="2">
        <v>0.66800000000000004</v>
      </c>
      <c r="Q146" s="2">
        <v>1.948</v>
      </c>
      <c r="R146" s="2">
        <v>0.70099999999999996</v>
      </c>
      <c r="S146" s="2">
        <v>1.706</v>
      </c>
      <c r="T146" s="2">
        <v>0.45300000000000001</v>
      </c>
      <c r="U146" s="2">
        <v>1.32</v>
      </c>
      <c r="V146" s="2">
        <v>0.17100000000000001</v>
      </c>
      <c r="W146" s="2">
        <v>0.77400000000000002</v>
      </c>
      <c r="X146" s="2">
        <v>2.9169999999999998</v>
      </c>
      <c r="Y146" s="2">
        <v>75.2</v>
      </c>
      <c r="Z146" s="2">
        <v>47</v>
      </c>
      <c r="AA146" s="2">
        <v>267.60000000000002</v>
      </c>
      <c r="AB146" s="2">
        <v>48</v>
      </c>
      <c r="AC146" s="2">
        <v>62.1</v>
      </c>
      <c r="AD146" s="2">
        <v>30538.84375</v>
      </c>
      <c r="AE146" s="2" t="s">
        <v>83</v>
      </c>
      <c r="AF146" s="2" t="s">
        <v>83</v>
      </c>
      <c r="AG146" s="2">
        <v>254422.234375</v>
      </c>
      <c r="AH146" s="2">
        <v>266004.7109375</v>
      </c>
      <c r="AI146" s="2" t="s">
        <v>83</v>
      </c>
      <c r="AJ146" s="2" t="s">
        <v>83</v>
      </c>
      <c r="AK146" s="2" t="s">
        <v>83</v>
      </c>
      <c r="AL146" s="2">
        <v>4124.33447265625</v>
      </c>
      <c r="AM146" s="2" t="s">
        <v>83</v>
      </c>
      <c r="AN146" s="2" t="s">
        <v>83</v>
      </c>
      <c r="AO146" s="2">
        <v>11765.2177734375</v>
      </c>
      <c r="AP146" s="2">
        <v>18852.0966796875</v>
      </c>
      <c r="AQ146" s="2" t="s">
        <v>83</v>
      </c>
      <c r="AR146" s="2" t="s">
        <v>83</v>
      </c>
      <c r="AS146" s="2">
        <v>21853.0517578125</v>
      </c>
      <c r="AT146" s="2">
        <v>13895.8544921875</v>
      </c>
      <c r="AU146" s="2">
        <v>8378.1181640625</v>
      </c>
      <c r="AV146" s="2">
        <v>26025.283203125</v>
      </c>
      <c r="AW146" s="2">
        <v>22756.074707031301</v>
      </c>
      <c r="AX146" s="2">
        <v>8868.302734375</v>
      </c>
      <c r="AY146" s="2">
        <v>13902.6279296875</v>
      </c>
      <c r="AZ146" s="2">
        <v>12246.09765625</v>
      </c>
      <c r="BA146" s="2">
        <v>11183.8583984375</v>
      </c>
      <c r="BB146" s="2">
        <v>7439.869140625</v>
      </c>
      <c r="BC146" s="2" t="s">
        <v>79</v>
      </c>
      <c r="BD146" s="2" t="s">
        <v>98</v>
      </c>
      <c r="BE146" s="2" t="s">
        <v>98</v>
      </c>
      <c r="BF146" s="2" t="s">
        <v>79</v>
      </c>
      <c r="BG146" s="2" t="s">
        <v>79</v>
      </c>
      <c r="BH146" s="2" t="s">
        <v>98</v>
      </c>
      <c r="BI146" s="2" t="s">
        <v>98</v>
      </c>
      <c r="BJ146" s="2" t="s">
        <v>98</v>
      </c>
      <c r="BK146" s="2" t="s">
        <v>91</v>
      </c>
      <c r="BL146" s="2" t="s">
        <v>98</v>
      </c>
      <c r="BM146" s="2" t="s">
        <v>98</v>
      </c>
      <c r="BN146" s="2" t="s">
        <v>98</v>
      </c>
      <c r="BO146" s="2" t="s">
        <v>91</v>
      </c>
      <c r="BP146" s="2" t="s">
        <v>98</v>
      </c>
      <c r="BQ146" s="2" t="s">
        <v>98</v>
      </c>
      <c r="BR146" s="2" t="s">
        <v>91</v>
      </c>
      <c r="BS146" s="2" t="s">
        <v>91</v>
      </c>
      <c r="BT146" s="2" t="s">
        <v>91</v>
      </c>
      <c r="BU146" s="2" t="s">
        <v>91</v>
      </c>
      <c r="BV146" s="2" t="s">
        <v>91</v>
      </c>
      <c r="BW146" s="2" t="s">
        <v>91</v>
      </c>
      <c r="BX146" s="2" t="s">
        <v>91</v>
      </c>
      <c r="BY146" s="2" t="s">
        <v>91</v>
      </c>
      <c r="BZ146" s="2" t="s">
        <v>91</v>
      </c>
      <c r="CA146" s="2" t="s">
        <v>91</v>
      </c>
      <c r="CB146" t="e">
        <f>TTEST(AS146:AW146,AI146:AM146,2,2)</f>
        <v>#DIV/0!</v>
      </c>
      <c r="CC146" t="e">
        <f>TTEST(AD146:AH146,AI146:AM146,2,2)</f>
        <v>#DIV/0!</v>
      </c>
      <c r="CD146" t="e">
        <f>TTEST(AN146:AR146,AI146:AM146,2,2)</f>
        <v>#DIV/0!</v>
      </c>
      <c r="CE146" t="e">
        <f>TTEST(AX146:BB146,AI146:AM146,2,2)</f>
        <v>#DIV/0!</v>
      </c>
      <c r="CF146">
        <v>285</v>
      </c>
      <c r="CG146">
        <v>299</v>
      </c>
      <c r="CH146">
        <v>303</v>
      </c>
      <c r="CI146">
        <v>275</v>
      </c>
      <c r="CJ146">
        <f>0.05*CF146/464</f>
        <v>3.0711206896551723E-2</v>
      </c>
      <c r="CK146">
        <f>0.05*CG146/464</f>
        <v>3.2219827586206902E-2</v>
      </c>
      <c r="CL146">
        <f>0.05*CH146/464</f>
        <v>3.2650862068965517E-2</v>
      </c>
      <c r="CM146">
        <f>0.05*CI146/464</f>
        <v>2.9633620689655173E-2</v>
      </c>
      <c r="CN146" t="e">
        <f>IF(CB146&lt;CJ146,"yes","no")</f>
        <v>#DIV/0!</v>
      </c>
      <c r="CO146" t="e">
        <f>IF(CC146&lt;CK146,"yes","no")</f>
        <v>#DIV/0!</v>
      </c>
      <c r="CP146" t="e">
        <f>IF(CD146&lt;CL146,"yes","no")</f>
        <v>#DIV/0!</v>
      </c>
      <c r="CQ146" t="e">
        <f>IF(CE146&lt;CM146,"yes","no")</f>
        <v>#DIV/0!</v>
      </c>
      <c r="CR146">
        <f>TTEST(AS146:AW146,AD146:AH146,2,2)</f>
        <v>2.5916321760021861E-2</v>
      </c>
      <c r="CS146">
        <f>TTEST(AS146:AW146,AN146:AR146,2,2)</f>
        <v>0.59272428370599473</v>
      </c>
      <c r="CT146">
        <f>TTEST(AS146:AW146,AX146:BB146,2,2)</f>
        <v>5.1747290151282044E-2</v>
      </c>
      <c r="CU146">
        <v>212</v>
      </c>
      <c r="CV146">
        <v>234</v>
      </c>
      <c r="CW146">
        <v>145</v>
      </c>
      <c r="CX146">
        <f t="shared" si="6"/>
        <v>2.2844827586206901E-2</v>
      </c>
      <c r="CY146">
        <f t="shared" si="7"/>
        <v>2.5215517241379312E-2</v>
      </c>
      <c r="CZ146">
        <f t="shared" si="8"/>
        <v>1.5625E-2</v>
      </c>
      <c r="DA146" t="str">
        <f>IF(CR146&lt;CX146,"yes","no")</f>
        <v>no</v>
      </c>
      <c r="DB146" t="str">
        <f>IF(CS146&lt;CY146,"yes","no")</f>
        <v>no</v>
      </c>
      <c r="DC146" t="str">
        <f>IF(CT146&lt;CZ146,"yes","no")</f>
        <v>no</v>
      </c>
    </row>
    <row r="147" spans="1:107" x14ac:dyDescent="0.2">
      <c r="A147" s="2" t="b">
        <v>0</v>
      </c>
      <c r="B147" s="2" t="s">
        <v>79</v>
      </c>
      <c r="C147" s="2" t="s">
        <v>80</v>
      </c>
      <c r="D147" s="2" t="s">
        <v>129</v>
      </c>
      <c r="E147" s="2" t="s">
        <v>130</v>
      </c>
      <c r="F147" s="2">
        <v>31</v>
      </c>
      <c r="G147" s="2">
        <v>8</v>
      </c>
      <c r="H147" s="2">
        <v>164.9</v>
      </c>
      <c r="I147" s="2">
        <v>7.02</v>
      </c>
      <c r="J147" s="2" t="s">
        <v>131</v>
      </c>
      <c r="K147" s="2" t="s">
        <v>84</v>
      </c>
      <c r="L147" s="2" t="s">
        <v>85</v>
      </c>
      <c r="M147" s="2" t="s">
        <v>132</v>
      </c>
      <c r="N147" s="2" t="s">
        <v>129</v>
      </c>
      <c r="O147" s="2">
        <v>1.2</v>
      </c>
      <c r="P147" s="2">
        <v>0.19800000000000001</v>
      </c>
      <c r="Q147" s="2">
        <v>0.84099999999999997</v>
      </c>
      <c r="R147" s="2">
        <v>1.518</v>
      </c>
      <c r="S147" s="2">
        <v>1.8979999999999999</v>
      </c>
      <c r="T147" s="2">
        <v>0.35499999999999998</v>
      </c>
      <c r="U147" s="2">
        <v>0.253</v>
      </c>
      <c r="V147" s="2">
        <v>0.216</v>
      </c>
      <c r="W147" s="2">
        <v>0.17499999999999999</v>
      </c>
      <c r="X147" s="2">
        <v>0.63100000000000001</v>
      </c>
      <c r="Y147" s="2">
        <v>228.1</v>
      </c>
      <c r="Z147" s="2">
        <v>31.2</v>
      </c>
      <c r="AA147" s="2">
        <v>159.6</v>
      </c>
      <c r="AB147" s="2">
        <v>27.4</v>
      </c>
      <c r="AC147" s="2">
        <v>53.7</v>
      </c>
      <c r="AD147" s="2">
        <v>5787818.51171875</v>
      </c>
      <c r="AE147" s="2">
        <v>4702235.1484375</v>
      </c>
      <c r="AF147" s="2">
        <v>4203732.7109375</v>
      </c>
      <c r="AG147" s="2">
        <v>4243253.546875</v>
      </c>
      <c r="AH147" s="2">
        <v>3975520.578125</v>
      </c>
      <c r="AI147" s="2">
        <v>14166.2265625</v>
      </c>
      <c r="AJ147" s="2">
        <v>21727.380859375</v>
      </c>
      <c r="AK147" s="2">
        <v>9300.515625</v>
      </c>
      <c r="AL147" s="2">
        <v>33964.90234375</v>
      </c>
      <c r="AM147" s="2">
        <v>10991.7509765625</v>
      </c>
      <c r="AN147" s="2">
        <v>53809.0244140625</v>
      </c>
      <c r="AO147" s="2">
        <v>63347.648925781301</v>
      </c>
      <c r="AP147" s="2">
        <v>66664.271484375</v>
      </c>
      <c r="AQ147" s="2">
        <v>62447.7373046875</v>
      </c>
      <c r="AR147" s="2">
        <v>120234.2578125</v>
      </c>
      <c r="AS147" s="2">
        <v>64398.48046875</v>
      </c>
      <c r="AT147" s="2">
        <v>125165.400390625</v>
      </c>
      <c r="AU147" s="2">
        <v>73198.583984375</v>
      </c>
      <c r="AV147" s="2">
        <v>85450.2470703125</v>
      </c>
      <c r="AW147" s="2">
        <v>125892.513671875</v>
      </c>
      <c r="AX147" s="2">
        <v>62355.41796875</v>
      </c>
      <c r="AY147" s="2" t="s">
        <v>83</v>
      </c>
      <c r="AZ147" s="2">
        <v>8111.3935546875</v>
      </c>
      <c r="BA147" s="2">
        <v>50379.58984375</v>
      </c>
      <c r="BB147" s="2">
        <v>76713.064453125</v>
      </c>
      <c r="BC147" s="2" t="s">
        <v>79</v>
      </c>
      <c r="BD147" s="2" t="s">
        <v>79</v>
      </c>
      <c r="BE147" s="2" t="s">
        <v>79</v>
      </c>
      <c r="BF147" s="2" t="s">
        <v>79</v>
      </c>
      <c r="BG147" s="2" t="s">
        <v>79</v>
      </c>
      <c r="BH147" s="2" t="s">
        <v>91</v>
      </c>
      <c r="BI147" s="2" t="s">
        <v>91</v>
      </c>
      <c r="BJ147" s="2" t="s">
        <v>91</v>
      </c>
      <c r="BK147" s="2" t="s">
        <v>91</v>
      </c>
      <c r="BL147" s="2" t="s">
        <v>91</v>
      </c>
      <c r="BM147" s="2" t="s">
        <v>79</v>
      </c>
      <c r="BN147" s="2" t="s">
        <v>91</v>
      </c>
      <c r="BO147" s="2" t="s">
        <v>79</v>
      </c>
      <c r="BP147" s="2" t="s">
        <v>91</v>
      </c>
      <c r="BQ147" s="2" t="s">
        <v>91</v>
      </c>
      <c r="BR147" s="2" t="s">
        <v>79</v>
      </c>
      <c r="BS147" s="2" t="s">
        <v>91</v>
      </c>
      <c r="BT147" s="2" t="s">
        <v>91</v>
      </c>
      <c r="BU147" s="2" t="s">
        <v>91</v>
      </c>
      <c r="BV147" s="2" t="s">
        <v>91</v>
      </c>
      <c r="BW147" s="2" t="s">
        <v>91</v>
      </c>
      <c r="BX147" s="2" t="s">
        <v>98</v>
      </c>
      <c r="BY147" s="2" t="s">
        <v>91</v>
      </c>
      <c r="BZ147" s="2" t="s">
        <v>91</v>
      </c>
      <c r="CA147" s="2" t="s">
        <v>91</v>
      </c>
      <c r="CB147">
        <f>TTEST(AS147:AW147,AI147:AM147,2,2)</f>
        <v>5.1674597262422041E-4</v>
      </c>
      <c r="CC147">
        <f>TTEST(AD147:AH147,AI147:AM147,2,2)</f>
        <v>6.2035421671265113E-7</v>
      </c>
      <c r="CD147">
        <f>TTEST(AN147:AR147,AI147:AM147,2,2)</f>
        <v>2.4966552497823345E-3</v>
      </c>
      <c r="CE147">
        <f>TTEST(AX147:BB147,AI147:AM147,2,2)</f>
        <v>5.9393979209551868E-2</v>
      </c>
      <c r="CF147">
        <v>91</v>
      </c>
      <c r="CG147">
        <v>46</v>
      </c>
      <c r="CH147">
        <v>82</v>
      </c>
      <c r="CI147">
        <v>109</v>
      </c>
      <c r="CJ147">
        <f>0.05*CF147/464</f>
        <v>9.8060344827586195E-3</v>
      </c>
      <c r="CK147">
        <f>0.05*CG147/464</f>
        <v>4.9568965517241383E-3</v>
      </c>
      <c r="CL147">
        <f>0.05*CH147/464</f>
        <v>8.8362068965517244E-3</v>
      </c>
      <c r="CM147">
        <f>0.05*CI147/464</f>
        <v>1.1745689655172415E-2</v>
      </c>
      <c r="CN147" t="str">
        <f>IF(CB147&lt;CJ147,"yes","no")</f>
        <v>yes</v>
      </c>
      <c r="CO147" t="str">
        <f>IF(CC147&lt;CK147,"yes","no")</f>
        <v>yes</v>
      </c>
      <c r="CP147" t="str">
        <f>IF(CD147&lt;CL147,"yes","no")</f>
        <v>yes</v>
      </c>
      <c r="CQ147" t="str">
        <f>IF(CE147&lt;CM147,"yes","no")</f>
        <v>no</v>
      </c>
      <c r="CR147">
        <f>TTEST(AS147:AW147,AD147:AH147,2,2)</f>
        <v>7.1099405465743455E-7</v>
      </c>
      <c r="CS147">
        <f>TTEST(AS147:AW147,AN147:AR147,2,2)</f>
        <v>0.25676530305930462</v>
      </c>
      <c r="CT147">
        <f>TTEST(AS147:AW147,AX147:BB147,2,2)</f>
        <v>5.3724129765696432E-2</v>
      </c>
      <c r="CU147">
        <v>43</v>
      </c>
      <c r="CV147">
        <v>206</v>
      </c>
      <c r="CW147">
        <v>146</v>
      </c>
      <c r="CX147">
        <f t="shared" si="6"/>
        <v>4.6336206896551721E-3</v>
      </c>
      <c r="CY147">
        <f t="shared" si="7"/>
        <v>2.2198275862068968E-2</v>
      </c>
      <c r="CZ147">
        <f t="shared" si="8"/>
        <v>1.5732758620689655E-2</v>
      </c>
      <c r="DA147" t="str">
        <f>IF(CR147&lt;CX147,"yes","no")</f>
        <v>yes</v>
      </c>
      <c r="DB147" t="str">
        <f>IF(CS147&lt;CY147,"yes","no")</f>
        <v>no</v>
      </c>
      <c r="DC147" t="str">
        <f>IF(CT147&lt;CZ147,"yes","no")</f>
        <v>no</v>
      </c>
    </row>
    <row r="148" spans="1:107" x14ac:dyDescent="0.2">
      <c r="A148" s="2" t="b">
        <v>0</v>
      </c>
      <c r="B148" s="2" t="s">
        <v>79</v>
      </c>
      <c r="C148" s="2" t="s">
        <v>80</v>
      </c>
      <c r="D148" s="2" t="s">
        <v>1233</v>
      </c>
      <c r="E148" s="2" t="s">
        <v>1234</v>
      </c>
      <c r="F148" s="2">
        <v>3</v>
      </c>
      <c r="G148" s="2">
        <v>3</v>
      </c>
      <c r="H148" s="2">
        <v>24.2</v>
      </c>
      <c r="I148" s="2">
        <v>6.93</v>
      </c>
      <c r="J148" s="2" t="s">
        <v>83</v>
      </c>
      <c r="K148" s="2" t="s">
        <v>319</v>
      </c>
      <c r="L148" s="2" t="s">
        <v>119</v>
      </c>
      <c r="M148" s="2" t="s">
        <v>1235</v>
      </c>
      <c r="N148" s="2" t="s">
        <v>1233</v>
      </c>
      <c r="O148" s="2">
        <v>24.925999999999998</v>
      </c>
      <c r="P148" s="2">
        <v>2.0449999999999999</v>
      </c>
      <c r="Q148" s="2">
        <v>4.1849999999999996</v>
      </c>
      <c r="R148" s="2">
        <v>0.187</v>
      </c>
      <c r="S148" s="2">
        <v>5.2469999999999999</v>
      </c>
      <c r="T148" s="2">
        <v>0.498</v>
      </c>
      <c r="U148" s="2">
        <v>0.78400000000000003</v>
      </c>
      <c r="V148" s="2">
        <v>8.8999999999999996E-2</v>
      </c>
      <c r="W148" s="2">
        <v>0.14899999999999999</v>
      </c>
      <c r="X148" s="2">
        <v>1.573</v>
      </c>
      <c r="Y148" s="2">
        <v>14.4</v>
      </c>
      <c r="Z148" s="2">
        <v>63.6</v>
      </c>
      <c r="AA148" s="2">
        <v>343.8</v>
      </c>
      <c r="AB148" s="2">
        <v>28.3</v>
      </c>
      <c r="AC148" s="2">
        <v>49.9</v>
      </c>
      <c r="AD148" s="2">
        <v>169002.046875</v>
      </c>
      <c r="AE148" s="2">
        <v>123693.5546875</v>
      </c>
      <c r="AF148" s="2">
        <v>126112.1015625</v>
      </c>
      <c r="AG148" s="2">
        <v>179740.671875</v>
      </c>
      <c r="AH148" s="2">
        <v>88510.0859375</v>
      </c>
      <c r="AI148" s="2" t="s">
        <v>83</v>
      </c>
      <c r="AJ148" s="2">
        <v>5956.6025390625</v>
      </c>
      <c r="AK148" s="2" t="s">
        <v>83</v>
      </c>
      <c r="AL148" s="2">
        <v>43615.7265625</v>
      </c>
      <c r="AM148" s="2" t="s">
        <v>83</v>
      </c>
      <c r="AN148" s="2">
        <v>55087.30078125</v>
      </c>
      <c r="AO148" s="2">
        <v>58041.99609375</v>
      </c>
      <c r="AP148" s="2">
        <v>68783.1015625</v>
      </c>
      <c r="AQ148" s="2">
        <v>64318.125</v>
      </c>
      <c r="AR148" s="2">
        <v>99017.6015625</v>
      </c>
      <c r="AS148" s="2" t="s">
        <v>83</v>
      </c>
      <c r="AT148" s="2">
        <v>58448.25390625</v>
      </c>
      <c r="AU148" s="2">
        <v>34992.15625</v>
      </c>
      <c r="AV148" s="2">
        <v>43231.77734375</v>
      </c>
      <c r="AW148" s="2">
        <v>63134.26171875</v>
      </c>
      <c r="AX148" s="2" t="s">
        <v>83</v>
      </c>
      <c r="AY148" s="2" t="s">
        <v>83</v>
      </c>
      <c r="AZ148" s="2" t="s">
        <v>83</v>
      </c>
      <c r="BA148" s="2">
        <v>19369.251953125</v>
      </c>
      <c r="BB148" s="2">
        <v>30826.232421875</v>
      </c>
      <c r="BC148" s="2" t="s">
        <v>79</v>
      </c>
      <c r="BD148" s="2" t="s">
        <v>79</v>
      </c>
      <c r="BE148" s="2" t="s">
        <v>79</v>
      </c>
      <c r="BF148" s="2" t="s">
        <v>79</v>
      </c>
      <c r="BG148" s="2" t="s">
        <v>79</v>
      </c>
      <c r="BH148" s="2" t="s">
        <v>98</v>
      </c>
      <c r="BI148" s="2" t="s">
        <v>91</v>
      </c>
      <c r="BJ148" s="2" t="s">
        <v>98</v>
      </c>
      <c r="BK148" s="2" t="s">
        <v>79</v>
      </c>
      <c r="BL148" s="2" t="s">
        <v>98</v>
      </c>
      <c r="BM148" s="2" t="s">
        <v>91</v>
      </c>
      <c r="BN148" s="2" t="s">
        <v>79</v>
      </c>
      <c r="BO148" s="2" t="s">
        <v>79</v>
      </c>
      <c r="BP148" s="2" t="s">
        <v>91</v>
      </c>
      <c r="BQ148" s="2" t="s">
        <v>79</v>
      </c>
      <c r="BR148" s="2" t="s">
        <v>98</v>
      </c>
      <c r="BS148" s="2" t="s">
        <v>91</v>
      </c>
      <c r="BT148" s="2" t="s">
        <v>91</v>
      </c>
      <c r="BU148" s="2" t="s">
        <v>91</v>
      </c>
      <c r="BV148" s="2" t="s">
        <v>91</v>
      </c>
      <c r="BW148" s="2" t="s">
        <v>98</v>
      </c>
      <c r="BX148" s="2" t="s">
        <v>98</v>
      </c>
      <c r="BY148" s="2" t="s">
        <v>98</v>
      </c>
      <c r="BZ148" s="2" t="s">
        <v>91</v>
      </c>
      <c r="CA148" s="2" t="s">
        <v>91</v>
      </c>
      <c r="CB148">
        <f>TTEST(AS148:AW148,AI148:AM148,2,2)</f>
        <v>0.1720190402809865</v>
      </c>
      <c r="CC148">
        <f>TTEST(AD148:AH148,AI148:AM148,2,2)</f>
        <v>1.2361769861550369E-2</v>
      </c>
      <c r="CD148">
        <f>TTEST(AN148:AR148,AI148:AM148,2,2)</f>
        <v>4.3722312955892913E-2</v>
      </c>
      <c r="CE148">
        <f>TTEST(AX148:BB148,AI148:AM148,2,2)</f>
        <v>0.98880659549420913</v>
      </c>
      <c r="CF148">
        <v>162</v>
      </c>
      <c r="CG148">
        <v>165</v>
      </c>
      <c r="CH148">
        <v>119</v>
      </c>
      <c r="CI148">
        <v>199</v>
      </c>
      <c r="CJ148">
        <f>0.05*CF148/464</f>
        <v>1.7456896551724138E-2</v>
      </c>
      <c r="CK148">
        <f>0.05*CG148/464</f>
        <v>1.7780172413793104E-2</v>
      </c>
      <c r="CL148">
        <f>0.05*CH148/464</f>
        <v>1.2823275862068965E-2</v>
      </c>
      <c r="CM148">
        <f>0.05*CI148/464</f>
        <v>2.1443965517241381E-2</v>
      </c>
      <c r="CN148" t="str">
        <f>IF(CB148&lt;CJ148,"yes","no")</f>
        <v>no</v>
      </c>
      <c r="CO148" t="str">
        <f>IF(CC148&lt;CK148,"yes","no")</f>
        <v>yes</v>
      </c>
      <c r="CP148" t="str">
        <f>IF(CD148&lt;CL148,"yes","no")</f>
        <v>no</v>
      </c>
      <c r="CQ148" t="str">
        <f>IF(CE148&lt;CM148,"yes","no")</f>
        <v>no</v>
      </c>
      <c r="CR148">
        <f>TTEST(AS148:AW148,AD148:AH148,2,2)</f>
        <v>2.9757276399856075E-3</v>
      </c>
      <c r="CS148">
        <f>TTEST(AS148:AW148,AN148:AR148,2,2)</f>
        <v>0.11492290118591958</v>
      </c>
      <c r="CT148">
        <f>TTEST(AS148:AW148,AX148:BB148,2,2)</f>
        <v>7.5809410315399034E-2</v>
      </c>
      <c r="CU148">
        <v>176</v>
      </c>
      <c r="CV148">
        <v>184</v>
      </c>
      <c r="CW148">
        <v>147</v>
      </c>
      <c r="CX148">
        <f t="shared" si="6"/>
        <v>1.8965517241379314E-2</v>
      </c>
      <c r="CY148">
        <f t="shared" si="7"/>
        <v>1.9827586206896553E-2</v>
      </c>
      <c r="CZ148">
        <f t="shared" si="8"/>
        <v>1.5840517241379311E-2</v>
      </c>
      <c r="DA148" t="str">
        <f>IF(CR148&lt;CX148,"yes","no")</f>
        <v>yes</v>
      </c>
      <c r="DB148" t="str">
        <f>IF(CS148&lt;CY148,"yes","no")</f>
        <v>no</v>
      </c>
      <c r="DC148" t="str">
        <f>IF(CT148&lt;CZ148,"yes","no")</f>
        <v>no</v>
      </c>
    </row>
    <row r="149" spans="1:107" x14ac:dyDescent="0.2">
      <c r="A149" s="2" t="b">
        <v>0</v>
      </c>
      <c r="B149" s="2" t="s">
        <v>79</v>
      </c>
      <c r="C149" s="2" t="s">
        <v>80</v>
      </c>
      <c r="D149" s="2" t="s">
        <v>955</v>
      </c>
      <c r="E149" s="2" t="s">
        <v>956</v>
      </c>
      <c r="F149" s="2">
        <v>2</v>
      </c>
      <c r="G149" s="2">
        <v>2</v>
      </c>
      <c r="H149" s="2">
        <v>82.2</v>
      </c>
      <c r="I149" s="2">
        <v>5.26</v>
      </c>
      <c r="J149" s="2" t="s">
        <v>680</v>
      </c>
      <c r="K149" s="2" t="s">
        <v>957</v>
      </c>
      <c r="L149" s="2" t="s">
        <v>119</v>
      </c>
      <c r="M149" s="2" t="s">
        <v>958</v>
      </c>
      <c r="N149" s="2" t="s">
        <v>955</v>
      </c>
      <c r="O149" s="2">
        <v>8.2780000000000005</v>
      </c>
      <c r="P149" s="2">
        <v>0.67400000000000004</v>
      </c>
      <c r="Q149" s="2">
        <v>3.056</v>
      </c>
      <c r="R149" s="2">
        <v>100</v>
      </c>
      <c r="S149" s="2">
        <v>100</v>
      </c>
      <c r="T149" s="2">
        <v>100</v>
      </c>
      <c r="U149" s="2">
        <v>100</v>
      </c>
      <c r="V149" s="2">
        <v>5.2999999999999999E-2</v>
      </c>
      <c r="W149" s="2">
        <v>0.40500000000000003</v>
      </c>
      <c r="X149" s="2">
        <v>2.3319999999999999</v>
      </c>
      <c r="Y149" s="2">
        <v>58.4</v>
      </c>
      <c r="Z149" s="2" t="s">
        <v>83</v>
      </c>
      <c r="AA149" s="2">
        <v>328</v>
      </c>
      <c r="AB149" s="2">
        <v>46.8</v>
      </c>
      <c r="AC149" s="2">
        <v>66.7</v>
      </c>
      <c r="AD149" s="2">
        <v>468401.734375</v>
      </c>
      <c r="AE149" s="2">
        <v>424960.7421875</v>
      </c>
      <c r="AF149" s="2">
        <v>347695.34375</v>
      </c>
      <c r="AG149" s="2">
        <v>452971.625</v>
      </c>
      <c r="AH149" s="2">
        <v>385324.125</v>
      </c>
      <c r="AI149" s="2" t="s">
        <v>83</v>
      </c>
      <c r="AJ149" s="2" t="s">
        <v>83</v>
      </c>
      <c r="AK149" s="2" t="s">
        <v>83</v>
      </c>
      <c r="AL149" s="2" t="s">
        <v>83</v>
      </c>
      <c r="AM149" s="2" t="s">
        <v>83</v>
      </c>
      <c r="AN149" s="2">
        <v>35943.70703125</v>
      </c>
      <c r="AO149" s="2">
        <v>32765.1640625</v>
      </c>
      <c r="AP149" s="2">
        <v>47974.5390625</v>
      </c>
      <c r="AQ149" s="2">
        <v>64172.185546875</v>
      </c>
      <c r="AR149" s="2">
        <v>100429.1953125</v>
      </c>
      <c r="AS149" s="2">
        <v>45051.634765625</v>
      </c>
      <c r="AT149" s="2">
        <v>37132.251953125</v>
      </c>
      <c r="AU149" s="2">
        <v>61573.83203125</v>
      </c>
      <c r="AV149" s="2">
        <v>46421.7783203125</v>
      </c>
      <c r="AW149" s="2">
        <v>67632.689453125</v>
      </c>
      <c r="AX149" s="2">
        <v>12569.9462890625</v>
      </c>
      <c r="AY149" s="2" t="s">
        <v>83</v>
      </c>
      <c r="AZ149" s="2" t="s">
        <v>83</v>
      </c>
      <c r="BA149" s="2" t="s">
        <v>83</v>
      </c>
      <c r="BB149" s="2">
        <v>38861.4296875</v>
      </c>
      <c r="BC149" s="2" t="s">
        <v>79</v>
      </c>
      <c r="BD149" s="2" t="s">
        <v>79</v>
      </c>
      <c r="BE149" s="2" t="s">
        <v>79</v>
      </c>
      <c r="BF149" s="2" t="s">
        <v>79</v>
      </c>
      <c r="BG149" s="2" t="s">
        <v>79</v>
      </c>
      <c r="BH149" s="2" t="s">
        <v>98</v>
      </c>
      <c r="BI149" s="2" t="s">
        <v>98</v>
      </c>
      <c r="BJ149" s="2" t="s">
        <v>98</v>
      </c>
      <c r="BK149" s="2" t="s">
        <v>98</v>
      </c>
      <c r="BL149" s="2" t="s">
        <v>98</v>
      </c>
      <c r="BM149" s="2" t="s">
        <v>79</v>
      </c>
      <c r="BN149" s="2" t="s">
        <v>79</v>
      </c>
      <c r="BO149" s="2" t="s">
        <v>79</v>
      </c>
      <c r="BP149" s="2" t="s">
        <v>91</v>
      </c>
      <c r="BQ149" s="2" t="s">
        <v>79</v>
      </c>
      <c r="BR149" s="2" t="s">
        <v>91</v>
      </c>
      <c r="BS149" s="2" t="s">
        <v>79</v>
      </c>
      <c r="BT149" s="2" t="s">
        <v>91</v>
      </c>
      <c r="BU149" s="2" t="s">
        <v>91</v>
      </c>
      <c r="BV149" s="2" t="s">
        <v>91</v>
      </c>
      <c r="BW149" s="2" t="s">
        <v>91</v>
      </c>
      <c r="BX149" s="2" t="s">
        <v>98</v>
      </c>
      <c r="BY149" s="2" t="s">
        <v>98</v>
      </c>
      <c r="BZ149" s="2" t="s">
        <v>98</v>
      </c>
      <c r="CA149" s="2" t="s">
        <v>91</v>
      </c>
      <c r="CB149" t="e">
        <f>TTEST(AS149:AW149,AI149:AM149,2,2)</f>
        <v>#DIV/0!</v>
      </c>
      <c r="CC149" t="e">
        <f>TTEST(AD149:AH149,AI149:AM149,2,2)</f>
        <v>#DIV/0!</v>
      </c>
      <c r="CD149" t="e">
        <f>TTEST(AN149:AR149,AI149:AM149,2,2)</f>
        <v>#DIV/0!</v>
      </c>
      <c r="CE149" t="e">
        <f>TTEST(AX149:BB149,AI149:AM149,2,2)</f>
        <v>#DIV/0!</v>
      </c>
      <c r="CF149">
        <v>236</v>
      </c>
      <c r="CG149">
        <v>250</v>
      </c>
      <c r="CH149">
        <v>254</v>
      </c>
      <c r="CI149">
        <v>278</v>
      </c>
      <c r="CJ149">
        <f>0.05*CF149/464</f>
        <v>2.5431034482758623E-2</v>
      </c>
      <c r="CK149">
        <f>0.05*CG149/464</f>
        <v>2.6939655172413791E-2</v>
      </c>
      <c r="CL149">
        <f>0.05*CH149/464</f>
        <v>2.7370689655172416E-2</v>
      </c>
      <c r="CM149">
        <f>0.05*CI149/464</f>
        <v>2.9956896551724139E-2</v>
      </c>
      <c r="CN149" t="e">
        <f>IF(CB149&lt;CJ149,"yes","no")</f>
        <v>#DIV/0!</v>
      </c>
      <c r="CO149" t="e">
        <f>IF(CC149&lt;CK149,"yes","no")</f>
        <v>#DIV/0!</v>
      </c>
      <c r="CP149" t="e">
        <f>IF(CD149&lt;CL149,"yes","no")</f>
        <v>#DIV/0!</v>
      </c>
      <c r="CQ149" t="e">
        <f>IF(CE149&lt;CM149,"yes","no")</f>
        <v>#DIV/0!</v>
      </c>
      <c r="CR149">
        <f>TTEST(AS149:AW149,AD149:AH149,2,2)</f>
        <v>2.3928160455439048E-7</v>
      </c>
      <c r="CS149">
        <f>TTEST(AS149:AW149,AN149:AR149,2,2)</f>
        <v>0.73828824983314023</v>
      </c>
      <c r="CT149">
        <f>TTEST(AS149:AW149,AX149:BB149,2,2)</f>
        <v>7.8564491461876815E-2</v>
      </c>
      <c r="CU149">
        <v>23</v>
      </c>
      <c r="CV149">
        <v>250</v>
      </c>
      <c r="CW149">
        <v>148</v>
      </c>
      <c r="CX149">
        <f t="shared" si="6"/>
        <v>2.4784482758620691E-3</v>
      </c>
      <c r="CY149">
        <f t="shared" si="7"/>
        <v>2.6939655172413791E-2</v>
      </c>
      <c r="CZ149">
        <f t="shared" si="8"/>
        <v>1.5948275862068966E-2</v>
      </c>
      <c r="DA149" t="str">
        <f>IF(CR149&lt;CX149,"yes","no")</f>
        <v>yes</v>
      </c>
      <c r="DB149" t="str">
        <f>IF(CS149&lt;CY149,"yes","no")</f>
        <v>no</v>
      </c>
      <c r="DC149" t="str">
        <f>IF(CT149&lt;CZ149,"yes","no")</f>
        <v>no</v>
      </c>
    </row>
    <row r="150" spans="1:107" x14ac:dyDescent="0.2">
      <c r="A150" s="2" t="b">
        <v>0</v>
      </c>
      <c r="B150" s="2" t="s">
        <v>79</v>
      </c>
      <c r="C150" s="2" t="s">
        <v>80</v>
      </c>
      <c r="D150" s="2" t="s">
        <v>330</v>
      </c>
      <c r="E150" s="2" t="s">
        <v>331</v>
      </c>
      <c r="F150" s="2">
        <v>9</v>
      </c>
      <c r="G150" s="2">
        <v>7</v>
      </c>
      <c r="H150" s="2">
        <v>50.4</v>
      </c>
      <c r="I150" s="2">
        <v>5.1100000000000003</v>
      </c>
      <c r="J150" s="2" t="s">
        <v>332</v>
      </c>
      <c r="K150" s="2" t="s">
        <v>271</v>
      </c>
      <c r="L150" s="2" t="s">
        <v>146</v>
      </c>
      <c r="M150" s="2" t="s">
        <v>333</v>
      </c>
      <c r="N150" s="2" t="s">
        <v>334</v>
      </c>
      <c r="O150" s="2">
        <v>6.01</v>
      </c>
      <c r="P150" s="2">
        <v>0.76200000000000001</v>
      </c>
      <c r="Q150" s="2">
        <v>2.379</v>
      </c>
      <c r="R150" s="2">
        <v>1.0620000000000001</v>
      </c>
      <c r="S150" s="2">
        <v>6.5069999999999997</v>
      </c>
      <c r="T150" s="2">
        <v>0.85</v>
      </c>
      <c r="U150" s="2">
        <v>3.7930000000000001</v>
      </c>
      <c r="V150" s="2">
        <v>0.14199999999999999</v>
      </c>
      <c r="W150" s="2">
        <v>0.65600000000000003</v>
      </c>
      <c r="X150" s="2">
        <v>3.1840000000000002</v>
      </c>
      <c r="Y150" s="2">
        <v>76.2</v>
      </c>
      <c r="Z150" s="2">
        <v>26.5</v>
      </c>
      <c r="AA150" s="2">
        <v>235.6</v>
      </c>
      <c r="AB150" s="2">
        <v>50.1</v>
      </c>
      <c r="AC150" s="2">
        <v>111.7</v>
      </c>
      <c r="AD150" s="2">
        <v>897622.84375</v>
      </c>
      <c r="AE150" s="2">
        <v>684051.65625</v>
      </c>
      <c r="AF150" s="2">
        <v>618531.8828125</v>
      </c>
      <c r="AG150" s="2">
        <v>723414.453125</v>
      </c>
      <c r="AH150" s="2">
        <v>720492.578125</v>
      </c>
      <c r="AI150" s="2">
        <v>4973.4609375</v>
      </c>
      <c r="AJ150" s="2" t="s">
        <v>83</v>
      </c>
      <c r="AK150" s="2">
        <v>5083.16259765625</v>
      </c>
      <c r="AL150" s="2">
        <v>5080.49462890625</v>
      </c>
      <c r="AM150" s="2">
        <v>11330.610839843799</v>
      </c>
      <c r="AN150" s="2">
        <v>37278.181152343801</v>
      </c>
      <c r="AO150" s="2">
        <v>48032.623535156301</v>
      </c>
      <c r="AP150" s="2">
        <v>54507.737792968801</v>
      </c>
      <c r="AQ150" s="2">
        <v>37530.2265625</v>
      </c>
      <c r="AR150" s="2">
        <v>52675.623046875</v>
      </c>
      <c r="AS150" s="2">
        <v>71923.412109375</v>
      </c>
      <c r="AT150" s="2">
        <v>128263.90625</v>
      </c>
      <c r="AU150" s="2">
        <v>60117.7080078125</v>
      </c>
      <c r="AV150" s="2">
        <v>62160.6484375</v>
      </c>
      <c r="AW150" s="2">
        <v>79103.255859375</v>
      </c>
      <c r="AX150" s="2">
        <v>33608.4765625</v>
      </c>
      <c r="AY150" s="2">
        <v>59894.4296875</v>
      </c>
      <c r="AZ150" s="2">
        <v>66001.3623046875</v>
      </c>
      <c r="BA150" s="2">
        <v>54432.0703125</v>
      </c>
      <c r="BB150" s="2">
        <v>57760.0107421875</v>
      </c>
      <c r="BC150" s="2" t="s">
        <v>79</v>
      </c>
      <c r="BD150" s="2" t="s">
        <v>79</v>
      </c>
      <c r="BE150" s="2" t="s">
        <v>79</v>
      </c>
      <c r="BF150" s="2" t="s">
        <v>79</v>
      </c>
      <c r="BG150" s="2" t="s">
        <v>79</v>
      </c>
      <c r="BH150" s="2" t="s">
        <v>91</v>
      </c>
      <c r="BI150" s="2" t="s">
        <v>91</v>
      </c>
      <c r="BJ150" s="2" t="s">
        <v>91</v>
      </c>
      <c r="BK150" s="2" t="s">
        <v>91</v>
      </c>
      <c r="BL150" s="2" t="s">
        <v>91</v>
      </c>
      <c r="BM150" s="2" t="s">
        <v>79</v>
      </c>
      <c r="BN150" s="2" t="s">
        <v>79</v>
      </c>
      <c r="BO150" s="2" t="s">
        <v>79</v>
      </c>
      <c r="BP150" s="2" t="s">
        <v>79</v>
      </c>
      <c r="BQ150" s="2" t="s">
        <v>79</v>
      </c>
      <c r="BR150" s="2" t="s">
        <v>79</v>
      </c>
      <c r="BS150" s="2" t="s">
        <v>79</v>
      </c>
      <c r="BT150" s="2" t="s">
        <v>79</v>
      </c>
      <c r="BU150" s="2" t="s">
        <v>79</v>
      </c>
      <c r="BV150" s="2" t="s">
        <v>79</v>
      </c>
      <c r="BW150" s="2" t="s">
        <v>91</v>
      </c>
      <c r="BX150" s="2" t="s">
        <v>91</v>
      </c>
      <c r="BY150" s="2" t="s">
        <v>91</v>
      </c>
      <c r="BZ150" s="2" t="s">
        <v>91</v>
      </c>
      <c r="CA150" s="2" t="s">
        <v>91</v>
      </c>
      <c r="CB150">
        <f>TTEST(AS150:AW150,AI150:AM150,2,2)</f>
        <v>1.2687142934740844E-3</v>
      </c>
      <c r="CC150">
        <f>TTEST(AD150:AH150,AI150:AM150,2,2)</f>
        <v>2.5133709395550815E-6</v>
      </c>
      <c r="CD150">
        <f>TTEST(AN150:AR150,AI150:AM150,2,2)</f>
        <v>4.2926773534339015E-5</v>
      </c>
      <c r="CE150">
        <f>TTEST(AX150:BB150,AI150:AM150,2,2)</f>
        <v>1.4299655296992787E-4</v>
      </c>
      <c r="CF150">
        <v>104</v>
      </c>
      <c r="CG150">
        <v>69</v>
      </c>
      <c r="CH150">
        <v>37</v>
      </c>
      <c r="CI150">
        <v>40</v>
      </c>
      <c r="CJ150">
        <f>0.05*CF150/464</f>
        <v>1.1206896551724138E-2</v>
      </c>
      <c r="CK150">
        <f>0.05*CG150/464</f>
        <v>7.435344827586207E-3</v>
      </c>
      <c r="CL150">
        <f>0.05*CH150/464</f>
        <v>3.9870689655172415E-3</v>
      </c>
      <c r="CM150">
        <f>0.05*CI150/464</f>
        <v>4.3103448275862068E-3</v>
      </c>
      <c r="CN150" t="str">
        <f>IF(CB150&lt;CJ150,"yes","no")</f>
        <v>yes</v>
      </c>
      <c r="CO150" t="str">
        <f>IF(CC150&lt;CK150,"yes","no")</f>
        <v>yes</v>
      </c>
      <c r="CP150" t="str">
        <f>IF(CD150&lt;CL150,"yes","no")</f>
        <v>yes</v>
      </c>
      <c r="CQ150" t="str">
        <f>IF(CE150&lt;CM150,"yes","no")</f>
        <v>yes</v>
      </c>
      <c r="CR150">
        <f>TTEST(AS150:AW150,AD150:AH150,2,2)</f>
        <v>8.4931103541302795E-7</v>
      </c>
      <c r="CS150">
        <f>TTEST(AS150:AW150,AN150:AR150,2,2)</f>
        <v>2.9705482457535914E-2</v>
      </c>
      <c r="CT150">
        <f>TTEST(AS150:AW150,AX150:BB150,2,2)</f>
        <v>9.3195989670132262E-2</v>
      </c>
      <c r="CU150">
        <v>50</v>
      </c>
      <c r="CV150">
        <v>156</v>
      </c>
      <c r="CW150">
        <v>149</v>
      </c>
      <c r="CX150">
        <f t="shared" si="6"/>
        <v>5.387931034482759E-3</v>
      </c>
      <c r="CY150">
        <f t="shared" si="7"/>
        <v>1.6810344827586209E-2</v>
      </c>
      <c r="CZ150">
        <f t="shared" si="8"/>
        <v>1.6056034482758622E-2</v>
      </c>
      <c r="DA150" t="str">
        <f>IF(CR150&lt;CX150,"yes","no")</f>
        <v>yes</v>
      </c>
      <c r="DB150" t="str">
        <f>IF(CS150&lt;CY150,"yes","no")</f>
        <v>no</v>
      </c>
      <c r="DC150" t="str">
        <f>IF(CT150&lt;CZ150,"yes","no")</f>
        <v>no</v>
      </c>
    </row>
    <row r="151" spans="1:107" x14ac:dyDescent="0.2">
      <c r="A151" s="2" t="b">
        <v>0</v>
      </c>
      <c r="B151" s="2" t="s">
        <v>79</v>
      </c>
      <c r="C151" s="2" t="s">
        <v>80</v>
      </c>
      <c r="D151" s="2" t="s">
        <v>407</v>
      </c>
      <c r="E151" s="2" t="s">
        <v>408</v>
      </c>
      <c r="F151" s="2">
        <v>11</v>
      </c>
      <c r="G151" s="2">
        <v>11</v>
      </c>
      <c r="H151" s="2">
        <v>93.6</v>
      </c>
      <c r="I151" s="2">
        <v>6.7</v>
      </c>
      <c r="J151" s="2" t="s">
        <v>83</v>
      </c>
      <c r="K151" s="2" t="s">
        <v>84</v>
      </c>
      <c r="L151" s="2" t="s">
        <v>119</v>
      </c>
      <c r="M151" s="2" t="s">
        <v>83</v>
      </c>
      <c r="N151" s="2" t="s">
        <v>409</v>
      </c>
      <c r="O151" s="2">
        <v>3.1469999999999998</v>
      </c>
      <c r="P151" s="2">
        <v>0.99399999999999999</v>
      </c>
      <c r="Q151" s="2">
        <v>1.647</v>
      </c>
      <c r="R151" s="2">
        <v>0.26100000000000001</v>
      </c>
      <c r="S151" s="2">
        <v>0.93700000000000006</v>
      </c>
      <c r="T151" s="2">
        <v>0.157</v>
      </c>
      <c r="U151" s="2">
        <v>0.23499999999999999</v>
      </c>
      <c r="V151" s="2">
        <v>0.17599999999999999</v>
      </c>
      <c r="W151" s="2">
        <v>0.32800000000000001</v>
      </c>
      <c r="X151" s="2">
        <v>1.3680000000000001</v>
      </c>
      <c r="Y151" s="2">
        <v>91.8</v>
      </c>
      <c r="Z151" s="2">
        <v>158.9</v>
      </c>
      <c r="AA151" s="2">
        <v>169.2</v>
      </c>
      <c r="AB151" s="2">
        <v>22.6</v>
      </c>
      <c r="AC151" s="2">
        <v>57.5</v>
      </c>
      <c r="AD151" s="2">
        <v>2418612.40625</v>
      </c>
      <c r="AE151" s="2">
        <v>2047612.890625</v>
      </c>
      <c r="AF151" s="2">
        <v>1680461.09375</v>
      </c>
      <c r="AG151" s="2">
        <v>1954112.9765625</v>
      </c>
      <c r="AH151" s="2">
        <v>1759105.0703125</v>
      </c>
      <c r="AI151" s="2">
        <v>57852.943359375</v>
      </c>
      <c r="AJ151" s="2">
        <v>70786.9189453125</v>
      </c>
      <c r="AK151" s="2">
        <v>84620.220703125</v>
      </c>
      <c r="AL151" s="2">
        <v>103166.595703125</v>
      </c>
      <c r="AM151" s="2">
        <v>39339.2060546875</v>
      </c>
      <c r="AN151" s="2">
        <v>54281.555908203103</v>
      </c>
      <c r="AO151" s="2">
        <v>55709.0859375</v>
      </c>
      <c r="AP151" s="2">
        <v>89500.1982421875</v>
      </c>
      <c r="AQ151" s="2">
        <v>57882.772705078103</v>
      </c>
      <c r="AR151" s="2">
        <v>90679.2421875</v>
      </c>
      <c r="AS151" s="2">
        <v>53463.189453125</v>
      </c>
      <c r="AT151" s="2">
        <v>85210.97265625</v>
      </c>
      <c r="AU151" s="2">
        <v>65786.646484375</v>
      </c>
      <c r="AV151" s="2">
        <v>85316.8203125</v>
      </c>
      <c r="AW151" s="2">
        <v>76903.525390625</v>
      </c>
      <c r="AX151" s="2">
        <v>59185.9833984375</v>
      </c>
      <c r="AY151" s="2">
        <v>11159.8505859375</v>
      </c>
      <c r="AZ151" s="2">
        <v>44818.474609375</v>
      </c>
      <c r="BA151" s="2">
        <v>77128.080078125</v>
      </c>
      <c r="BB151" s="2">
        <v>57413.650390625</v>
      </c>
      <c r="BC151" s="2" t="s">
        <v>79</v>
      </c>
      <c r="BD151" s="2" t="s">
        <v>79</v>
      </c>
      <c r="BE151" s="2" t="s">
        <v>79</v>
      </c>
      <c r="BF151" s="2" t="s">
        <v>79</v>
      </c>
      <c r="BG151" s="2" t="s">
        <v>79</v>
      </c>
      <c r="BH151" s="2" t="s">
        <v>91</v>
      </c>
      <c r="BI151" s="2" t="s">
        <v>91</v>
      </c>
      <c r="BJ151" s="2" t="s">
        <v>91</v>
      </c>
      <c r="BK151" s="2" t="s">
        <v>91</v>
      </c>
      <c r="BL151" s="2" t="s">
        <v>91</v>
      </c>
      <c r="BM151" s="2" t="s">
        <v>91</v>
      </c>
      <c r="BN151" s="2" t="s">
        <v>91</v>
      </c>
      <c r="BO151" s="2" t="s">
        <v>91</v>
      </c>
      <c r="BP151" s="2" t="s">
        <v>91</v>
      </c>
      <c r="BQ151" s="2" t="s">
        <v>91</v>
      </c>
      <c r="BR151" s="2" t="s">
        <v>91</v>
      </c>
      <c r="BS151" s="2" t="s">
        <v>91</v>
      </c>
      <c r="BT151" s="2" t="s">
        <v>91</v>
      </c>
      <c r="BU151" s="2" t="s">
        <v>91</v>
      </c>
      <c r="BV151" s="2" t="s">
        <v>91</v>
      </c>
      <c r="BW151" s="2" t="s">
        <v>91</v>
      </c>
      <c r="BX151" s="2" t="s">
        <v>91</v>
      </c>
      <c r="BY151" s="2" t="s">
        <v>91</v>
      </c>
      <c r="BZ151" s="2" t="s">
        <v>91</v>
      </c>
      <c r="CA151" s="2" t="s">
        <v>91</v>
      </c>
      <c r="CB151">
        <f>TTEST(AS151:AW151,AI151:AM151,2,2)</f>
        <v>0.86611214654486124</v>
      </c>
      <c r="CC151">
        <f>TTEST(AD151:AH151,AI151:AM151,2,2)</f>
        <v>4.7079976943954701E-7</v>
      </c>
      <c r="CD151">
        <f>TTEST(AN151:AR151,AI151:AM151,2,2)</f>
        <v>0.91365710040570614</v>
      </c>
      <c r="CE151">
        <f>TTEST(AX151:BB151,AI151:AM151,2,2)</f>
        <v>0.20839007182424521</v>
      </c>
      <c r="CF151">
        <v>221</v>
      </c>
      <c r="CG151">
        <v>41</v>
      </c>
      <c r="CH151">
        <v>230</v>
      </c>
      <c r="CI151">
        <v>130</v>
      </c>
      <c r="CJ151">
        <f>0.05*CF151/464</f>
        <v>2.3814655172413796E-2</v>
      </c>
      <c r="CK151">
        <f>0.05*CG151/464</f>
        <v>4.4181034482758622E-3</v>
      </c>
      <c r="CL151">
        <f>0.05*CH151/464</f>
        <v>2.4784482758620691E-2</v>
      </c>
      <c r="CM151">
        <f>0.05*CI151/464</f>
        <v>1.4008620689655173E-2</v>
      </c>
      <c r="CN151" t="str">
        <f>IF(CB151&lt;CJ151,"yes","no")</f>
        <v>no</v>
      </c>
      <c r="CO151" t="str">
        <f>IF(CC151&lt;CK151,"yes","no")</f>
        <v>yes</v>
      </c>
      <c r="CP151" t="str">
        <f>IF(CD151&lt;CL151,"yes","no")</f>
        <v>no</v>
      </c>
      <c r="CQ151" t="str">
        <f>IF(CE151&lt;CM151,"yes","no")</f>
        <v>no</v>
      </c>
      <c r="CR151">
        <f>TTEST(AS151:AW151,AD151:AH151,2,2)</f>
        <v>4.6612066376877601E-7</v>
      </c>
      <c r="CS151">
        <f>TTEST(AS151:AW151,AN151:AR151,2,2)</f>
        <v>0.72891267015052208</v>
      </c>
      <c r="CT151">
        <f>TTEST(AS151:AW151,AX151:BB151,2,2)</f>
        <v>9.9739445913098759E-2</v>
      </c>
      <c r="CU151">
        <v>39</v>
      </c>
      <c r="CV151">
        <v>249</v>
      </c>
      <c r="CW151">
        <v>150</v>
      </c>
      <c r="CX151">
        <f t="shared" si="6"/>
        <v>4.2025862068965523E-3</v>
      </c>
      <c r="CY151">
        <f t="shared" si="7"/>
        <v>2.683189655172414E-2</v>
      </c>
      <c r="CZ151">
        <f t="shared" si="8"/>
        <v>1.6163793103448277E-2</v>
      </c>
      <c r="DA151" t="str">
        <f>IF(CR151&lt;CX151,"yes","no")</f>
        <v>yes</v>
      </c>
      <c r="DB151" t="str">
        <f>IF(CS151&lt;CY151,"yes","no")</f>
        <v>no</v>
      </c>
      <c r="DC151" t="str">
        <f>IF(CT151&lt;CZ151,"yes","no")</f>
        <v>no</v>
      </c>
    </row>
    <row r="152" spans="1:107" x14ac:dyDescent="0.2">
      <c r="A152" s="2" t="b">
        <v>0</v>
      </c>
      <c r="B152" s="2" t="s">
        <v>79</v>
      </c>
      <c r="C152" s="2" t="s">
        <v>80</v>
      </c>
      <c r="D152" s="2" t="s">
        <v>410</v>
      </c>
      <c r="E152" s="2" t="s">
        <v>411</v>
      </c>
      <c r="F152" s="2">
        <v>6</v>
      </c>
      <c r="G152" s="2">
        <v>6</v>
      </c>
      <c r="H152" s="2">
        <v>19.899999999999999</v>
      </c>
      <c r="I152" s="2">
        <v>8</v>
      </c>
      <c r="J152" s="2" t="s">
        <v>412</v>
      </c>
      <c r="K152" s="2" t="s">
        <v>338</v>
      </c>
      <c r="L152" s="2" t="s">
        <v>119</v>
      </c>
      <c r="M152" s="2" t="s">
        <v>413</v>
      </c>
      <c r="N152" s="2" t="s">
        <v>410</v>
      </c>
      <c r="O152" s="2">
        <v>2.6240000000000001</v>
      </c>
      <c r="P152" s="2">
        <v>1.1950000000000001</v>
      </c>
      <c r="Q152" s="2">
        <v>0.63100000000000001</v>
      </c>
      <c r="R152" s="2">
        <v>4.0419999999999998</v>
      </c>
      <c r="S152" s="2">
        <v>8.11</v>
      </c>
      <c r="T152" s="2">
        <v>4.8920000000000003</v>
      </c>
      <c r="U152" s="2">
        <v>2.698</v>
      </c>
      <c r="V152" s="2">
        <v>0.45300000000000001</v>
      </c>
      <c r="W152" s="2">
        <v>0.36299999999999999</v>
      </c>
      <c r="X152" s="2">
        <v>0.77</v>
      </c>
      <c r="Y152" s="2">
        <v>88.6</v>
      </c>
      <c r="Z152" s="2">
        <v>38.1</v>
      </c>
      <c r="AA152" s="2">
        <v>193.9</v>
      </c>
      <c r="AB152" s="2">
        <v>87.5</v>
      </c>
      <c r="AC152" s="2">
        <v>91.8</v>
      </c>
      <c r="AD152" s="2">
        <v>15019223.2773438</v>
      </c>
      <c r="AE152" s="2">
        <v>9319211.3046875</v>
      </c>
      <c r="AF152" s="2">
        <v>10951699.5898438</v>
      </c>
      <c r="AG152" s="2">
        <v>42496143.359375</v>
      </c>
      <c r="AH152" s="2">
        <v>10037263.2851563</v>
      </c>
      <c r="AI152" s="2">
        <v>87564.8662109375</v>
      </c>
      <c r="AJ152" s="2">
        <v>105085.578613281</v>
      </c>
      <c r="AK152" s="2">
        <v>93653.239746093794</v>
      </c>
      <c r="AL152" s="2">
        <v>252236.56762695301</v>
      </c>
      <c r="AM152" s="2">
        <v>96382.570068359404</v>
      </c>
      <c r="AN152" s="2">
        <v>457069.61376953102</v>
      </c>
      <c r="AO152" s="2">
        <v>463509.40771484398</v>
      </c>
      <c r="AP152" s="2">
        <v>559481.04052734398</v>
      </c>
      <c r="AQ152" s="2">
        <v>448325.443359375</v>
      </c>
      <c r="AR152" s="2">
        <v>701629.84936523403</v>
      </c>
      <c r="AS152" s="2">
        <v>1577185.2568359401</v>
      </c>
      <c r="AT152" s="2">
        <v>2972196.26953125</v>
      </c>
      <c r="AU152" s="2">
        <v>1667967.6611328099</v>
      </c>
      <c r="AV152" s="2">
        <v>2271223.8212890602</v>
      </c>
      <c r="AW152" s="2">
        <v>1902345.69921875</v>
      </c>
      <c r="AX152" s="2">
        <v>2857573.390625</v>
      </c>
      <c r="AY152" s="2">
        <v>589054.658203125</v>
      </c>
      <c r="AZ152" s="2">
        <v>687711.31640625</v>
      </c>
      <c r="BA152" s="2">
        <v>649732.994140625</v>
      </c>
      <c r="BB152" s="2">
        <v>1140316.55859375</v>
      </c>
      <c r="BC152" s="2" t="s">
        <v>79</v>
      </c>
      <c r="BD152" s="2" t="s">
        <v>79</v>
      </c>
      <c r="BE152" s="2" t="s">
        <v>79</v>
      </c>
      <c r="BF152" s="2" t="s">
        <v>79</v>
      </c>
      <c r="BG152" s="2" t="s">
        <v>79</v>
      </c>
      <c r="BH152" s="2" t="s">
        <v>91</v>
      </c>
      <c r="BI152" s="2" t="s">
        <v>79</v>
      </c>
      <c r="BJ152" s="2" t="s">
        <v>91</v>
      </c>
      <c r="BK152" s="2" t="s">
        <v>79</v>
      </c>
      <c r="BL152" s="2" t="s">
        <v>91</v>
      </c>
      <c r="BM152" s="2" t="s">
        <v>79</v>
      </c>
      <c r="BN152" s="2" t="s">
        <v>79</v>
      </c>
      <c r="BO152" s="2" t="s">
        <v>79</v>
      </c>
      <c r="BP152" s="2" t="s">
        <v>79</v>
      </c>
      <c r="BQ152" s="2" t="s">
        <v>79</v>
      </c>
      <c r="BR152" s="2" t="s">
        <v>79</v>
      </c>
      <c r="BS152" s="2" t="s">
        <v>79</v>
      </c>
      <c r="BT152" s="2" t="s">
        <v>79</v>
      </c>
      <c r="BU152" s="2" t="s">
        <v>79</v>
      </c>
      <c r="BV152" s="2" t="s">
        <v>79</v>
      </c>
      <c r="BW152" s="2" t="s">
        <v>79</v>
      </c>
      <c r="BX152" s="2" t="s">
        <v>79</v>
      </c>
      <c r="BY152" s="2" t="s">
        <v>79</v>
      </c>
      <c r="BZ152" s="2" t="s">
        <v>79</v>
      </c>
      <c r="CA152" s="2" t="s">
        <v>79</v>
      </c>
      <c r="CB152">
        <f>TTEST(AS152:AW152,AI152:AM152,2,2)</f>
        <v>6.1063920018269381E-5</v>
      </c>
      <c r="CC152">
        <f>TTEST(AD152:AH152,AI152:AM152,2,2)</f>
        <v>2.4550486085647211E-2</v>
      </c>
      <c r="CD152">
        <f>TTEST(AN152:AR152,AI152:AM152,2,2)</f>
        <v>1.2158606151418211E-4</v>
      </c>
      <c r="CE152">
        <f>TTEST(AX152:BB152,AI152:AM152,2,2)</f>
        <v>3.951406021149402E-2</v>
      </c>
      <c r="CF152">
        <v>56</v>
      </c>
      <c r="CG152">
        <v>171</v>
      </c>
      <c r="CH152">
        <v>49</v>
      </c>
      <c r="CI152">
        <v>104</v>
      </c>
      <c r="CJ152">
        <f>0.05*CF152/464</f>
        <v>6.0344827586206904E-3</v>
      </c>
      <c r="CK152">
        <f>0.05*CG152/464</f>
        <v>1.8426724137931037E-2</v>
      </c>
      <c r="CL152">
        <f>0.05*CH152/464</f>
        <v>5.2801724137931036E-3</v>
      </c>
      <c r="CM152">
        <f>0.05*CI152/464</f>
        <v>1.1206896551724138E-2</v>
      </c>
      <c r="CN152" t="str">
        <f>IF(CB152&lt;CJ152,"yes","no")</f>
        <v>yes</v>
      </c>
      <c r="CO152" t="str">
        <f>IF(CC152&lt;CK152,"yes","no")</f>
        <v>no</v>
      </c>
      <c r="CP152" t="str">
        <f>IF(CD152&lt;CL152,"yes","no")</f>
        <v>yes</v>
      </c>
      <c r="CQ152" t="str">
        <f>IF(CE152&lt;CM152,"yes","no")</f>
        <v>no</v>
      </c>
      <c r="CR152">
        <f>TTEST(AS152:AW152,AD152:AH152,2,2)</f>
        <v>3.9804700989384677E-2</v>
      </c>
      <c r="CS152">
        <f>TTEST(AS152:AW152,AN152:AR152,2,2)</f>
        <v>3.192865843391456E-4</v>
      </c>
      <c r="CT152">
        <f>TTEST(AS152:AW152,AX152:BB152,2,2)</f>
        <v>0.11105894965124585</v>
      </c>
      <c r="CU152">
        <v>222</v>
      </c>
      <c r="CV152">
        <v>75</v>
      </c>
      <c r="CW152">
        <v>151</v>
      </c>
      <c r="CX152">
        <f t="shared" si="6"/>
        <v>2.3922413793103451E-2</v>
      </c>
      <c r="CY152">
        <f t="shared" si="7"/>
        <v>8.0818965517241385E-3</v>
      </c>
      <c r="CZ152">
        <f t="shared" si="8"/>
        <v>1.6271551724137932E-2</v>
      </c>
      <c r="DA152" t="str">
        <f>IF(CR152&lt;CX152,"yes","no")</f>
        <v>no</v>
      </c>
      <c r="DB152" t="str">
        <f>IF(CS152&lt;CY152,"yes","no")</f>
        <v>yes</v>
      </c>
      <c r="DC152" t="str">
        <f>IF(CT152&lt;CZ152,"yes","no")</f>
        <v>no</v>
      </c>
    </row>
    <row r="153" spans="1:107" x14ac:dyDescent="0.2">
      <c r="A153" s="2" t="b">
        <v>0</v>
      </c>
      <c r="B153" s="2" t="s">
        <v>79</v>
      </c>
      <c r="C153" s="2" t="s">
        <v>80</v>
      </c>
      <c r="D153" s="2" t="s">
        <v>313</v>
      </c>
      <c r="E153" s="2" t="s">
        <v>314</v>
      </c>
      <c r="F153" s="2">
        <v>8</v>
      </c>
      <c r="G153" s="2">
        <v>4</v>
      </c>
      <c r="H153" s="2">
        <v>42</v>
      </c>
      <c r="I153" s="2">
        <v>5.39</v>
      </c>
      <c r="J153" s="2" t="s">
        <v>228</v>
      </c>
      <c r="K153" s="2" t="s">
        <v>247</v>
      </c>
      <c r="L153" s="2" t="s">
        <v>315</v>
      </c>
      <c r="M153" s="2" t="s">
        <v>83</v>
      </c>
      <c r="N153" s="2" t="s">
        <v>316</v>
      </c>
      <c r="O153" s="2">
        <v>1.6559999999999999</v>
      </c>
      <c r="P153" s="2">
        <v>1.6459999999999999</v>
      </c>
      <c r="Q153" s="2">
        <v>2.2250000000000001</v>
      </c>
      <c r="R153" s="2">
        <v>0.38500000000000001</v>
      </c>
      <c r="S153" s="2">
        <v>0.754</v>
      </c>
      <c r="T153" s="2">
        <v>0.78700000000000003</v>
      </c>
      <c r="U153" s="2">
        <v>0.94499999999999995</v>
      </c>
      <c r="V153" s="2">
        <v>0.86899999999999999</v>
      </c>
      <c r="W153" s="2">
        <v>1.359</v>
      </c>
      <c r="X153" s="2">
        <v>1.3280000000000001</v>
      </c>
      <c r="Y153" s="2">
        <v>49.7</v>
      </c>
      <c r="Z153" s="2">
        <v>129.19999999999999</v>
      </c>
      <c r="AA153" s="2">
        <v>97.4</v>
      </c>
      <c r="AB153" s="2">
        <v>101.7</v>
      </c>
      <c r="AC153" s="2">
        <v>122.1</v>
      </c>
      <c r="AD153" s="2">
        <v>153037.9375</v>
      </c>
      <c r="AE153" s="2">
        <v>126863.78125</v>
      </c>
      <c r="AF153" s="2">
        <v>146391.53125</v>
      </c>
      <c r="AG153" s="2">
        <v>301099.21875</v>
      </c>
      <c r="AH153" s="2" t="s">
        <v>83</v>
      </c>
      <c r="AI153" s="2" t="s">
        <v>83</v>
      </c>
      <c r="AJ153" s="2" t="s">
        <v>83</v>
      </c>
      <c r="AK153" s="2" t="s">
        <v>83</v>
      </c>
      <c r="AL153" s="2" t="s">
        <v>83</v>
      </c>
      <c r="AM153" s="2">
        <v>6585.84619140625</v>
      </c>
      <c r="AN153" s="2" t="s">
        <v>83</v>
      </c>
      <c r="AO153" s="2" t="s">
        <v>83</v>
      </c>
      <c r="AP153" s="2" t="s">
        <v>83</v>
      </c>
      <c r="AQ153" s="2">
        <v>4920.2705078125</v>
      </c>
      <c r="AR153" s="2">
        <v>10115.1787109375</v>
      </c>
      <c r="AS153" s="2">
        <v>43557.625</v>
      </c>
      <c r="AT153" s="2" t="s">
        <v>83</v>
      </c>
      <c r="AU153" s="2" t="s">
        <v>83</v>
      </c>
      <c r="AV153" s="2">
        <v>19955.373046875</v>
      </c>
      <c r="AW153" s="2">
        <v>61678.12109375</v>
      </c>
      <c r="AX153" s="2">
        <v>14368.48828125</v>
      </c>
      <c r="AY153" s="2" t="s">
        <v>83</v>
      </c>
      <c r="AZ153" s="2">
        <v>31980.8984375</v>
      </c>
      <c r="BA153" s="2">
        <v>18574.43359375</v>
      </c>
      <c r="BB153" s="2">
        <v>17860.60546875</v>
      </c>
      <c r="BC153" s="2" t="s">
        <v>79</v>
      </c>
      <c r="BD153" s="2" t="s">
        <v>79</v>
      </c>
      <c r="BE153" s="2" t="s">
        <v>79</v>
      </c>
      <c r="BF153" s="2" t="s">
        <v>79</v>
      </c>
      <c r="BG153" s="2" t="s">
        <v>79</v>
      </c>
      <c r="BH153" s="2" t="s">
        <v>79</v>
      </c>
      <c r="BI153" s="2" t="s">
        <v>79</v>
      </c>
      <c r="BJ153" s="2" t="s">
        <v>79</v>
      </c>
      <c r="BK153" s="2" t="s">
        <v>79</v>
      </c>
      <c r="BL153" s="2" t="s">
        <v>79</v>
      </c>
      <c r="BM153" s="2" t="s">
        <v>79</v>
      </c>
      <c r="BN153" s="2" t="s">
        <v>79</v>
      </c>
      <c r="BO153" s="2" t="s">
        <v>79</v>
      </c>
      <c r="BP153" s="2" t="s">
        <v>79</v>
      </c>
      <c r="BQ153" s="2" t="s">
        <v>79</v>
      </c>
      <c r="BR153" s="2" t="s">
        <v>79</v>
      </c>
      <c r="BS153" s="2" t="s">
        <v>79</v>
      </c>
      <c r="BT153" s="2" t="s">
        <v>79</v>
      </c>
      <c r="BU153" s="2" t="s">
        <v>79</v>
      </c>
      <c r="BV153" s="2" t="s">
        <v>79</v>
      </c>
      <c r="BW153" s="2" t="s">
        <v>79</v>
      </c>
      <c r="BX153" s="2" t="s">
        <v>79</v>
      </c>
      <c r="BY153" s="2" t="s">
        <v>79</v>
      </c>
      <c r="BZ153" s="2" t="s">
        <v>91</v>
      </c>
      <c r="CA153" s="2" t="s">
        <v>79</v>
      </c>
      <c r="CB153" t="e">
        <f>TTEST(AS153:AW153,AI153:AM153,2,2)</f>
        <v>#DIV/0!</v>
      </c>
      <c r="CC153" t="e">
        <f>TTEST(AD153:AH153,AI153:AM153,2,2)</f>
        <v>#DIV/0!</v>
      </c>
      <c r="CD153" t="e">
        <f>TTEST(AN153:AR153,AI153:AM153,2,2)</f>
        <v>#DIV/0!</v>
      </c>
      <c r="CE153" t="e">
        <f>TTEST(AX153:BB153,AI153:AM153,2,2)</f>
        <v>#DIV/0!</v>
      </c>
      <c r="CF153">
        <v>286</v>
      </c>
      <c r="CG153">
        <v>300</v>
      </c>
      <c r="CH153">
        <v>304</v>
      </c>
      <c r="CI153">
        <v>259</v>
      </c>
      <c r="CJ153">
        <f>0.05*CF153/464</f>
        <v>3.0818965517241382E-2</v>
      </c>
      <c r="CK153">
        <f>0.05*CG153/464</f>
        <v>3.2327586206896554E-2</v>
      </c>
      <c r="CL153">
        <f>0.05*CH153/464</f>
        <v>3.2758620689655175E-2</v>
      </c>
      <c r="CM153">
        <f>0.05*CI153/464</f>
        <v>2.7909482758620693E-2</v>
      </c>
      <c r="CN153" t="e">
        <f>IF(CB153&lt;CJ153,"yes","no")</f>
        <v>#DIV/0!</v>
      </c>
      <c r="CO153" t="e">
        <f>IF(CC153&lt;CK153,"yes","no")</f>
        <v>#DIV/0!</v>
      </c>
      <c r="CP153" t="e">
        <f>IF(CD153&lt;CL153,"yes","no")</f>
        <v>#DIV/0!</v>
      </c>
      <c r="CQ153" t="e">
        <f>IF(CE153&lt;CM153,"yes","no")</f>
        <v>#DIV/0!</v>
      </c>
      <c r="CR153">
        <f>TTEST(AS153:AW153,AD153:AH153,2,2)</f>
        <v>3.4353163726093365E-2</v>
      </c>
      <c r="CS153">
        <f>TTEST(AS153:AW153,AN153:AR153,2,2)</f>
        <v>0.11764988853814887</v>
      </c>
      <c r="CT153">
        <f>TTEST(AS153:AW153,AX153:BB153,2,2)</f>
        <v>0.11651070942732429</v>
      </c>
      <c r="CU153">
        <v>219</v>
      </c>
      <c r="CV153">
        <v>186</v>
      </c>
      <c r="CW153">
        <v>152</v>
      </c>
      <c r="CX153">
        <f t="shared" si="6"/>
        <v>2.3599137931034485E-2</v>
      </c>
      <c r="CY153">
        <f t="shared" si="7"/>
        <v>2.0043103448275864E-2</v>
      </c>
      <c r="CZ153">
        <f t="shared" si="8"/>
        <v>1.6379310344827588E-2</v>
      </c>
      <c r="DA153" t="str">
        <f>IF(CR153&lt;CX153,"yes","no")</f>
        <v>no</v>
      </c>
      <c r="DB153" t="str">
        <f>IF(CS153&lt;CY153,"yes","no")</f>
        <v>no</v>
      </c>
      <c r="DC153" t="str">
        <f>IF(CT153&lt;CZ153,"yes","no")</f>
        <v>no</v>
      </c>
    </row>
    <row r="154" spans="1:107" x14ac:dyDescent="0.2">
      <c r="A154" s="2" t="b">
        <v>0</v>
      </c>
      <c r="B154" s="2" t="s">
        <v>79</v>
      </c>
      <c r="C154" s="2" t="s">
        <v>80</v>
      </c>
      <c r="D154" s="2" t="s">
        <v>1290</v>
      </c>
      <c r="E154" s="2" t="s">
        <v>1291</v>
      </c>
      <c r="F154" s="2">
        <v>2</v>
      </c>
      <c r="G154" s="2">
        <v>2</v>
      </c>
      <c r="H154" s="2">
        <v>19.3</v>
      </c>
      <c r="I154" s="2">
        <v>6.68</v>
      </c>
      <c r="J154" s="2" t="s">
        <v>557</v>
      </c>
      <c r="K154" s="2" t="s">
        <v>1292</v>
      </c>
      <c r="L154" s="2" t="s">
        <v>119</v>
      </c>
      <c r="M154" s="2" t="s">
        <v>1293</v>
      </c>
      <c r="N154" s="2" t="s">
        <v>1290</v>
      </c>
      <c r="O154" s="2">
        <v>0.40300000000000002</v>
      </c>
      <c r="P154" s="2">
        <v>0.33100000000000002</v>
      </c>
      <c r="Q154" s="2">
        <v>0.25</v>
      </c>
      <c r="R154" s="2">
        <v>100</v>
      </c>
      <c r="S154" s="2">
        <v>100</v>
      </c>
      <c r="T154" s="2">
        <v>100</v>
      </c>
      <c r="U154" s="2">
        <v>100</v>
      </c>
      <c r="V154" s="2">
        <v>0.82099999999999995</v>
      </c>
      <c r="W154" s="2">
        <v>0.62</v>
      </c>
      <c r="X154" s="2">
        <v>0.89</v>
      </c>
      <c r="Y154" s="2">
        <v>252.2</v>
      </c>
      <c r="Z154" s="2" t="s">
        <v>83</v>
      </c>
      <c r="AA154" s="2">
        <v>101.5</v>
      </c>
      <c r="AB154" s="2">
        <v>83.4</v>
      </c>
      <c r="AC154" s="2">
        <v>62.9</v>
      </c>
      <c r="AD154" s="2" t="s">
        <v>83</v>
      </c>
      <c r="AE154" s="2" t="s">
        <v>83</v>
      </c>
      <c r="AF154" s="2" t="s">
        <v>83</v>
      </c>
      <c r="AG154" s="2">
        <v>824308.125</v>
      </c>
      <c r="AH154" s="2" t="s">
        <v>83</v>
      </c>
      <c r="AI154" s="2" t="s">
        <v>83</v>
      </c>
      <c r="AJ154" s="2" t="s">
        <v>83</v>
      </c>
      <c r="AK154" s="2" t="s">
        <v>83</v>
      </c>
      <c r="AL154" s="2" t="s">
        <v>83</v>
      </c>
      <c r="AM154" s="2" t="s">
        <v>83</v>
      </c>
      <c r="AN154" s="2" t="s">
        <v>83</v>
      </c>
      <c r="AO154" s="2" t="s">
        <v>83</v>
      </c>
      <c r="AP154" s="2" t="s">
        <v>83</v>
      </c>
      <c r="AQ154" s="2" t="s">
        <v>83</v>
      </c>
      <c r="AR154" s="2">
        <v>7333.43115234375</v>
      </c>
      <c r="AS154" s="2">
        <v>42073.7109375</v>
      </c>
      <c r="AT154" s="2" t="s">
        <v>83</v>
      </c>
      <c r="AU154" s="2">
        <v>31725.72265625</v>
      </c>
      <c r="AV154" s="2" t="s">
        <v>83</v>
      </c>
      <c r="AW154" s="2">
        <v>18770.78515625</v>
      </c>
      <c r="AX154" s="2">
        <v>11565.8505859375</v>
      </c>
      <c r="AY154" s="2">
        <v>12332.4267578125</v>
      </c>
      <c r="AZ154" s="2" t="s">
        <v>83</v>
      </c>
      <c r="BA154" s="2" t="s">
        <v>83</v>
      </c>
      <c r="BB154" s="2" t="s">
        <v>83</v>
      </c>
      <c r="BC154" s="2" t="s">
        <v>79</v>
      </c>
      <c r="BD154" s="2" t="s">
        <v>98</v>
      </c>
      <c r="BE154" s="2" t="s">
        <v>98</v>
      </c>
      <c r="BF154" s="2" t="s">
        <v>79</v>
      </c>
      <c r="BG154" s="2" t="s">
        <v>98</v>
      </c>
      <c r="BH154" s="2" t="s">
        <v>98</v>
      </c>
      <c r="BI154" s="2" t="s">
        <v>98</v>
      </c>
      <c r="BJ154" s="2" t="s">
        <v>98</v>
      </c>
      <c r="BK154" s="2" t="s">
        <v>98</v>
      </c>
      <c r="BL154" s="2" t="s">
        <v>98</v>
      </c>
      <c r="BM154" s="2" t="s">
        <v>98</v>
      </c>
      <c r="BN154" s="2" t="s">
        <v>98</v>
      </c>
      <c r="BO154" s="2" t="s">
        <v>98</v>
      </c>
      <c r="BP154" s="2" t="s">
        <v>98</v>
      </c>
      <c r="BQ154" s="2" t="s">
        <v>91</v>
      </c>
      <c r="BR154" s="2" t="s">
        <v>91</v>
      </c>
      <c r="BS154" s="2" t="s">
        <v>98</v>
      </c>
      <c r="BT154" s="2" t="s">
        <v>91</v>
      </c>
      <c r="BU154" s="2" t="s">
        <v>98</v>
      </c>
      <c r="BV154" s="2" t="s">
        <v>91</v>
      </c>
      <c r="BW154" s="2" t="s">
        <v>91</v>
      </c>
      <c r="BX154" s="2" t="s">
        <v>91</v>
      </c>
      <c r="BY154" s="2" t="s">
        <v>98</v>
      </c>
      <c r="BZ154" s="2" t="s">
        <v>98</v>
      </c>
      <c r="CA154" s="2" t="s">
        <v>98</v>
      </c>
      <c r="CB154" t="e">
        <f>TTEST(AS154:AW154,AI154:AM154,2,2)</f>
        <v>#DIV/0!</v>
      </c>
      <c r="CC154" t="e">
        <f>TTEST(AD154:AH154,AI154:AM154,2,2)</f>
        <v>#DIV/0!</v>
      </c>
      <c r="CD154" t="e">
        <f>TTEST(AN154:AR154,AI154:AM154,2,2)</f>
        <v>#DIV/0!</v>
      </c>
      <c r="CE154" t="e">
        <f>TTEST(AX154:BB154,AI154:AM154,2,2)</f>
        <v>#DIV/0!</v>
      </c>
      <c r="CF154">
        <v>414</v>
      </c>
      <c r="CG154">
        <v>428</v>
      </c>
      <c r="CH154">
        <v>432</v>
      </c>
      <c r="CI154">
        <v>435</v>
      </c>
      <c r="CJ154">
        <f>0.05*CF154/464</f>
        <v>4.4612068965517247E-2</v>
      </c>
      <c r="CK154">
        <f>0.05*CG154/464</f>
        <v>4.6120689655172416E-2</v>
      </c>
      <c r="CL154">
        <f>0.05*CH154/464</f>
        <v>4.6551724137931037E-2</v>
      </c>
      <c r="CM154">
        <f>0.05*CI154/464</f>
        <v>4.6875E-2</v>
      </c>
      <c r="CN154" t="e">
        <f>IF(CB154&lt;CJ154,"yes","no")</f>
        <v>#DIV/0!</v>
      </c>
      <c r="CO154" t="e">
        <f>IF(CC154&lt;CK154,"yes","no")</f>
        <v>#DIV/0!</v>
      </c>
      <c r="CP154" t="e">
        <f>IF(CD154&lt;CL154,"yes","no")</f>
        <v>#DIV/0!</v>
      </c>
      <c r="CQ154" t="e">
        <f>IF(CE154&lt;CM154,"yes","no")</f>
        <v>#DIV/0!</v>
      </c>
      <c r="CR154" t="e">
        <f>TTEST(AS154:AW154,AD154:AH154,2,2)</f>
        <v>#DIV/0!</v>
      </c>
      <c r="CS154" t="e">
        <f>TTEST(AS154:AW154,AN154:AR154,2,2)</f>
        <v>#DIV/0!</v>
      </c>
      <c r="CT154">
        <f>TTEST(AS154:AW154,AX154:BB154,2,2)</f>
        <v>0.11829229804669597</v>
      </c>
      <c r="CU154">
        <v>432</v>
      </c>
      <c r="CV154">
        <v>435</v>
      </c>
      <c r="CW154">
        <v>153</v>
      </c>
      <c r="CX154">
        <f t="shared" si="6"/>
        <v>4.6551724137931037E-2</v>
      </c>
      <c r="CY154">
        <f t="shared" si="7"/>
        <v>4.6875E-2</v>
      </c>
      <c r="CZ154">
        <f t="shared" si="8"/>
        <v>1.6487068965517243E-2</v>
      </c>
      <c r="DA154" t="e">
        <f>IF(CR154&lt;CX154,"yes","no")</f>
        <v>#DIV/0!</v>
      </c>
      <c r="DB154" t="e">
        <f>IF(CS154&lt;CY154,"yes","no")</f>
        <v>#DIV/0!</v>
      </c>
      <c r="DC154" t="str">
        <f>IF(CT154&lt;CZ154,"yes","no")</f>
        <v>no</v>
      </c>
    </row>
    <row r="155" spans="1:107" x14ac:dyDescent="0.2">
      <c r="A155" s="2" t="b">
        <v>0</v>
      </c>
      <c r="B155" s="2" t="s">
        <v>79</v>
      </c>
      <c r="C155" s="2" t="s">
        <v>80</v>
      </c>
      <c r="D155" s="2" t="s">
        <v>1024</v>
      </c>
      <c r="E155" s="2" t="s">
        <v>1025</v>
      </c>
      <c r="F155" s="2">
        <v>3</v>
      </c>
      <c r="G155" s="2">
        <v>3</v>
      </c>
      <c r="H155" s="2">
        <v>144.6</v>
      </c>
      <c r="I155" s="2">
        <v>5.47</v>
      </c>
      <c r="J155" s="2" t="s">
        <v>1026</v>
      </c>
      <c r="K155" s="2" t="s">
        <v>145</v>
      </c>
      <c r="L155" s="2" t="s">
        <v>119</v>
      </c>
      <c r="M155" s="2" t="s">
        <v>1027</v>
      </c>
      <c r="N155" s="2" t="s">
        <v>1028</v>
      </c>
      <c r="O155" s="2">
        <v>0.01</v>
      </c>
      <c r="P155" s="2">
        <v>2.1509999999999998</v>
      </c>
      <c r="Q155" s="2">
        <v>2.319</v>
      </c>
      <c r="R155" s="2">
        <v>100</v>
      </c>
      <c r="S155" s="2" t="s">
        <v>83</v>
      </c>
      <c r="T155" s="2">
        <v>100</v>
      </c>
      <c r="U155" s="2">
        <v>100</v>
      </c>
      <c r="V155" s="2">
        <v>100</v>
      </c>
      <c r="W155" s="2">
        <v>100</v>
      </c>
      <c r="X155" s="2">
        <v>2.101</v>
      </c>
      <c r="Y155" s="2">
        <v>118.6</v>
      </c>
      <c r="Z155" s="2" t="s">
        <v>83</v>
      </c>
      <c r="AA155" s="2" t="s">
        <v>83</v>
      </c>
      <c r="AB155" s="2">
        <v>223.8</v>
      </c>
      <c r="AC155" s="2">
        <v>157.6</v>
      </c>
      <c r="AD155" s="2">
        <v>296808.9921875</v>
      </c>
      <c r="AE155" s="2">
        <v>165370.58203125</v>
      </c>
      <c r="AF155" s="2">
        <v>202646.7890625</v>
      </c>
      <c r="AG155" s="2">
        <v>251814.609375</v>
      </c>
      <c r="AH155" s="2">
        <v>118074.734375</v>
      </c>
      <c r="AI155" s="2" t="s">
        <v>83</v>
      </c>
      <c r="AJ155" s="2" t="s">
        <v>83</v>
      </c>
      <c r="AK155" s="2" t="s">
        <v>83</v>
      </c>
      <c r="AL155" s="2" t="s">
        <v>83</v>
      </c>
      <c r="AM155" s="2" t="s">
        <v>83</v>
      </c>
      <c r="AN155" s="2" t="s">
        <v>83</v>
      </c>
      <c r="AO155" s="2" t="s">
        <v>83</v>
      </c>
      <c r="AP155" s="2" t="s">
        <v>83</v>
      </c>
      <c r="AQ155" s="2" t="s">
        <v>83</v>
      </c>
      <c r="AR155" s="2" t="s">
        <v>83</v>
      </c>
      <c r="AS155" s="2">
        <v>79554.697265625</v>
      </c>
      <c r="AT155" s="2">
        <v>105714.748046875</v>
      </c>
      <c r="AU155" s="2">
        <v>30642.357421875</v>
      </c>
      <c r="AV155" s="2">
        <v>23413.083984375</v>
      </c>
      <c r="AW155" s="2">
        <v>66527.89453125</v>
      </c>
      <c r="AX155" s="2">
        <v>16409.33984375</v>
      </c>
      <c r="AY155" s="2" t="s">
        <v>83</v>
      </c>
      <c r="AZ155" s="2" t="s">
        <v>83</v>
      </c>
      <c r="BA155" s="2">
        <v>12456.212890625</v>
      </c>
      <c r="BB155" s="2" t="s">
        <v>83</v>
      </c>
      <c r="BC155" s="2" t="s">
        <v>79</v>
      </c>
      <c r="BD155" s="2" t="s">
        <v>79</v>
      </c>
      <c r="BE155" s="2" t="s">
        <v>79</v>
      </c>
      <c r="BF155" s="2" t="s">
        <v>79</v>
      </c>
      <c r="BG155" s="2" t="s">
        <v>79</v>
      </c>
      <c r="BH155" s="2" t="s">
        <v>98</v>
      </c>
      <c r="BI155" s="2" t="s">
        <v>98</v>
      </c>
      <c r="BJ155" s="2" t="s">
        <v>98</v>
      </c>
      <c r="BK155" s="2" t="s">
        <v>98</v>
      </c>
      <c r="BL155" s="2" t="s">
        <v>98</v>
      </c>
      <c r="BM155" s="2" t="s">
        <v>98</v>
      </c>
      <c r="BN155" s="2" t="s">
        <v>98</v>
      </c>
      <c r="BO155" s="2" t="s">
        <v>98</v>
      </c>
      <c r="BP155" s="2" t="s">
        <v>98</v>
      </c>
      <c r="BQ155" s="2" t="s">
        <v>98</v>
      </c>
      <c r="BR155" s="2" t="s">
        <v>79</v>
      </c>
      <c r="BS155" s="2" t="s">
        <v>79</v>
      </c>
      <c r="BT155" s="2" t="s">
        <v>91</v>
      </c>
      <c r="BU155" s="2" t="s">
        <v>79</v>
      </c>
      <c r="BV155" s="2" t="s">
        <v>79</v>
      </c>
      <c r="BW155" s="2" t="s">
        <v>91</v>
      </c>
      <c r="BX155" s="2" t="s">
        <v>98</v>
      </c>
      <c r="BY155" s="2" t="s">
        <v>98</v>
      </c>
      <c r="BZ155" s="2" t="s">
        <v>91</v>
      </c>
      <c r="CA155" s="2" t="s">
        <v>98</v>
      </c>
      <c r="CB155" t="e">
        <f>TTEST(AS155:AW155,AI155:AM155,2,2)</f>
        <v>#DIV/0!</v>
      </c>
      <c r="CC155" t="e">
        <f>TTEST(AD155:AH155,AI155:AM155,2,2)</f>
        <v>#DIV/0!</v>
      </c>
      <c r="CD155" t="e">
        <f>TTEST(AN155:AR155,AI155:AM155,2,2)</f>
        <v>#DIV/0!</v>
      </c>
      <c r="CE155" t="e">
        <f>TTEST(AX155:BB155,AI155:AM155,2,2)</f>
        <v>#DIV/0!</v>
      </c>
      <c r="CF155">
        <v>267</v>
      </c>
      <c r="CG155">
        <v>281</v>
      </c>
      <c r="CH155">
        <v>285</v>
      </c>
      <c r="CI155">
        <v>297</v>
      </c>
      <c r="CJ155">
        <f>0.05*CF155/464</f>
        <v>2.8771551724137933E-2</v>
      </c>
      <c r="CK155">
        <f>0.05*CG155/464</f>
        <v>3.0280172413793105E-2</v>
      </c>
      <c r="CL155">
        <f>0.05*CH155/464</f>
        <v>3.0711206896551723E-2</v>
      </c>
      <c r="CM155">
        <f>0.05*CI155/464</f>
        <v>3.2004310344827591E-2</v>
      </c>
      <c r="CN155" t="e">
        <f>IF(CB155&lt;CJ155,"yes","no")</f>
        <v>#DIV/0!</v>
      </c>
      <c r="CO155" t="e">
        <f>IF(CC155&lt;CK155,"yes","no")</f>
        <v>#DIV/0!</v>
      </c>
      <c r="CP155" t="e">
        <f>IF(CD155&lt;CL155,"yes","no")</f>
        <v>#DIV/0!</v>
      </c>
      <c r="CQ155" t="e">
        <f>IF(CE155&lt;CM155,"yes","no")</f>
        <v>#DIV/0!</v>
      </c>
      <c r="CR155">
        <f>TTEST(AS155:AW155,AD155:AH155,2,2)</f>
        <v>3.122699114550675E-3</v>
      </c>
      <c r="CS155" t="e">
        <f>TTEST(AS155:AW155,AN155:AR155,2,2)</f>
        <v>#DIV/0!</v>
      </c>
      <c r="CT155">
        <f>TTEST(AS155:AW155,AX155:BB155,2,2)</f>
        <v>0.12859402728218436</v>
      </c>
      <c r="CU155">
        <v>178</v>
      </c>
      <c r="CV155">
        <v>290</v>
      </c>
      <c r="CW155">
        <v>154</v>
      </c>
      <c r="CX155">
        <f t="shared" si="6"/>
        <v>1.9181034482758621E-2</v>
      </c>
      <c r="CY155">
        <f t="shared" si="7"/>
        <v>3.125E-2</v>
      </c>
      <c r="CZ155">
        <f t="shared" si="8"/>
        <v>1.6594827586206898E-2</v>
      </c>
      <c r="DA155" t="str">
        <f>IF(CR155&lt;CX155,"yes","no")</f>
        <v>yes</v>
      </c>
      <c r="DB155" t="e">
        <f>IF(CS155&lt;CY155,"yes","no")</f>
        <v>#DIV/0!</v>
      </c>
      <c r="DC155" t="str">
        <f>IF(CT155&lt;CZ155,"yes","no")</f>
        <v>no</v>
      </c>
    </row>
    <row r="156" spans="1:107" x14ac:dyDescent="0.2">
      <c r="A156" s="2" t="b">
        <v>0</v>
      </c>
      <c r="B156" s="2" t="s">
        <v>79</v>
      </c>
      <c r="C156" s="2" t="s">
        <v>80</v>
      </c>
      <c r="D156" s="2" t="s">
        <v>459</v>
      </c>
      <c r="E156" s="2" t="s">
        <v>460</v>
      </c>
      <c r="F156" s="2">
        <v>8</v>
      </c>
      <c r="G156" s="2">
        <v>8</v>
      </c>
      <c r="H156" s="2">
        <v>35.700000000000003</v>
      </c>
      <c r="I156" s="2">
        <v>8.68</v>
      </c>
      <c r="J156" s="2" t="s">
        <v>135</v>
      </c>
      <c r="K156" s="2" t="s">
        <v>461</v>
      </c>
      <c r="L156" s="2" t="s">
        <v>119</v>
      </c>
      <c r="M156" s="2" t="s">
        <v>462</v>
      </c>
      <c r="N156" s="2" t="s">
        <v>463</v>
      </c>
      <c r="O156" s="2">
        <v>4.4509999999999996</v>
      </c>
      <c r="P156" s="2">
        <v>0.46800000000000003</v>
      </c>
      <c r="Q156" s="2">
        <v>5.4580000000000002</v>
      </c>
      <c r="R156" s="2">
        <v>0.33800000000000002</v>
      </c>
      <c r="S156" s="2">
        <v>1.5580000000000001</v>
      </c>
      <c r="T156" s="2">
        <v>0.21099999999999999</v>
      </c>
      <c r="U156" s="2">
        <v>1.006</v>
      </c>
      <c r="V156" s="2">
        <v>0.17799999999999999</v>
      </c>
      <c r="W156" s="2">
        <v>0.746</v>
      </c>
      <c r="X156" s="2">
        <v>4.7130000000000001</v>
      </c>
      <c r="Y156" s="2">
        <v>65</v>
      </c>
      <c r="Z156" s="2">
        <v>111.6</v>
      </c>
      <c r="AA156" s="2">
        <v>156.5</v>
      </c>
      <c r="AB156" s="2">
        <v>24.2</v>
      </c>
      <c r="AC156" s="2">
        <v>142.80000000000001</v>
      </c>
      <c r="AD156" s="2">
        <v>2449022.140625</v>
      </c>
      <c r="AE156" s="2">
        <v>351382.90625</v>
      </c>
      <c r="AF156" s="2">
        <v>1693418.55859375</v>
      </c>
      <c r="AG156" s="2">
        <v>12086621.703125</v>
      </c>
      <c r="AH156" s="2">
        <v>171647.642578125</v>
      </c>
      <c r="AI156" s="2">
        <v>62028.262451171897</v>
      </c>
      <c r="AJ156" s="2">
        <v>68840.8046875</v>
      </c>
      <c r="AK156" s="2">
        <v>67890.7705078125</v>
      </c>
      <c r="AL156" s="2">
        <v>205730.93310546901</v>
      </c>
      <c r="AM156" s="2">
        <v>55534</v>
      </c>
      <c r="AN156" s="2">
        <v>46658.19140625</v>
      </c>
      <c r="AO156" s="2">
        <v>88425.199707031294</v>
      </c>
      <c r="AP156" s="2">
        <v>110865.53515625</v>
      </c>
      <c r="AQ156" s="2">
        <v>20067.8125</v>
      </c>
      <c r="AR156" s="2">
        <v>352964.46142578102</v>
      </c>
      <c r="AS156" s="2">
        <v>84000.71484375</v>
      </c>
      <c r="AT156" s="2">
        <v>156027.95556640599</v>
      </c>
      <c r="AU156" s="2">
        <v>103217.53515625</v>
      </c>
      <c r="AV156" s="2">
        <v>139929.40722656299</v>
      </c>
      <c r="AW156" s="2">
        <v>104571.23535156299</v>
      </c>
      <c r="AX156" s="2">
        <v>261268.263671875</v>
      </c>
      <c r="AY156" s="2">
        <v>503143.5625</v>
      </c>
      <c r="AZ156" s="2">
        <v>114167.58300781299</v>
      </c>
      <c r="BA156" s="2">
        <v>115480.27832031299</v>
      </c>
      <c r="BB156" s="2">
        <v>203045.734375</v>
      </c>
      <c r="BC156" s="2" t="s">
        <v>79</v>
      </c>
      <c r="BD156" s="2" t="s">
        <v>79</v>
      </c>
      <c r="BE156" s="2" t="s">
        <v>79</v>
      </c>
      <c r="BF156" s="2" t="s">
        <v>79</v>
      </c>
      <c r="BG156" s="2" t="s">
        <v>79</v>
      </c>
      <c r="BH156" s="2" t="s">
        <v>91</v>
      </c>
      <c r="BI156" s="2" t="s">
        <v>91</v>
      </c>
      <c r="BJ156" s="2" t="s">
        <v>91</v>
      </c>
      <c r="BK156" s="2" t="s">
        <v>79</v>
      </c>
      <c r="BL156" s="2" t="s">
        <v>91</v>
      </c>
      <c r="BM156" s="2" t="s">
        <v>79</v>
      </c>
      <c r="BN156" s="2" t="s">
        <v>79</v>
      </c>
      <c r="BO156" s="2" t="s">
        <v>91</v>
      </c>
      <c r="BP156" s="2" t="s">
        <v>79</v>
      </c>
      <c r="BQ156" s="2" t="s">
        <v>79</v>
      </c>
      <c r="BR156" s="2" t="s">
        <v>79</v>
      </c>
      <c r="BS156" s="2" t="s">
        <v>79</v>
      </c>
      <c r="BT156" s="2" t="s">
        <v>79</v>
      </c>
      <c r="BU156" s="2" t="s">
        <v>79</v>
      </c>
      <c r="BV156" s="2" t="s">
        <v>79</v>
      </c>
      <c r="BW156" s="2" t="s">
        <v>79</v>
      </c>
      <c r="BX156" s="2" t="s">
        <v>79</v>
      </c>
      <c r="BY156" s="2" t="s">
        <v>91</v>
      </c>
      <c r="BZ156" s="2" t="s">
        <v>79</v>
      </c>
      <c r="CA156" s="2" t="s">
        <v>79</v>
      </c>
      <c r="CB156">
        <f>TTEST(AS156:AW156,AI156:AM156,2,2)</f>
        <v>0.43992954596431322</v>
      </c>
      <c r="CC156">
        <f>TTEST(AD156:AH156,AI156:AM156,2,2)</f>
        <v>0.1811932345548404</v>
      </c>
      <c r="CD156">
        <f>TTEST(AN156:AR156,AI156:AM156,2,2)</f>
        <v>0.64256545492724637</v>
      </c>
      <c r="CE156">
        <f>TTEST(AX156:BB156,AI156:AM156,2,2)</f>
        <v>9.2006803948373198E-2</v>
      </c>
      <c r="CF156">
        <v>192</v>
      </c>
      <c r="CG156">
        <v>210</v>
      </c>
      <c r="CH156">
        <v>202</v>
      </c>
      <c r="CI156">
        <v>122</v>
      </c>
      <c r="CJ156">
        <f>0.05*CF156/464</f>
        <v>2.0689655172413796E-2</v>
      </c>
      <c r="CK156">
        <f>0.05*CG156/464</f>
        <v>2.2629310344827586E-2</v>
      </c>
      <c r="CL156">
        <f>0.05*CH156/464</f>
        <v>2.1767241379310347E-2</v>
      </c>
      <c r="CM156">
        <f>0.05*CI156/464</f>
        <v>1.3146551724137933E-2</v>
      </c>
      <c r="CN156" t="str">
        <f>IF(CB156&lt;CJ156,"yes","no")</f>
        <v>no</v>
      </c>
      <c r="CO156" t="str">
        <f>IF(CC156&lt;CK156,"yes","no")</f>
        <v>no</v>
      </c>
      <c r="CP156" t="str">
        <f>IF(CD156&lt;CL156,"yes","no")</f>
        <v>no</v>
      </c>
      <c r="CQ156" t="str">
        <f>IF(CE156&lt;CM156,"yes","no")</f>
        <v>no</v>
      </c>
      <c r="CR156">
        <f>TTEST(AS156:AW156,AD156:AH156,2,2)</f>
        <v>0.18423986015623317</v>
      </c>
      <c r="CS156">
        <f>TTEST(AS156:AW156,AN156:AR156,2,2)</f>
        <v>0.92079806156549138</v>
      </c>
      <c r="CT156">
        <f>TTEST(AS156:AW156,AX156:BB156,2,2)</f>
        <v>0.13246872531379555</v>
      </c>
      <c r="CU156">
        <v>271</v>
      </c>
      <c r="CV156">
        <v>269</v>
      </c>
      <c r="CW156">
        <v>155</v>
      </c>
      <c r="CX156">
        <f t="shared" si="6"/>
        <v>2.9202586206896555E-2</v>
      </c>
      <c r="CY156">
        <f t="shared" si="7"/>
        <v>2.8987068965517244E-2</v>
      </c>
      <c r="CZ156">
        <f t="shared" si="8"/>
        <v>1.670258620689655E-2</v>
      </c>
      <c r="DA156" t="str">
        <f>IF(CR156&lt;CX156,"yes","no")</f>
        <v>no</v>
      </c>
      <c r="DB156" t="str">
        <f>IF(CS156&lt;CY156,"yes","no")</f>
        <v>no</v>
      </c>
      <c r="DC156" t="str">
        <f>IF(CT156&lt;CZ156,"yes","no")</f>
        <v>no</v>
      </c>
    </row>
    <row r="157" spans="1:107" x14ac:dyDescent="0.2">
      <c r="A157" s="2" t="b">
        <v>0</v>
      </c>
      <c r="B157" s="2" t="s">
        <v>79</v>
      </c>
      <c r="C157" s="2" t="s">
        <v>80</v>
      </c>
      <c r="D157" s="2" t="s">
        <v>890</v>
      </c>
      <c r="E157" s="2" t="s">
        <v>891</v>
      </c>
      <c r="F157" s="2">
        <v>2</v>
      </c>
      <c r="G157" s="2">
        <v>2</v>
      </c>
      <c r="H157" s="2">
        <v>25.3</v>
      </c>
      <c r="I157" s="2">
        <v>7.62</v>
      </c>
      <c r="J157" s="2" t="s">
        <v>89</v>
      </c>
      <c r="K157" s="2" t="s">
        <v>95</v>
      </c>
      <c r="L157" s="2" t="s">
        <v>119</v>
      </c>
      <c r="M157" s="2" t="s">
        <v>83</v>
      </c>
      <c r="N157" s="2" t="s">
        <v>892</v>
      </c>
      <c r="O157" s="2">
        <v>12.222</v>
      </c>
      <c r="P157" s="2">
        <v>1.819</v>
      </c>
      <c r="Q157" s="2">
        <v>3.9359999999999999</v>
      </c>
      <c r="R157" s="2">
        <v>0.26500000000000001</v>
      </c>
      <c r="S157" s="2">
        <v>3.11</v>
      </c>
      <c r="T157" s="2">
        <v>0.46</v>
      </c>
      <c r="U157" s="2">
        <v>1.0369999999999999</v>
      </c>
      <c r="V157" s="2">
        <v>0.14899999999999999</v>
      </c>
      <c r="W157" s="2">
        <v>0.32500000000000001</v>
      </c>
      <c r="X157" s="2">
        <v>2.254</v>
      </c>
      <c r="Y157" s="2">
        <v>22.5</v>
      </c>
      <c r="Z157" s="2">
        <v>81.599999999999994</v>
      </c>
      <c r="AA157" s="2">
        <v>271.39999999999998</v>
      </c>
      <c r="AB157" s="2">
        <v>36.4</v>
      </c>
      <c r="AC157" s="2">
        <v>88</v>
      </c>
      <c r="AD157" s="2">
        <v>1766654.5078125</v>
      </c>
      <c r="AE157" s="2">
        <v>1266549.88671875</v>
      </c>
      <c r="AF157" s="2">
        <v>1265743.00390625</v>
      </c>
      <c r="AG157" s="2">
        <v>1246296.484375</v>
      </c>
      <c r="AH157" s="2">
        <v>1126833.1875</v>
      </c>
      <c r="AI157" s="2">
        <v>119903.6640625</v>
      </c>
      <c r="AJ157" s="2">
        <v>84494.8046875</v>
      </c>
      <c r="AK157" s="2">
        <v>98348.140625</v>
      </c>
      <c r="AL157" s="2">
        <v>99063.90625</v>
      </c>
      <c r="AM157" s="2">
        <v>83241.3984375</v>
      </c>
      <c r="AN157" s="2">
        <v>265004.65625</v>
      </c>
      <c r="AO157" s="2">
        <v>257351.671875</v>
      </c>
      <c r="AP157" s="2">
        <v>321411.40625</v>
      </c>
      <c r="AQ157" s="2">
        <v>266972.28125</v>
      </c>
      <c r="AR157" s="2">
        <v>435489.84375</v>
      </c>
      <c r="AS157" s="2">
        <v>310749.40625</v>
      </c>
      <c r="AT157" s="2">
        <v>567420.998046875</v>
      </c>
      <c r="AU157" s="2">
        <v>284469.53125</v>
      </c>
      <c r="AV157" s="2">
        <v>323582.6875</v>
      </c>
      <c r="AW157" s="2">
        <v>421441.828125</v>
      </c>
      <c r="AX157" s="2">
        <v>268189.15625</v>
      </c>
      <c r="AY157" s="2">
        <v>333257.63183593802</v>
      </c>
      <c r="AZ157" s="2">
        <v>309149.3515625</v>
      </c>
      <c r="BA157" s="2">
        <v>257680.640625</v>
      </c>
      <c r="BB157" s="2">
        <v>291690.21582031302</v>
      </c>
      <c r="BC157" s="2" t="s">
        <v>79</v>
      </c>
      <c r="BD157" s="2" t="s">
        <v>79</v>
      </c>
      <c r="BE157" s="2" t="s">
        <v>79</v>
      </c>
      <c r="BF157" s="2" t="s">
        <v>79</v>
      </c>
      <c r="BG157" s="2" t="s">
        <v>79</v>
      </c>
      <c r="BH157" s="2" t="s">
        <v>79</v>
      </c>
      <c r="BI157" s="2" t="s">
        <v>79</v>
      </c>
      <c r="BJ157" s="2" t="s">
        <v>79</v>
      </c>
      <c r="BK157" s="2" t="s">
        <v>79</v>
      </c>
      <c r="BL157" s="2" t="s">
        <v>79</v>
      </c>
      <c r="BM157" s="2" t="s">
        <v>79</v>
      </c>
      <c r="BN157" s="2" t="s">
        <v>79</v>
      </c>
      <c r="BO157" s="2" t="s">
        <v>79</v>
      </c>
      <c r="BP157" s="2" t="s">
        <v>79</v>
      </c>
      <c r="BQ157" s="2" t="s">
        <v>79</v>
      </c>
      <c r="BR157" s="2" t="s">
        <v>79</v>
      </c>
      <c r="BS157" s="2" t="s">
        <v>79</v>
      </c>
      <c r="BT157" s="2" t="s">
        <v>79</v>
      </c>
      <c r="BU157" s="2" t="s">
        <v>79</v>
      </c>
      <c r="BV157" s="2" t="s">
        <v>79</v>
      </c>
      <c r="BW157" s="2" t="s">
        <v>79</v>
      </c>
      <c r="BX157" s="2" t="s">
        <v>79</v>
      </c>
      <c r="BY157" s="2" t="s">
        <v>79</v>
      </c>
      <c r="BZ157" s="2" t="s">
        <v>79</v>
      </c>
      <c r="CA157" s="2" t="s">
        <v>79</v>
      </c>
      <c r="CB157">
        <f>TTEST(AS157:AW157,AI157:AM157,2,2)</f>
        <v>6.1974416255223511E-4</v>
      </c>
      <c r="CC157">
        <f>TTEST(AD157:AH157,AI157:AM157,2,2)</f>
        <v>3.8356896264482708E-6</v>
      </c>
      <c r="CD157">
        <f>TTEST(AN157:AR157,AI157:AM157,2,2)</f>
        <v>2.5805634471493655E-4</v>
      </c>
      <c r="CE157">
        <f>TTEST(AX157:BB157,AI157:AM157,2,2)</f>
        <v>1.283962428170552E-6</v>
      </c>
      <c r="CF157">
        <v>95</v>
      </c>
      <c r="CG157">
        <v>75</v>
      </c>
      <c r="CH157">
        <v>59</v>
      </c>
      <c r="CI157">
        <v>18</v>
      </c>
      <c r="CJ157">
        <f>0.05*CF157/464</f>
        <v>1.0237068965517241E-2</v>
      </c>
      <c r="CK157">
        <f>0.05*CG157/464</f>
        <v>8.0818965517241385E-3</v>
      </c>
      <c r="CL157">
        <f>0.05*CH157/464</f>
        <v>6.3577586206896557E-3</v>
      </c>
      <c r="CM157">
        <f>0.05*CI157/464</f>
        <v>1.9396551724137931E-3</v>
      </c>
      <c r="CN157" t="str">
        <f>IF(CB157&lt;CJ157,"yes","no")</f>
        <v>yes</v>
      </c>
      <c r="CO157" t="str">
        <f>IF(CC157&lt;CK157,"yes","no")</f>
        <v>yes</v>
      </c>
      <c r="CP157" t="str">
        <f>IF(CD157&lt;CL157,"yes","no")</f>
        <v>yes</v>
      </c>
      <c r="CQ157" t="str">
        <f>IF(CE157&lt;CM157,"yes","no")</f>
        <v>yes</v>
      </c>
      <c r="CR157">
        <f>TTEST(AS157:AW157,AD157:AH157,2,2)</f>
        <v>5.3936219208814749E-5</v>
      </c>
      <c r="CS157">
        <f>TTEST(AS157:AW157,AN157:AR157,2,2)</f>
        <v>0.27600957639390117</v>
      </c>
      <c r="CT157">
        <f>TTEST(AS157:AW157,AX157:BB157,2,2)</f>
        <v>0.13400452348948477</v>
      </c>
      <c r="CU157">
        <v>119</v>
      </c>
      <c r="CV157">
        <v>209</v>
      </c>
      <c r="CW157">
        <v>156</v>
      </c>
      <c r="CX157">
        <f t="shared" si="6"/>
        <v>1.2823275862068965E-2</v>
      </c>
      <c r="CY157">
        <f t="shared" si="7"/>
        <v>2.2521551724137934E-2</v>
      </c>
      <c r="CZ157">
        <f t="shared" si="8"/>
        <v>1.6810344827586209E-2</v>
      </c>
      <c r="DA157" t="str">
        <f>IF(CR157&lt;CX157,"yes","no")</f>
        <v>yes</v>
      </c>
      <c r="DB157" t="str">
        <f>IF(CS157&lt;CY157,"yes","no")</f>
        <v>no</v>
      </c>
      <c r="DC157" t="str">
        <f>IF(CT157&lt;CZ157,"yes","no")</f>
        <v>no</v>
      </c>
    </row>
    <row r="158" spans="1:107" x14ac:dyDescent="0.2">
      <c r="A158" s="2" t="b">
        <v>0</v>
      </c>
      <c r="B158" s="2" t="s">
        <v>79</v>
      </c>
      <c r="C158" s="2" t="s">
        <v>80</v>
      </c>
      <c r="D158" s="2" t="s">
        <v>346</v>
      </c>
      <c r="E158" s="2" t="s">
        <v>347</v>
      </c>
      <c r="F158" s="2">
        <v>4</v>
      </c>
      <c r="G158" s="2">
        <v>1</v>
      </c>
      <c r="H158" s="2">
        <v>62</v>
      </c>
      <c r="I158" s="2">
        <v>7.55</v>
      </c>
      <c r="J158" s="2" t="s">
        <v>83</v>
      </c>
      <c r="K158" s="2" t="s">
        <v>302</v>
      </c>
      <c r="L158" s="2" t="s">
        <v>119</v>
      </c>
      <c r="M158" s="2" t="s">
        <v>348</v>
      </c>
      <c r="N158" s="2" t="s">
        <v>346</v>
      </c>
      <c r="O158" s="2">
        <v>96.084000000000003</v>
      </c>
      <c r="P158" s="2">
        <v>5.1749999999999998</v>
      </c>
      <c r="Q158" s="2">
        <v>22.966000000000001</v>
      </c>
      <c r="R158" s="2">
        <v>9.9000000000000005E-2</v>
      </c>
      <c r="S158" s="2">
        <v>7.915</v>
      </c>
      <c r="T158" s="2">
        <v>0.51400000000000001</v>
      </c>
      <c r="U158" s="2">
        <v>2.2959999999999998</v>
      </c>
      <c r="V158" s="2">
        <v>5.6000000000000001E-2</v>
      </c>
      <c r="W158" s="2">
        <v>0.26</v>
      </c>
      <c r="X158" s="2">
        <v>4.1760000000000002</v>
      </c>
      <c r="Y158" s="2">
        <v>3.9</v>
      </c>
      <c r="Z158" s="2">
        <v>39.200000000000003</v>
      </c>
      <c r="AA158" s="2">
        <v>345.4</v>
      </c>
      <c r="AB158" s="2">
        <v>21.5</v>
      </c>
      <c r="AC158" s="2">
        <v>89.9</v>
      </c>
      <c r="AD158" s="2">
        <v>7352.76708984375</v>
      </c>
      <c r="AE158" s="2">
        <v>11699.15234375</v>
      </c>
      <c r="AF158" s="2" t="s">
        <v>83</v>
      </c>
      <c r="AG158" s="2" t="s">
        <v>83</v>
      </c>
      <c r="AH158" s="2">
        <v>9427.005859375</v>
      </c>
      <c r="AI158" s="2">
        <v>2029.81335449219</v>
      </c>
      <c r="AJ158" s="2">
        <v>2735.90161132813</v>
      </c>
      <c r="AK158" s="2" t="s">
        <v>83</v>
      </c>
      <c r="AL158" s="2">
        <v>2942.4443359375</v>
      </c>
      <c r="AM158" s="2" t="s">
        <v>83</v>
      </c>
      <c r="AN158" s="2" t="s">
        <v>83</v>
      </c>
      <c r="AO158" s="2" t="s">
        <v>83</v>
      </c>
      <c r="AP158" s="2">
        <v>25471.9609375</v>
      </c>
      <c r="AQ158" s="2">
        <v>15321.3828125</v>
      </c>
      <c r="AR158" s="2" t="s">
        <v>83</v>
      </c>
      <c r="AS158" s="2" t="s">
        <v>83</v>
      </c>
      <c r="AT158" s="2">
        <v>5048.4404296875</v>
      </c>
      <c r="AU158" s="2">
        <v>8688.537109375</v>
      </c>
      <c r="AV158" s="2">
        <v>8174.603515625</v>
      </c>
      <c r="AW158" s="2">
        <v>8369.6611328125</v>
      </c>
      <c r="AX158" s="2">
        <v>18891.79296875</v>
      </c>
      <c r="AY158" s="2">
        <v>6844.3984375</v>
      </c>
      <c r="AZ158" s="2">
        <v>12938.236328125</v>
      </c>
      <c r="BA158" s="2" t="s">
        <v>83</v>
      </c>
      <c r="BB158" s="2" t="s">
        <v>83</v>
      </c>
      <c r="BC158" s="2" t="s">
        <v>91</v>
      </c>
      <c r="BD158" s="2" t="s">
        <v>79</v>
      </c>
      <c r="BE158" s="2" t="s">
        <v>98</v>
      </c>
      <c r="BF158" s="2" t="s">
        <v>98</v>
      </c>
      <c r="BG158" s="2" t="s">
        <v>91</v>
      </c>
      <c r="BH158" s="2" t="s">
        <v>91</v>
      </c>
      <c r="BI158" s="2" t="s">
        <v>91</v>
      </c>
      <c r="BJ158" s="2" t="s">
        <v>98</v>
      </c>
      <c r="BK158" s="2" t="s">
        <v>91</v>
      </c>
      <c r="BL158" s="2" t="s">
        <v>98</v>
      </c>
      <c r="BM158" s="2" t="s">
        <v>98</v>
      </c>
      <c r="BN158" s="2" t="s">
        <v>98</v>
      </c>
      <c r="BO158" s="2" t="s">
        <v>79</v>
      </c>
      <c r="BP158" s="2" t="s">
        <v>79</v>
      </c>
      <c r="BQ158" s="2" t="s">
        <v>98</v>
      </c>
      <c r="BR158" s="2" t="s">
        <v>98</v>
      </c>
      <c r="BS158" s="2" t="s">
        <v>91</v>
      </c>
      <c r="BT158" s="2" t="s">
        <v>91</v>
      </c>
      <c r="BU158" s="2" t="s">
        <v>91</v>
      </c>
      <c r="BV158" s="2" t="s">
        <v>91</v>
      </c>
      <c r="BW158" s="2" t="s">
        <v>79</v>
      </c>
      <c r="BX158" s="2" t="s">
        <v>91</v>
      </c>
      <c r="BY158" s="2" t="s">
        <v>91</v>
      </c>
      <c r="BZ158" s="2" t="s">
        <v>98</v>
      </c>
      <c r="CA158" s="2" t="s">
        <v>98</v>
      </c>
      <c r="CB158">
        <f>TTEST(AS158:AW158,AI158:AM158,2,2)</f>
        <v>4.6295808586510057E-3</v>
      </c>
      <c r="CC158">
        <f>TTEST(AD158:AH158,AI158:AM158,2,2)</f>
        <v>5.7407489507567081E-3</v>
      </c>
      <c r="CD158">
        <f>TTEST(AN158:AR158,AI158:AM158,2,2)</f>
        <v>1.8307421943232205E-2</v>
      </c>
      <c r="CE158">
        <f>TTEST(AX158:BB158,AI158:AM158,2,2)</f>
        <v>4.1611434513773603E-2</v>
      </c>
      <c r="CF158">
        <v>123</v>
      </c>
      <c r="CG158">
        <v>156</v>
      </c>
      <c r="CH158">
        <v>106</v>
      </c>
      <c r="CI158">
        <v>105</v>
      </c>
      <c r="CJ158">
        <f>0.05*CF158/464</f>
        <v>1.3254310344827587E-2</v>
      </c>
      <c r="CK158">
        <f>0.05*CG158/464</f>
        <v>1.6810344827586209E-2</v>
      </c>
      <c r="CL158">
        <f>0.05*CH158/464</f>
        <v>1.142241379310345E-2</v>
      </c>
      <c r="CM158">
        <f>0.05*CI158/464</f>
        <v>1.1314655172413793E-2</v>
      </c>
      <c r="CN158" t="str">
        <f>IF(CB158&lt;CJ158,"yes","no")</f>
        <v>yes</v>
      </c>
      <c r="CO158" t="str">
        <f>IF(CC158&lt;CK158,"yes","no")</f>
        <v>yes</v>
      </c>
      <c r="CP158" t="str">
        <f>IF(CD158&lt;CL158,"yes","no")</f>
        <v>no</v>
      </c>
      <c r="CQ158" t="str">
        <f>IF(CE158&lt;CM158,"yes","no")</f>
        <v>no</v>
      </c>
      <c r="CR158">
        <f>TTEST(AS158:AW158,AD158:AH158,2,2)</f>
        <v>0.24270019786838126</v>
      </c>
      <c r="CS158">
        <f>TTEST(AS158:AW158,AN158:AR158,2,2)</f>
        <v>1.8779933509487947E-2</v>
      </c>
      <c r="CT158">
        <f>TTEST(AS158:AW158,AX158:BB158,2,2)</f>
        <v>0.144382074064106</v>
      </c>
      <c r="CU158">
        <v>279</v>
      </c>
      <c r="CV158">
        <v>144</v>
      </c>
      <c r="CW158">
        <v>157</v>
      </c>
      <c r="CX158">
        <f t="shared" si="6"/>
        <v>3.0064655172413794E-2</v>
      </c>
      <c r="CY158">
        <f t="shared" si="7"/>
        <v>1.5517241379310345E-2</v>
      </c>
      <c r="CZ158">
        <f t="shared" si="8"/>
        <v>1.6918103448275865E-2</v>
      </c>
      <c r="DA158" t="str">
        <f>IF(CR158&lt;CX158,"yes","no")</f>
        <v>no</v>
      </c>
      <c r="DB158" t="str">
        <f>IF(CS158&lt;CY158,"yes","no")</f>
        <v>no</v>
      </c>
      <c r="DC158" t="str">
        <f>IF(CT158&lt;CZ158,"yes","no")</f>
        <v>no</v>
      </c>
    </row>
    <row r="159" spans="1:107" x14ac:dyDescent="0.2">
      <c r="A159" s="2" t="b">
        <v>0</v>
      </c>
      <c r="B159" s="2" t="s">
        <v>79</v>
      </c>
      <c r="C159" s="2" t="s">
        <v>80</v>
      </c>
      <c r="D159" s="2" t="s">
        <v>501</v>
      </c>
      <c r="E159" s="2" t="s">
        <v>502</v>
      </c>
      <c r="F159" s="2">
        <v>8</v>
      </c>
      <c r="G159" s="2">
        <v>8</v>
      </c>
      <c r="H159" s="2">
        <v>100.2</v>
      </c>
      <c r="I159" s="2">
        <v>6.34</v>
      </c>
      <c r="J159" s="2" t="s">
        <v>135</v>
      </c>
      <c r="K159" s="2" t="s">
        <v>84</v>
      </c>
      <c r="L159" s="2" t="s">
        <v>85</v>
      </c>
      <c r="M159" s="2" t="s">
        <v>503</v>
      </c>
      <c r="N159" s="2" t="s">
        <v>501</v>
      </c>
      <c r="O159" s="2">
        <v>3.82</v>
      </c>
      <c r="P159" s="2">
        <v>0.28299999999999997</v>
      </c>
      <c r="Q159" s="2">
        <v>0.73499999999999999</v>
      </c>
      <c r="R159" s="2">
        <v>1.232</v>
      </c>
      <c r="S159" s="2">
        <v>12.834</v>
      </c>
      <c r="T159" s="2">
        <v>1.256</v>
      </c>
      <c r="U159" s="2">
        <v>2.746</v>
      </c>
      <c r="V159" s="2">
        <v>8.8999999999999996E-2</v>
      </c>
      <c r="W159" s="2">
        <v>0.22</v>
      </c>
      <c r="X159" s="2">
        <v>2.2250000000000001</v>
      </c>
      <c r="Y159" s="2">
        <v>111.6</v>
      </c>
      <c r="Z159" s="2">
        <v>8.5</v>
      </c>
      <c r="AA159" s="2">
        <v>344.7</v>
      </c>
      <c r="AB159" s="2">
        <v>11.5</v>
      </c>
      <c r="AC159" s="2">
        <v>23.7</v>
      </c>
      <c r="AD159" s="2">
        <v>3507917.8359375</v>
      </c>
      <c r="AE159" s="2">
        <v>2462175.3671875</v>
      </c>
      <c r="AF159" s="2">
        <v>2841762.15234375</v>
      </c>
      <c r="AG159" s="2">
        <v>2524672.22265625</v>
      </c>
      <c r="AH159" s="2">
        <v>2136093.375</v>
      </c>
      <c r="AI159" s="2">
        <v>4807.3701171875</v>
      </c>
      <c r="AJ159" s="2" t="s">
        <v>83</v>
      </c>
      <c r="AK159" s="2" t="s">
        <v>83</v>
      </c>
      <c r="AL159" s="2">
        <v>5600.58984375</v>
      </c>
      <c r="AM159" s="2" t="s">
        <v>83</v>
      </c>
      <c r="AN159" s="2">
        <v>155854.06396484401</v>
      </c>
      <c r="AO159" s="2">
        <v>168789.89355468799</v>
      </c>
      <c r="AP159" s="2">
        <v>195922.48730468799</v>
      </c>
      <c r="AQ159" s="2">
        <v>148578.099609375</v>
      </c>
      <c r="AR159" s="2">
        <v>199556.6328125</v>
      </c>
      <c r="AS159" s="2">
        <v>38659.62890625</v>
      </c>
      <c r="AT159" s="2">
        <v>81759.6845703125</v>
      </c>
      <c r="AU159" s="2">
        <v>28590.0390625</v>
      </c>
      <c r="AV159" s="2">
        <v>40757.7109375</v>
      </c>
      <c r="AW159" s="2">
        <v>36507.55078125</v>
      </c>
      <c r="AX159" s="2">
        <v>29478.03515625</v>
      </c>
      <c r="AY159" s="2" t="s">
        <v>83</v>
      </c>
      <c r="AZ159" s="2">
        <v>30685.94140625</v>
      </c>
      <c r="BA159" s="2">
        <v>21971.83984375</v>
      </c>
      <c r="BB159" s="2">
        <v>29753.685546875</v>
      </c>
      <c r="BC159" s="2" t="s">
        <v>79</v>
      </c>
      <c r="BD159" s="2" t="s">
        <v>79</v>
      </c>
      <c r="BE159" s="2" t="s">
        <v>79</v>
      </c>
      <c r="BF159" s="2" t="s">
        <v>79</v>
      </c>
      <c r="BG159" s="2" t="s">
        <v>79</v>
      </c>
      <c r="BH159" s="2" t="s">
        <v>91</v>
      </c>
      <c r="BI159" s="2" t="s">
        <v>98</v>
      </c>
      <c r="BJ159" s="2" t="s">
        <v>98</v>
      </c>
      <c r="BK159" s="2" t="s">
        <v>91</v>
      </c>
      <c r="BL159" s="2" t="s">
        <v>98</v>
      </c>
      <c r="BM159" s="2" t="s">
        <v>79</v>
      </c>
      <c r="BN159" s="2" t="s">
        <v>79</v>
      </c>
      <c r="BO159" s="2" t="s">
        <v>91</v>
      </c>
      <c r="BP159" s="2" t="s">
        <v>79</v>
      </c>
      <c r="BQ159" s="2" t="s">
        <v>91</v>
      </c>
      <c r="BR159" s="2" t="s">
        <v>91</v>
      </c>
      <c r="BS159" s="2" t="s">
        <v>91</v>
      </c>
      <c r="BT159" s="2" t="s">
        <v>91</v>
      </c>
      <c r="BU159" s="2" t="s">
        <v>91</v>
      </c>
      <c r="BV159" s="2" t="s">
        <v>91</v>
      </c>
      <c r="BW159" s="2" t="s">
        <v>91</v>
      </c>
      <c r="BX159" s="2" t="s">
        <v>98</v>
      </c>
      <c r="BY159" s="2" t="s">
        <v>91</v>
      </c>
      <c r="BZ159" s="2" t="s">
        <v>91</v>
      </c>
      <c r="CA159" s="2" t="s">
        <v>91</v>
      </c>
      <c r="CB159">
        <f>TTEST(AS159:AW159,AI159:AM159,2,2)</f>
        <v>5.0762107765108311E-2</v>
      </c>
      <c r="CC159">
        <f>TTEST(AD159:AH159,AI159:AM159,2,2)</f>
        <v>9.6477061871966762E-4</v>
      </c>
      <c r="CD159">
        <f>TTEST(AN159:AR159,AI159:AM159,2,2)</f>
        <v>1.9345381273965659E-4</v>
      </c>
      <c r="CE159">
        <f>TTEST(AX159:BB159,AI159:AM159,2,2)</f>
        <v>1.6890887169388601E-3</v>
      </c>
      <c r="CF159">
        <v>151</v>
      </c>
      <c r="CG159">
        <v>132</v>
      </c>
      <c r="CH159">
        <v>54</v>
      </c>
      <c r="CI159">
        <v>60</v>
      </c>
      <c r="CJ159">
        <f>0.05*CF159/464</f>
        <v>1.6271551724137932E-2</v>
      </c>
      <c r="CK159">
        <f>0.05*CG159/464</f>
        <v>1.4224137931034483E-2</v>
      </c>
      <c r="CL159">
        <f>0.05*CH159/464</f>
        <v>5.8189655172413797E-3</v>
      </c>
      <c r="CM159">
        <f>0.05*CI159/464</f>
        <v>6.4655172413793103E-3</v>
      </c>
      <c r="CN159" t="str">
        <f>IF(CB159&lt;CJ159,"yes","no")</f>
        <v>no</v>
      </c>
      <c r="CO159" t="str">
        <f>IF(CC159&lt;CK159,"yes","no")</f>
        <v>yes</v>
      </c>
      <c r="CP159" t="str">
        <f>IF(CD159&lt;CL159,"yes","no")</f>
        <v>yes</v>
      </c>
      <c r="CQ159" t="str">
        <f>IF(CE159&lt;CM159,"yes","no")</f>
        <v>yes</v>
      </c>
      <c r="CR159">
        <f>TTEST(AS159:AW159,AD159:AH159,2,2)</f>
        <v>3.1617193431074526E-6</v>
      </c>
      <c r="CS159">
        <f>TTEST(AS159:AW159,AN159:AR159,2,2)</f>
        <v>1.5550855184550275E-5</v>
      </c>
      <c r="CT159">
        <f>TTEST(AS159:AW159,AX159:BB159,2,2)</f>
        <v>0.15210993866900663</v>
      </c>
      <c r="CU159">
        <v>70</v>
      </c>
      <c r="CV159">
        <v>14</v>
      </c>
      <c r="CW159">
        <v>158</v>
      </c>
      <c r="CX159">
        <f t="shared" si="6"/>
        <v>7.5431034482758624E-3</v>
      </c>
      <c r="CY159">
        <f t="shared" si="7"/>
        <v>1.5086206896551726E-3</v>
      </c>
      <c r="CZ159">
        <f t="shared" si="8"/>
        <v>1.7025862068965517E-2</v>
      </c>
      <c r="DA159" t="str">
        <f>IF(CR159&lt;CX159,"yes","no")</f>
        <v>yes</v>
      </c>
      <c r="DB159" t="str">
        <f>IF(CS159&lt;CY159,"yes","no")</f>
        <v>yes</v>
      </c>
      <c r="DC159" t="str">
        <f>IF(CT159&lt;CZ159,"yes","no")</f>
        <v>no</v>
      </c>
    </row>
    <row r="160" spans="1:107" x14ac:dyDescent="0.2">
      <c r="A160" s="2" t="b">
        <v>0</v>
      </c>
      <c r="B160" s="2" t="s">
        <v>79</v>
      </c>
      <c r="C160" s="2" t="s">
        <v>80</v>
      </c>
      <c r="D160" s="2" t="s">
        <v>623</v>
      </c>
      <c r="E160" s="2" t="s">
        <v>624</v>
      </c>
      <c r="F160" s="2">
        <v>5</v>
      </c>
      <c r="G160" s="2">
        <v>5</v>
      </c>
      <c r="H160" s="2">
        <v>37.1</v>
      </c>
      <c r="I160" s="2">
        <v>7.43</v>
      </c>
      <c r="J160" s="2" t="s">
        <v>135</v>
      </c>
      <c r="K160" s="2" t="s">
        <v>625</v>
      </c>
      <c r="L160" s="2" t="s">
        <v>119</v>
      </c>
      <c r="M160" s="2" t="s">
        <v>626</v>
      </c>
      <c r="N160" s="2" t="s">
        <v>623</v>
      </c>
      <c r="O160" s="2">
        <v>5.0140000000000002</v>
      </c>
      <c r="P160" s="2">
        <v>0.35499999999999998</v>
      </c>
      <c r="Q160" s="2">
        <v>1.6439999999999999</v>
      </c>
      <c r="R160" s="2">
        <v>0.33300000000000002</v>
      </c>
      <c r="S160" s="2">
        <v>2.7869999999999999</v>
      </c>
      <c r="T160" s="2">
        <v>9.4E-2</v>
      </c>
      <c r="U160" s="2">
        <v>1.04</v>
      </c>
      <c r="V160" s="2">
        <v>5.6000000000000001E-2</v>
      </c>
      <c r="W160" s="2">
        <v>0.224</v>
      </c>
      <c r="X160" s="2">
        <v>25.936</v>
      </c>
      <c r="Y160" s="2">
        <v>68</v>
      </c>
      <c r="Z160" s="2">
        <v>178.2</v>
      </c>
      <c r="AA160" s="2">
        <v>205.2</v>
      </c>
      <c r="AB160" s="2">
        <v>12.9</v>
      </c>
      <c r="AC160" s="2">
        <v>35.700000000000003</v>
      </c>
      <c r="AD160" s="2">
        <v>826462.390625</v>
      </c>
      <c r="AE160" s="2" t="s">
        <v>83</v>
      </c>
      <c r="AF160" s="2">
        <v>1058076.671875</v>
      </c>
      <c r="AG160" s="2">
        <v>3375971.796875</v>
      </c>
      <c r="AH160" s="2" t="s">
        <v>83</v>
      </c>
      <c r="AI160" s="2">
        <v>5993.921875</v>
      </c>
      <c r="AJ160" s="2">
        <v>59986.796386718801</v>
      </c>
      <c r="AK160" s="2">
        <v>55207.1328125</v>
      </c>
      <c r="AL160" s="2">
        <v>115897.55175781299</v>
      </c>
      <c r="AM160" s="2">
        <v>53859.2958984375</v>
      </c>
      <c r="AN160" s="2">
        <v>17154.081542968801</v>
      </c>
      <c r="AO160" s="2">
        <v>55838.2109375</v>
      </c>
      <c r="AP160" s="2">
        <v>147843.10546875</v>
      </c>
      <c r="AQ160" s="2">
        <v>51632.859375</v>
      </c>
      <c r="AR160" s="2">
        <v>269249.98388671898</v>
      </c>
      <c r="AS160" s="2">
        <v>184617.41308593799</v>
      </c>
      <c r="AT160" s="2">
        <v>23416.765625</v>
      </c>
      <c r="AU160" s="2">
        <v>31032.0361328125</v>
      </c>
      <c r="AV160" s="2">
        <v>33881.1875</v>
      </c>
      <c r="AW160" s="2">
        <v>36504.310546875</v>
      </c>
      <c r="AX160" s="2">
        <v>18918.166015625</v>
      </c>
      <c r="AY160" s="2">
        <v>22552.123046875</v>
      </c>
      <c r="AZ160" s="2">
        <v>1487355.32177734</v>
      </c>
      <c r="BA160" s="2">
        <v>1566383.83203125</v>
      </c>
      <c r="BB160" s="2">
        <v>30357.689941406301</v>
      </c>
      <c r="BC160" s="2" t="s">
        <v>79</v>
      </c>
      <c r="BD160" s="2" t="s">
        <v>98</v>
      </c>
      <c r="BE160" s="2" t="s">
        <v>79</v>
      </c>
      <c r="BF160" s="2" t="s">
        <v>79</v>
      </c>
      <c r="BG160" s="2" t="s">
        <v>98</v>
      </c>
      <c r="BH160" s="2" t="s">
        <v>91</v>
      </c>
      <c r="BI160" s="2" t="s">
        <v>91</v>
      </c>
      <c r="BJ160" s="2" t="s">
        <v>91</v>
      </c>
      <c r="BK160" s="2" t="s">
        <v>79</v>
      </c>
      <c r="BL160" s="2" t="s">
        <v>91</v>
      </c>
      <c r="BM160" s="2" t="s">
        <v>91</v>
      </c>
      <c r="BN160" s="2" t="s">
        <v>91</v>
      </c>
      <c r="BO160" s="2" t="s">
        <v>91</v>
      </c>
      <c r="BP160" s="2" t="s">
        <v>91</v>
      </c>
      <c r="BQ160" s="2" t="s">
        <v>79</v>
      </c>
      <c r="BR160" s="2" t="s">
        <v>91</v>
      </c>
      <c r="BS160" s="2" t="s">
        <v>91</v>
      </c>
      <c r="BT160" s="2" t="s">
        <v>91</v>
      </c>
      <c r="BU160" s="2" t="s">
        <v>91</v>
      </c>
      <c r="BV160" s="2" t="s">
        <v>91</v>
      </c>
      <c r="BW160" s="2" t="s">
        <v>79</v>
      </c>
      <c r="BX160" s="2" t="s">
        <v>91</v>
      </c>
      <c r="BY160" s="2" t="s">
        <v>91</v>
      </c>
      <c r="BZ160" s="2" t="s">
        <v>91</v>
      </c>
      <c r="CA160" s="2" t="s">
        <v>91</v>
      </c>
      <c r="CB160">
        <f>TTEST(AS160:AW160,AI160:AM160,2,2)</f>
        <v>0.91921202570214966</v>
      </c>
      <c r="CC160">
        <f>TTEST(AD160:AH160,AI160:AM160,2,2)</f>
        <v>2.9192246873181789E-2</v>
      </c>
      <c r="CD160">
        <f>TTEST(AN160:AR160,AI160:AM160,2,2)</f>
        <v>0.33506665306441646</v>
      </c>
      <c r="CE160">
        <f>TTEST(AX160:BB160,AI160:AM160,2,2)</f>
        <v>0.16276616022850515</v>
      </c>
      <c r="CF160">
        <v>223</v>
      </c>
      <c r="CG160">
        <v>174</v>
      </c>
      <c r="CH160">
        <v>160</v>
      </c>
      <c r="CI160">
        <v>126</v>
      </c>
      <c r="CJ160">
        <f>0.05*CF160/464</f>
        <v>2.4030172413793103E-2</v>
      </c>
      <c r="CK160">
        <f>0.05*CG160/464</f>
        <v>1.8750000000000003E-2</v>
      </c>
      <c r="CL160">
        <f>0.05*CH160/464</f>
        <v>1.7241379310344827E-2</v>
      </c>
      <c r="CM160">
        <f>0.05*CI160/464</f>
        <v>1.3577586206896553E-2</v>
      </c>
      <c r="CN160" t="str">
        <f>IF(CB160&lt;CJ160,"yes","no")</f>
        <v>no</v>
      </c>
      <c r="CO160" t="str">
        <f>IF(CC160&lt;CK160,"yes","no")</f>
        <v>no</v>
      </c>
      <c r="CP160" t="str">
        <f>IF(CD160&lt;CL160,"yes","no")</f>
        <v>no</v>
      </c>
      <c r="CQ160" t="str">
        <f>IF(CE160&lt;CM160,"yes","no")</f>
        <v>no</v>
      </c>
      <c r="CR160">
        <f>TTEST(AS160:AW160,AD160:AH160,2,2)</f>
        <v>2.9608612630723143E-2</v>
      </c>
      <c r="CS160">
        <f>TTEST(AS160:AW160,AN160:AR160,2,2)</f>
        <v>0.42346622475590534</v>
      </c>
      <c r="CT160">
        <f>TTEST(AS160:AW160,AX160:BB160,2,2)</f>
        <v>0.16608479321831041</v>
      </c>
      <c r="CU160">
        <v>216</v>
      </c>
      <c r="CV160">
        <v>222</v>
      </c>
      <c r="CW160">
        <v>159</v>
      </c>
      <c r="CX160">
        <f t="shared" si="6"/>
        <v>2.3275862068965519E-2</v>
      </c>
      <c r="CY160">
        <f t="shared" si="7"/>
        <v>2.3922413793103451E-2</v>
      </c>
      <c r="CZ160">
        <f t="shared" si="8"/>
        <v>1.7133620689655172E-2</v>
      </c>
      <c r="DA160" t="str">
        <f>IF(CR160&lt;CX160,"yes","no")</f>
        <v>no</v>
      </c>
      <c r="DB160" t="str">
        <f>IF(CS160&lt;CY160,"yes","no")</f>
        <v>no</v>
      </c>
      <c r="DC160" t="str">
        <f>IF(CT160&lt;CZ160,"yes","no")</f>
        <v>no</v>
      </c>
    </row>
    <row r="161" spans="1:107" x14ac:dyDescent="0.2">
      <c r="A161" s="2" t="b">
        <v>0</v>
      </c>
      <c r="B161" s="2" t="s">
        <v>79</v>
      </c>
      <c r="C161" s="2" t="s">
        <v>80</v>
      </c>
      <c r="D161" s="2" t="s">
        <v>457</v>
      </c>
      <c r="E161" s="2" t="s">
        <v>458</v>
      </c>
      <c r="F161" s="2">
        <v>4</v>
      </c>
      <c r="G161" s="2">
        <v>4</v>
      </c>
      <c r="H161" s="2">
        <v>36.5</v>
      </c>
      <c r="I161" s="2">
        <v>7.64</v>
      </c>
      <c r="J161" s="2" t="s">
        <v>89</v>
      </c>
      <c r="K161" s="2" t="s">
        <v>84</v>
      </c>
      <c r="L161" s="2" t="s">
        <v>218</v>
      </c>
      <c r="M161" s="2" t="s">
        <v>83</v>
      </c>
      <c r="N161" s="2" t="s">
        <v>457</v>
      </c>
      <c r="O161" s="2">
        <v>1.083</v>
      </c>
      <c r="P161" s="2">
        <v>0.314</v>
      </c>
      <c r="Q161" s="2">
        <v>0.76400000000000001</v>
      </c>
      <c r="R161" s="2">
        <v>9.0410000000000004</v>
      </c>
      <c r="S161" s="2">
        <v>11.064</v>
      </c>
      <c r="T161" s="2">
        <v>4.2960000000000003</v>
      </c>
      <c r="U161" s="2">
        <v>18.36</v>
      </c>
      <c r="V161" s="2">
        <v>0.40600000000000003</v>
      </c>
      <c r="W161" s="2">
        <v>0.878</v>
      </c>
      <c r="X161" s="2">
        <v>1.8919999999999999</v>
      </c>
      <c r="Y161" s="2">
        <v>120.2</v>
      </c>
      <c r="Z161" s="2">
        <v>9.8000000000000007</v>
      </c>
      <c r="AA161" s="2">
        <v>137.80000000000001</v>
      </c>
      <c r="AB161" s="2">
        <v>50.4</v>
      </c>
      <c r="AC161" s="2">
        <v>181.8</v>
      </c>
      <c r="AD161" s="2">
        <v>16398824.2304688</v>
      </c>
      <c r="AE161" s="2">
        <v>11774207.1328125</v>
      </c>
      <c r="AF161" s="2">
        <v>10880460.1132813</v>
      </c>
      <c r="AG161" s="2">
        <v>16118998.7304688</v>
      </c>
      <c r="AH161" s="2">
        <v>12999122.171875</v>
      </c>
      <c r="AI161" s="2">
        <v>21209.80078125</v>
      </c>
      <c r="AJ161" s="2">
        <v>23598.9853515625</v>
      </c>
      <c r="AK161" s="2">
        <v>22106.892578125</v>
      </c>
      <c r="AL161" s="2">
        <v>19757.853515625</v>
      </c>
      <c r="AM161" s="2">
        <v>18320.15625</v>
      </c>
      <c r="AN161" s="2">
        <v>265841.814453125</v>
      </c>
      <c r="AO161" s="2">
        <v>297132.64697265602</v>
      </c>
      <c r="AP161" s="2">
        <v>254979.80322265599</v>
      </c>
      <c r="AQ161" s="2">
        <v>340461.46582031302</v>
      </c>
      <c r="AR161" s="2">
        <v>344815.72216796898</v>
      </c>
      <c r="AS161" s="2">
        <v>699033.7421875</v>
      </c>
      <c r="AT161" s="2">
        <v>1328634.953125</v>
      </c>
      <c r="AU161" s="2">
        <v>602899.17578125</v>
      </c>
      <c r="AV161" s="2">
        <v>823467.6328125</v>
      </c>
      <c r="AW161" s="2">
        <v>1010583.40234375</v>
      </c>
      <c r="AX161" s="2">
        <v>944613.78125</v>
      </c>
      <c r="AY161" s="2">
        <v>1125541.9609375</v>
      </c>
      <c r="AZ161" s="2">
        <v>1317412.4140625</v>
      </c>
      <c r="BA161" s="2">
        <v>1206903.9609375</v>
      </c>
      <c r="BB161" s="2">
        <v>973923.0078125</v>
      </c>
      <c r="BC161" s="2" t="s">
        <v>79</v>
      </c>
      <c r="BD161" s="2" t="s">
        <v>79</v>
      </c>
      <c r="BE161" s="2" t="s">
        <v>79</v>
      </c>
      <c r="BF161" s="2" t="s">
        <v>79</v>
      </c>
      <c r="BG161" s="2" t="s">
        <v>79</v>
      </c>
      <c r="BH161" s="2" t="s">
        <v>91</v>
      </c>
      <c r="BI161" s="2" t="s">
        <v>91</v>
      </c>
      <c r="BJ161" s="2" t="s">
        <v>91</v>
      </c>
      <c r="BK161" s="2" t="s">
        <v>91</v>
      </c>
      <c r="BL161" s="2" t="s">
        <v>91</v>
      </c>
      <c r="BM161" s="2" t="s">
        <v>79</v>
      </c>
      <c r="BN161" s="2" t="s">
        <v>79</v>
      </c>
      <c r="BO161" s="2" t="s">
        <v>79</v>
      </c>
      <c r="BP161" s="2" t="s">
        <v>79</v>
      </c>
      <c r="BQ161" s="2" t="s">
        <v>79</v>
      </c>
      <c r="BR161" s="2" t="s">
        <v>79</v>
      </c>
      <c r="BS161" s="2" t="s">
        <v>79</v>
      </c>
      <c r="BT161" s="2" t="s">
        <v>79</v>
      </c>
      <c r="BU161" s="2" t="s">
        <v>79</v>
      </c>
      <c r="BV161" s="2" t="s">
        <v>79</v>
      </c>
      <c r="BW161" s="2" t="s">
        <v>79</v>
      </c>
      <c r="BX161" s="2" t="s">
        <v>79</v>
      </c>
      <c r="BY161" s="2" t="s">
        <v>79</v>
      </c>
      <c r="BZ161" s="2" t="s">
        <v>79</v>
      </c>
      <c r="CA161" s="2" t="s">
        <v>79</v>
      </c>
      <c r="CB161">
        <f>TTEST(AS161:AW161,AI161:AM161,2,2)</f>
        <v>1.3987871553915827E-4</v>
      </c>
      <c r="CC161">
        <f>TTEST(AD161:AH161,AI161:AM161,2,2)</f>
        <v>1.9966546201097319E-6</v>
      </c>
      <c r="CD161">
        <f>TTEST(AN161:AR161,AI161:AM161,2,2)</f>
        <v>3.6650336252640856E-7</v>
      </c>
      <c r="CE161">
        <f>TTEST(AX161:BB161,AI161:AM161,2,2)</f>
        <v>2.8814929325784861E-7</v>
      </c>
      <c r="CF161">
        <v>71</v>
      </c>
      <c r="CG161">
        <v>63</v>
      </c>
      <c r="CH161">
        <v>3</v>
      </c>
      <c r="CI161">
        <v>8</v>
      </c>
      <c r="CJ161">
        <f>0.05*CF161/464</f>
        <v>7.6508620689655178E-3</v>
      </c>
      <c r="CK161">
        <f>0.05*CG161/464</f>
        <v>6.7887931034482764E-3</v>
      </c>
      <c r="CL161">
        <f>0.05*CH161/464</f>
        <v>3.2327586206896557E-4</v>
      </c>
      <c r="CM161">
        <f>0.05*CI161/464</f>
        <v>8.6206896551724148E-4</v>
      </c>
      <c r="CN161" t="str">
        <f>IF(CB161&lt;CJ161,"yes","no")</f>
        <v>yes</v>
      </c>
      <c r="CO161" t="str">
        <f>IF(CC161&lt;CK161,"yes","no")</f>
        <v>yes</v>
      </c>
      <c r="CP161" t="str">
        <f>IF(CD161&lt;CL161,"yes","no")</f>
        <v>yes</v>
      </c>
      <c r="CQ161" t="str">
        <f>IF(CE161&lt;CM161,"yes","no")</f>
        <v>yes</v>
      </c>
      <c r="CR161">
        <f>TTEST(AS161:AW161,AD161:AH161,2,2)</f>
        <v>3.4691828061589685E-6</v>
      </c>
      <c r="CS161">
        <f>TTEST(AS161:AW161,AN161:AR161,2,2)</f>
        <v>1.8443437450969971E-3</v>
      </c>
      <c r="CT161">
        <f>TTEST(AS161:AW161,AX161:BB161,2,2)</f>
        <v>0.17001926826390817</v>
      </c>
      <c r="CU161">
        <v>74</v>
      </c>
      <c r="CV161">
        <v>101</v>
      </c>
      <c r="CW161">
        <v>160</v>
      </c>
      <c r="CX161">
        <f t="shared" si="6"/>
        <v>7.9741379310344831E-3</v>
      </c>
      <c r="CY161">
        <f t="shared" si="7"/>
        <v>1.0883620689655173E-2</v>
      </c>
      <c r="CZ161">
        <f t="shared" si="8"/>
        <v>1.7241379310344827E-2</v>
      </c>
      <c r="DA161" t="str">
        <f>IF(CR161&lt;CX161,"yes","no")</f>
        <v>yes</v>
      </c>
      <c r="DB161" t="str">
        <f>IF(CS161&lt;CY161,"yes","no")</f>
        <v>yes</v>
      </c>
      <c r="DC161" t="str">
        <f>IF(CT161&lt;CZ161,"yes","no")</f>
        <v>no</v>
      </c>
    </row>
    <row r="162" spans="1:107" x14ac:dyDescent="0.2">
      <c r="A162" s="2" t="b">
        <v>0</v>
      </c>
      <c r="B162" s="2" t="s">
        <v>79</v>
      </c>
      <c r="C162" s="2" t="s">
        <v>80</v>
      </c>
      <c r="D162" s="2" t="s">
        <v>1515</v>
      </c>
      <c r="E162" s="2" t="s">
        <v>1516</v>
      </c>
      <c r="F162" s="2">
        <v>1</v>
      </c>
      <c r="G162" s="2">
        <v>1</v>
      </c>
      <c r="H162" s="2">
        <v>54.3</v>
      </c>
      <c r="I162" s="2">
        <v>8.4700000000000006</v>
      </c>
      <c r="J162" s="2" t="s">
        <v>539</v>
      </c>
      <c r="K162" s="2" t="s">
        <v>1517</v>
      </c>
      <c r="L162" s="2" t="s">
        <v>119</v>
      </c>
      <c r="M162" s="2" t="s">
        <v>1518</v>
      </c>
      <c r="N162" s="2" t="s">
        <v>1515</v>
      </c>
      <c r="O162" s="2">
        <v>0.01</v>
      </c>
      <c r="P162" s="2">
        <v>0.33100000000000002</v>
      </c>
      <c r="Q162" s="2">
        <v>0.5</v>
      </c>
      <c r="R162" s="2">
        <v>100</v>
      </c>
      <c r="S162" s="2" t="s">
        <v>83</v>
      </c>
      <c r="T162" s="2">
        <v>100</v>
      </c>
      <c r="U162" s="2">
        <v>100</v>
      </c>
      <c r="V162" s="2">
        <v>100</v>
      </c>
      <c r="W162" s="2">
        <v>100</v>
      </c>
      <c r="X162" s="2">
        <v>1.5509999999999999</v>
      </c>
      <c r="Y162" s="2">
        <v>266.39999999999998</v>
      </c>
      <c r="Z162" s="2" t="s">
        <v>83</v>
      </c>
      <c r="AA162" s="2" t="s">
        <v>83</v>
      </c>
      <c r="AB162" s="2">
        <v>88.1</v>
      </c>
      <c r="AC162" s="2">
        <v>145.5</v>
      </c>
      <c r="AD162" s="2">
        <v>747236.625</v>
      </c>
      <c r="AE162" s="2">
        <v>482549.875</v>
      </c>
      <c r="AF162" s="2" t="s">
        <v>83</v>
      </c>
      <c r="AG162" s="2">
        <v>1112550.875</v>
      </c>
      <c r="AH162" s="2" t="s">
        <v>83</v>
      </c>
      <c r="AI162" s="2" t="s">
        <v>83</v>
      </c>
      <c r="AJ162" s="2" t="s">
        <v>83</v>
      </c>
      <c r="AK162" s="2" t="s">
        <v>83</v>
      </c>
      <c r="AL162" s="2" t="s">
        <v>83</v>
      </c>
      <c r="AM162" s="2" t="s">
        <v>83</v>
      </c>
      <c r="AN162" s="2" t="s">
        <v>83</v>
      </c>
      <c r="AO162" s="2" t="s">
        <v>83</v>
      </c>
      <c r="AP162" s="2" t="s">
        <v>83</v>
      </c>
      <c r="AQ162" s="2" t="s">
        <v>83</v>
      </c>
      <c r="AR162" s="2" t="s">
        <v>83</v>
      </c>
      <c r="AS162" s="2">
        <v>24975.7265625</v>
      </c>
      <c r="AT162" s="2">
        <v>63349.390625</v>
      </c>
      <c r="AU162" s="2" t="s">
        <v>83</v>
      </c>
      <c r="AV162" s="2">
        <v>31164.21484375</v>
      </c>
      <c r="AW162" s="2" t="s">
        <v>83</v>
      </c>
      <c r="AX162" s="2">
        <v>30471.31640625</v>
      </c>
      <c r="AY162" s="2">
        <v>21655.591796875</v>
      </c>
      <c r="AZ162" s="2" t="s">
        <v>83</v>
      </c>
      <c r="BA162" s="2">
        <v>26794.77734375</v>
      </c>
      <c r="BB162" s="2">
        <v>10686.287109375</v>
      </c>
      <c r="BC162" s="2" t="s">
        <v>79</v>
      </c>
      <c r="BD162" s="2" t="s">
        <v>79</v>
      </c>
      <c r="BE162" s="2" t="s">
        <v>98</v>
      </c>
      <c r="BF162" s="2" t="s">
        <v>79</v>
      </c>
      <c r="BG162" s="2" t="s">
        <v>98</v>
      </c>
      <c r="BH162" s="2" t="s">
        <v>98</v>
      </c>
      <c r="BI162" s="2" t="s">
        <v>98</v>
      </c>
      <c r="BJ162" s="2" t="s">
        <v>98</v>
      </c>
      <c r="BK162" s="2" t="s">
        <v>79</v>
      </c>
      <c r="BL162" s="2" t="s">
        <v>98</v>
      </c>
      <c r="BM162" s="2" t="s">
        <v>98</v>
      </c>
      <c r="BN162" s="2" t="s">
        <v>98</v>
      </c>
      <c r="BO162" s="2" t="s">
        <v>98</v>
      </c>
      <c r="BP162" s="2" t="s">
        <v>98</v>
      </c>
      <c r="BQ162" s="2" t="s">
        <v>98</v>
      </c>
      <c r="BR162" s="2" t="s">
        <v>79</v>
      </c>
      <c r="BS162" s="2" t="s">
        <v>79</v>
      </c>
      <c r="BT162" s="2" t="s">
        <v>79</v>
      </c>
      <c r="BU162" s="2" t="s">
        <v>79</v>
      </c>
      <c r="BV162" s="2" t="s">
        <v>98</v>
      </c>
      <c r="BW162" s="2" t="s">
        <v>91</v>
      </c>
      <c r="BX162" s="2" t="s">
        <v>91</v>
      </c>
      <c r="BY162" s="2" t="s">
        <v>98</v>
      </c>
      <c r="BZ162" s="2" t="s">
        <v>91</v>
      </c>
      <c r="CA162" s="2" t="s">
        <v>91</v>
      </c>
      <c r="CB162" t="e">
        <f>TTEST(AS162:AW162,AI162:AM162,2,2)</f>
        <v>#DIV/0!</v>
      </c>
      <c r="CC162" t="e">
        <f>TTEST(AD162:AH162,AI162:AM162,2,2)</f>
        <v>#DIV/0!</v>
      </c>
      <c r="CD162" t="e">
        <f>TTEST(AN162:AR162,AI162:AM162,2,2)</f>
        <v>#DIV/0!</v>
      </c>
      <c r="CE162" t="e">
        <f>TTEST(AX162:BB162,AI162:AM162,2,2)</f>
        <v>#DIV/0!</v>
      </c>
      <c r="CF162">
        <v>278</v>
      </c>
      <c r="CG162">
        <v>292</v>
      </c>
      <c r="CH162">
        <v>296</v>
      </c>
      <c r="CI162">
        <v>302</v>
      </c>
      <c r="CJ162">
        <f>0.05*CF162/464</f>
        <v>2.9956896551724139E-2</v>
      </c>
      <c r="CK162">
        <f>0.05*CG162/464</f>
        <v>3.1465517241379311E-2</v>
      </c>
      <c r="CL162">
        <f>0.05*CH162/464</f>
        <v>3.1896551724137932E-2</v>
      </c>
      <c r="CM162">
        <f>0.05*CI162/464</f>
        <v>3.2543103448275865E-2</v>
      </c>
      <c r="CN162" t="e">
        <f>IF(CB162&lt;CJ162,"yes","no")</f>
        <v>#DIV/0!</v>
      </c>
      <c r="CO162" t="e">
        <f>IF(CC162&lt;CK162,"yes","no")</f>
        <v>#DIV/0!</v>
      </c>
      <c r="CP162" t="e">
        <f>IF(CD162&lt;CL162,"yes","no")</f>
        <v>#DIV/0!</v>
      </c>
      <c r="CQ162" t="e">
        <f>IF(CE162&lt;CM162,"yes","no")</f>
        <v>#DIV/0!</v>
      </c>
      <c r="CR162">
        <f>TTEST(AS162:AW162,AD162:AH162,2,2)</f>
        <v>1.5496574882982828E-2</v>
      </c>
      <c r="CS162" t="e">
        <f>TTEST(AS162:AW162,AN162:AR162,2,2)</f>
        <v>#DIV/0!</v>
      </c>
      <c r="CT162">
        <f>TTEST(AS162:AW162,AX162:BB162,2,2)</f>
        <v>0.17973736832985424</v>
      </c>
      <c r="CU162">
        <v>200</v>
      </c>
      <c r="CV162">
        <v>295</v>
      </c>
      <c r="CW162">
        <v>161</v>
      </c>
      <c r="CX162">
        <f t="shared" si="6"/>
        <v>2.1551724137931036E-2</v>
      </c>
      <c r="CY162">
        <f t="shared" si="7"/>
        <v>3.1788793103448273E-2</v>
      </c>
      <c r="CZ162">
        <f t="shared" si="8"/>
        <v>1.7349137931034483E-2</v>
      </c>
      <c r="DA162" t="str">
        <f>IF(CR162&lt;CX162,"yes","no")</f>
        <v>yes</v>
      </c>
      <c r="DB162" t="e">
        <f>IF(CS162&lt;CY162,"yes","no")</f>
        <v>#DIV/0!</v>
      </c>
      <c r="DC162" t="str">
        <f>IF(CT162&lt;CZ162,"yes","no")</f>
        <v>no</v>
      </c>
    </row>
    <row r="163" spans="1:107" x14ac:dyDescent="0.2">
      <c r="A163" s="2" t="b">
        <v>0</v>
      </c>
      <c r="B163" s="2" t="s">
        <v>79</v>
      </c>
      <c r="C163" s="2" t="s">
        <v>80</v>
      </c>
      <c r="D163" s="2" t="s">
        <v>1432</v>
      </c>
      <c r="E163" s="2" t="s">
        <v>1433</v>
      </c>
      <c r="F163" s="2">
        <v>1</v>
      </c>
      <c r="G163" s="2">
        <v>1</v>
      </c>
      <c r="H163" s="2">
        <v>80.900000000000006</v>
      </c>
      <c r="I163" s="2">
        <v>8.91</v>
      </c>
      <c r="J163" s="2" t="s">
        <v>548</v>
      </c>
      <c r="K163" s="2" t="s">
        <v>477</v>
      </c>
      <c r="L163" s="2" t="s">
        <v>119</v>
      </c>
      <c r="M163" s="2" t="s">
        <v>1434</v>
      </c>
      <c r="N163" s="2" t="s">
        <v>1432</v>
      </c>
      <c r="O163" s="2" t="s">
        <v>83</v>
      </c>
      <c r="P163" s="2">
        <v>100</v>
      </c>
      <c r="Q163" s="2">
        <v>100</v>
      </c>
      <c r="R163" s="2" t="s">
        <v>83</v>
      </c>
      <c r="S163" s="2" t="s">
        <v>83</v>
      </c>
      <c r="T163" s="2">
        <v>100</v>
      </c>
      <c r="U163" s="2">
        <v>100</v>
      </c>
      <c r="V163" s="2">
        <v>100</v>
      </c>
      <c r="W163" s="2">
        <v>100</v>
      </c>
      <c r="X163" s="2">
        <v>11.743</v>
      </c>
      <c r="Y163" s="2" t="s">
        <v>83</v>
      </c>
      <c r="Z163" s="2" t="s">
        <v>83</v>
      </c>
      <c r="AA163" s="2" t="s">
        <v>83</v>
      </c>
      <c r="AB163" s="2">
        <v>48.9</v>
      </c>
      <c r="AC163" s="2">
        <v>451.1</v>
      </c>
      <c r="AD163" s="2" t="s">
        <v>83</v>
      </c>
      <c r="AE163" s="2" t="s">
        <v>83</v>
      </c>
      <c r="AF163" s="2" t="s">
        <v>83</v>
      </c>
      <c r="AG163" s="2" t="s">
        <v>83</v>
      </c>
      <c r="AH163" s="2" t="s">
        <v>83</v>
      </c>
      <c r="AI163" s="2" t="s">
        <v>83</v>
      </c>
      <c r="AJ163" s="2" t="s">
        <v>83</v>
      </c>
      <c r="AK163" s="2" t="s">
        <v>83</v>
      </c>
      <c r="AL163" s="2" t="s">
        <v>83</v>
      </c>
      <c r="AM163" s="2" t="s">
        <v>83</v>
      </c>
      <c r="AN163" s="2" t="s">
        <v>83</v>
      </c>
      <c r="AO163" s="2" t="s">
        <v>83</v>
      </c>
      <c r="AP163" s="2" t="s">
        <v>83</v>
      </c>
      <c r="AQ163" s="2" t="s">
        <v>83</v>
      </c>
      <c r="AR163" s="2" t="s">
        <v>83</v>
      </c>
      <c r="AS163" s="2" t="s">
        <v>83</v>
      </c>
      <c r="AT163" s="2" t="s">
        <v>83</v>
      </c>
      <c r="AU163" s="2">
        <v>29180.8828125</v>
      </c>
      <c r="AV163" s="2">
        <v>21119.205078125</v>
      </c>
      <c r="AW163" s="2">
        <v>9741.9521484375</v>
      </c>
      <c r="AX163" s="2" t="s">
        <v>83</v>
      </c>
      <c r="AY163" s="2">
        <v>194825.90625</v>
      </c>
      <c r="AZ163" s="2" t="s">
        <v>83</v>
      </c>
      <c r="BA163" s="2">
        <v>42562.40625</v>
      </c>
      <c r="BB163" s="2" t="s">
        <v>83</v>
      </c>
      <c r="BC163" s="2" t="s">
        <v>98</v>
      </c>
      <c r="BD163" s="2" t="s">
        <v>98</v>
      </c>
      <c r="BE163" s="2" t="s">
        <v>98</v>
      </c>
      <c r="BF163" s="2" t="s">
        <v>98</v>
      </c>
      <c r="BG163" s="2" t="s">
        <v>98</v>
      </c>
      <c r="BH163" s="2" t="s">
        <v>98</v>
      </c>
      <c r="BI163" s="2" t="s">
        <v>98</v>
      </c>
      <c r="BJ163" s="2" t="s">
        <v>98</v>
      </c>
      <c r="BK163" s="2" t="s">
        <v>98</v>
      </c>
      <c r="BL163" s="2" t="s">
        <v>98</v>
      </c>
      <c r="BM163" s="2" t="s">
        <v>98</v>
      </c>
      <c r="BN163" s="2" t="s">
        <v>98</v>
      </c>
      <c r="BO163" s="2" t="s">
        <v>98</v>
      </c>
      <c r="BP163" s="2" t="s">
        <v>98</v>
      </c>
      <c r="BQ163" s="2" t="s">
        <v>98</v>
      </c>
      <c r="BR163" s="2" t="s">
        <v>98</v>
      </c>
      <c r="BS163" s="2" t="s">
        <v>98</v>
      </c>
      <c r="BT163" s="2" t="s">
        <v>91</v>
      </c>
      <c r="BU163" s="2" t="s">
        <v>91</v>
      </c>
      <c r="BV163" s="2" t="s">
        <v>91</v>
      </c>
      <c r="BW163" s="2" t="s">
        <v>98</v>
      </c>
      <c r="BX163" s="2" t="s">
        <v>79</v>
      </c>
      <c r="BY163" s="2" t="s">
        <v>98</v>
      </c>
      <c r="BZ163" s="2" t="s">
        <v>91</v>
      </c>
      <c r="CA163" s="2" t="s">
        <v>98</v>
      </c>
      <c r="CB163" t="e">
        <f>TTEST(AS163:AW163,AI163:AM163,2,2)</f>
        <v>#DIV/0!</v>
      </c>
      <c r="CC163" t="e">
        <f>TTEST(AD163:AH163,AI163:AM163,2,2)</f>
        <v>#DIV/0!</v>
      </c>
      <c r="CD163" t="e">
        <f>TTEST(AN163:AR163,AI163:AM163,2,2)</f>
        <v>#DIV/0!</v>
      </c>
      <c r="CE163" t="e">
        <f>TTEST(AX163:BB163,AI163:AM163,2,2)</f>
        <v>#DIV/0!</v>
      </c>
      <c r="CF163">
        <v>421</v>
      </c>
      <c r="CG163">
        <v>435</v>
      </c>
      <c r="CH163">
        <v>439</v>
      </c>
      <c r="CI163">
        <v>440</v>
      </c>
      <c r="CJ163">
        <f>0.05*CF163/464</f>
        <v>4.5366379310344832E-2</v>
      </c>
      <c r="CK163">
        <f>0.05*CG163/464</f>
        <v>4.6875E-2</v>
      </c>
      <c r="CL163">
        <f>0.05*CH163/464</f>
        <v>4.7306034482758628E-2</v>
      </c>
      <c r="CM163">
        <f>0.05*CI163/464</f>
        <v>4.7413793103448273E-2</v>
      </c>
      <c r="CN163" t="e">
        <f>IF(CB163&lt;CJ163,"yes","no")</f>
        <v>#DIV/0!</v>
      </c>
      <c r="CO163" t="e">
        <f>IF(CC163&lt;CK163,"yes","no")</f>
        <v>#DIV/0!</v>
      </c>
      <c r="CP163" t="e">
        <f>IF(CD163&lt;CL163,"yes","no")</f>
        <v>#DIV/0!</v>
      </c>
      <c r="CQ163" t="e">
        <f>IF(CE163&lt;CM163,"yes","no")</f>
        <v>#DIV/0!</v>
      </c>
      <c r="CR163" t="e">
        <f>TTEST(AS163:AW163,AD163:AH163,2,2)</f>
        <v>#DIV/0!</v>
      </c>
      <c r="CS163" t="e">
        <f>TTEST(AS163:AW163,AN163:AR163,2,2)</f>
        <v>#DIV/0!</v>
      </c>
      <c r="CT163">
        <f>TTEST(AS163:AW163,AX163:BB163,2,2)</f>
        <v>0.18301571378575693</v>
      </c>
      <c r="CU163">
        <v>439</v>
      </c>
      <c r="CV163">
        <v>440</v>
      </c>
      <c r="CW163">
        <v>162</v>
      </c>
      <c r="CX163">
        <f t="shared" si="6"/>
        <v>4.7306034482758628E-2</v>
      </c>
      <c r="CY163">
        <f t="shared" si="7"/>
        <v>4.7413793103448273E-2</v>
      </c>
      <c r="CZ163">
        <f t="shared" si="8"/>
        <v>1.7456896551724138E-2</v>
      </c>
      <c r="DA163" t="e">
        <f>IF(CR163&lt;CX163,"yes","no")</f>
        <v>#DIV/0!</v>
      </c>
      <c r="DB163" t="e">
        <f>IF(CS163&lt;CY163,"yes","no")</f>
        <v>#DIV/0!</v>
      </c>
      <c r="DC163" t="str">
        <f>IF(CT163&lt;CZ163,"yes","no")</f>
        <v>no</v>
      </c>
    </row>
    <row r="164" spans="1:107" x14ac:dyDescent="0.2">
      <c r="A164" s="2" t="b">
        <v>0</v>
      </c>
      <c r="B164" s="2" t="s">
        <v>79</v>
      </c>
      <c r="C164" s="2" t="s">
        <v>80</v>
      </c>
      <c r="D164" s="2" t="s">
        <v>133</v>
      </c>
      <c r="E164" s="2" t="s">
        <v>134</v>
      </c>
      <c r="F164" s="2">
        <v>48</v>
      </c>
      <c r="G164" s="2">
        <v>48</v>
      </c>
      <c r="H164" s="2">
        <v>512.1</v>
      </c>
      <c r="I164" s="2">
        <v>5.4</v>
      </c>
      <c r="J164" s="2" t="s">
        <v>135</v>
      </c>
      <c r="K164" s="2" t="s">
        <v>136</v>
      </c>
      <c r="L164" s="2" t="s">
        <v>119</v>
      </c>
      <c r="M164" s="2" t="s">
        <v>137</v>
      </c>
      <c r="N164" s="2" t="s">
        <v>133</v>
      </c>
      <c r="O164" s="2">
        <v>0.91300000000000003</v>
      </c>
      <c r="P164" s="2">
        <v>0.67900000000000005</v>
      </c>
      <c r="Q164" s="2">
        <v>1.194</v>
      </c>
      <c r="R164" s="2">
        <v>1.0389999999999999</v>
      </c>
      <c r="S164" s="2">
        <v>0.623</v>
      </c>
      <c r="T164" s="2">
        <v>0.94099999999999995</v>
      </c>
      <c r="U164" s="2">
        <v>1.3560000000000001</v>
      </c>
      <c r="V164" s="2">
        <v>1.389</v>
      </c>
      <c r="W164" s="2">
        <v>2.42</v>
      </c>
      <c r="X164" s="2">
        <v>1.7310000000000001</v>
      </c>
      <c r="Y164" s="2">
        <v>93.6</v>
      </c>
      <c r="Z164" s="2">
        <v>70.599999999999994</v>
      </c>
      <c r="AA164" s="2">
        <v>22.5</v>
      </c>
      <c r="AB164" s="2">
        <v>117.7</v>
      </c>
      <c r="AC164" s="2">
        <v>195.5</v>
      </c>
      <c r="AD164" s="2">
        <v>27786237.308593798</v>
      </c>
      <c r="AE164" s="2">
        <v>24615265.088867199</v>
      </c>
      <c r="AF164" s="2">
        <v>22929628.146484401</v>
      </c>
      <c r="AG164" s="2">
        <v>19455037.501953099</v>
      </c>
      <c r="AH164" s="2">
        <v>17765958.423828099</v>
      </c>
      <c r="AI164" s="2">
        <v>412801.37451171898</v>
      </c>
      <c r="AJ164" s="2">
        <v>268720.02514648403</v>
      </c>
      <c r="AK164" s="2">
        <v>316267.01049804699</v>
      </c>
      <c r="AL164" s="2">
        <v>395052.35302734398</v>
      </c>
      <c r="AM164" s="2">
        <v>319741.67065429699</v>
      </c>
      <c r="AN164" s="2">
        <v>109232.78417968799</v>
      </c>
      <c r="AO164" s="2">
        <v>103864.121337891</v>
      </c>
      <c r="AP164" s="2">
        <v>123616.650390625</v>
      </c>
      <c r="AQ164" s="2">
        <v>70800.816650390596</v>
      </c>
      <c r="AR164" s="2">
        <v>148453.068603516</v>
      </c>
      <c r="AS164" s="2">
        <v>4250538.0729980497</v>
      </c>
      <c r="AT164" s="2">
        <v>5824030.9536132803</v>
      </c>
      <c r="AU164" s="2">
        <v>4201561.07958984</v>
      </c>
      <c r="AV164" s="2">
        <v>4535615.421875</v>
      </c>
      <c r="AW164" s="2">
        <v>4356330.0471191397</v>
      </c>
      <c r="AX164" s="2">
        <v>2463347.30712891</v>
      </c>
      <c r="AY164" s="2">
        <v>6695330.0654296903</v>
      </c>
      <c r="AZ164" s="2">
        <v>2782750.56103516</v>
      </c>
      <c r="BA164" s="2">
        <v>2358008.2370605501</v>
      </c>
      <c r="BB164" s="2">
        <v>2471443.9306640602</v>
      </c>
      <c r="BC164" s="2" t="s">
        <v>79</v>
      </c>
      <c r="BD164" s="2" t="s">
        <v>79</v>
      </c>
      <c r="BE164" s="2" t="s">
        <v>79</v>
      </c>
      <c r="BF164" s="2" t="s">
        <v>79</v>
      </c>
      <c r="BG164" s="2" t="s">
        <v>79</v>
      </c>
      <c r="BH164" s="2" t="s">
        <v>79</v>
      </c>
      <c r="BI164" s="2" t="s">
        <v>79</v>
      </c>
      <c r="BJ164" s="2" t="s">
        <v>79</v>
      </c>
      <c r="BK164" s="2" t="s">
        <v>79</v>
      </c>
      <c r="BL164" s="2" t="s">
        <v>79</v>
      </c>
      <c r="BM164" s="2" t="s">
        <v>91</v>
      </c>
      <c r="BN164" s="2" t="s">
        <v>91</v>
      </c>
      <c r="BO164" s="2" t="s">
        <v>91</v>
      </c>
      <c r="BP164" s="2" t="s">
        <v>91</v>
      </c>
      <c r="BQ164" s="2" t="s">
        <v>91</v>
      </c>
      <c r="BR164" s="2" t="s">
        <v>79</v>
      </c>
      <c r="BS164" s="2" t="s">
        <v>79</v>
      </c>
      <c r="BT164" s="2" t="s">
        <v>79</v>
      </c>
      <c r="BU164" s="2" t="s">
        <v>79</v>
      </c>
      <c r="BV164" s="2" t="s">
        <v>79</v>
      </c>
      <c r="BW164" s="2" t="s">
        <v>79</v>
      </c>
      <c r="BX164" s="2" t="s">
        <v>79</v>
      </c>
      <c r="BY164" s="2" t="s">
        <v>79</v>
      </c>
      <c r="BZ164" s="2" t="s">
        <v>79</v>
      </c>
      <c r="CA164" s="2" t="s">
        <v>79</v>
      </c>
      <c r="CB164">
        <f>TTEST(AS164:AW164,AI164:AM164,2,2)</f>
        <v>6.2064067008500714E-7</v>
      </c>
      <c r="CC164">
        <f>TTEST(AD164:AH164,AI164:AM164,2,2)</f>
        <v>1.7074579335481279E-6</v>
      </c>
      <c r="CD164">
        <f>TTEST(AN164:AR164,AI164:AM164,2,2)</f>
        <v>5.2318980268110035E-5</v>
      </c>
      <c r="CE164">
        <f>TTEST(AX164:BB164,AI164:AM164,2,2)</f>
        <v>7.0768587004893472E-3</v>
      </c>
      <c r="CF164">
        <v>5</v>
      </c>
      <c r="CG164">
        <v>60</v>
      </c>
      <c r="CH164">
        <v>44</v>
      </c>
      <c r="CI164">
        <v>79</v>
      </c>
      <c r="CJ164">
        <f>0.05*CF164/464</f>
        <v>5.3879310344827585E-4</v>
      </c>
      <c r="CK164">
        <f>0.05*CG164/464</f>
        <v>6.4655172413793103E-3</v>
      </c>
      <c r="CL164">
        <f>0.05*CH164/464</f>
        <v>4.7413793103448284E-3</v>
      </c>
      <c r="CM164">
        <f>0.05*CI164/464</f>
        <v>8.5129310344827583E-3</v>
      </c>
      <c r="CN164" t="str">
        <f>IF(CB164&lt;CJ164,"yes","no")</f>
        <v>yes</v>
      </c>
      <c r="CO164" t="str">
        <f>IF(CC164&lt;CK164,"yes","no")</f>
        <v>yes</v>
      </c>
      <c r="CP164" t="str">
        <f>IF(CD164&lt;CL164,"yes","no")</f>
        <v>yes</v>
      </c>
      <c r="CQ164" t="str">
        <f>IF(CE164&lt;CM164,"yes","no")</f>
        <v>yes</v>
      </c>
      <c r="CR164">
        <f>TTEST(AS164:AW164,AD164:AH164,2,2)</f>
        <v>9.6333357736213374E-6</v>
      </c>
      <c r="CS164">
        <f>TTEST(AS164:AW164,AN164:AR164,2,2)</f>
        <v>4.0394462254080448E-7</v>
      </c>
      <c r="CT164">
        <f>TTEST(AS164:AW164,AX164:BB164,2,2)</f>
        <v>0.18911791178065154</v>
      </c>
      <c r="CU164">
        <v>97</v>
      </c>
      <c r="CV164">
        <v>2</v>
      </c>
      <c r="CW164">
        <v>163</v>
      </c>
      <c r="CX164">
        <f t="shared" si="6"/>
        <v>1.0452586206896554E-2</v>
      </c>
      <c r="CY164">
        <f t="shared" si="7"/>
        <v>2.1551724137931037E-4</v>
      </c>
      <c r="CZ164">
        <f t="shared" si="8"/>
        <v>1.7564655172413794E-2</v>
      </c>
      <c r="DA164" t="str">
        <f>IF(CR164&lt;CX164,"yes","no")</f>
        <v>yes</v>
      </c>
      <c r="DB164" t="str">
        <f>IF(CS164&lt;CY164,"yes","no")</f>
        <v>yes</v>
      </c>
      <c r="DC164" t="str">
        <f>IF(CT164&lt;CZ164,"yes","no")</f>
        <v>no</v>
      </c>
    </row>
    <row r="165" spans="1:107" x14ac:dyDescent="0.2">
      <c r="A165" s="2" t="b">
        <v>0</v>
      </c>
      <c r="B165" s="2" t="s">
        <v>79</v>
      </c>
      <c r="C165" s="2" t="s">
        <v>80</v>
      </c>
      <c r="D165" s="2" t="s">
        <v>810</v>
      </c>
      <c r="E165" s="2" t="s">
        <v>811</v>
      </c>
      <c r="F165" s="2">
        <v>5</v>
      </c>
      <c r="G165" s="2">
        <v>5</v>
      </c>
      <c r="H165" s="2">
        <v>22.2</v>
      </c>
      <c r="I165" s="2">
        <v>8.4</v>
      </c>
      <c r="J165" s="2" t="s">
        <v>557</v>
      </c>
      <c r="K165" s="2" t="s">
        <v>363</v>
      </c>
      <c r="L165" s="2" t="s">
        <v>119</v>
      </c>
      <c r="M165" s="2" t="s">
        <v>812</v>
      </c>
      <c r="N165" s="2" t="s">
        <v>810</v>
      </c>
      <c r="O165" s="2">
        <v>5.5279999999999996</v>
      </c>
      <c r="P165" s="2">
        <v>0.82599999999999996</v>
      </c>
      <c r="Q165" s="2">
        <v>5.952</v>
      </c>
      <c r="R165" s="2">
        <v>0.12</v>
      </c>
      <c r="S165" s="2">
        <v>1</v>
      </c>
      <c r="T165" s="2">
        <v>0.113</v>
      </c>
      <c r="U165" s="2">
        <v>0.76200000000000001</v>
      </c>
      <c r="V165" s="2">
        <v>0.115</v>
      </c>
      <c r="W165" s="2">
        <v>0.75600000000000001</v>
      </c>
      <c r="X165" s="2">
        <v>6.6920000000000002</v>
      </c>
      <c r="Y165" s="2">
        <v>27</v>
      </c>
      <c r="Z165" s="2">
        <v>167.7</v>
      </c>
      <c r="AA165" s="2">
        <v>181.4</v>
      </c>
      <c r="AB165" s="2">
        <v>20.3</v>
      </c>
      <c r="AC165" s="2">
        <v>103.6</v>
      </c>
      <c r="AD165" s="2">
        <v>390886.4296875</v>
      </c>
      <c r="AE165" s="2">
        <v>47958.11328125</v>
      </c>
      <c r="AF165" s="2">
        <v>289112.3671875</v>
      </c>
      <c r="AG165" s="2">
        <v>1371955.8125</v>
      </c>
      <c r="AH165" s="2">
        <v>36465.26953125</v>
      </c>
      <c r="AI165" s="2">
        <v>15275.400390625</v>
      </c>
      <c r="AJ165" s="2">
        <v>39237.314453125</v>
      </c>
      <c r="AK165" s="2" t="s">
        <v>83</v>
      </c>
      <c r="AL165" s="2">
        <v>366589.7265625</v>
      </c>
      <c r="AM165" s="2">
        <v>38080.193359375</v>
      </c>
      <c r="AN165" s="2">
        <v>8616.037109375</v>
      </c>
      <c r="AO165" s="2">
        <v>21719.8447265625</v>
      </c>
      <c r="AP165" s="2">
        <v>64508.64453125</v>
      </c>
      <c r="AQ165" s="2">
        <v>48817.185058593801</v>
      </c>
      <c r="AR165" s="2">
        <v>144999.9296875</v>
      </c>
      <c r="AS165" s="2">
        <v>24877.876953125</v>
      </c>
      <c r="AT165" s="2">
        <v>38870.453125</v>
      </c>
      <c r="AU165" s="2">
        <v>64213.3017578125</v>
      </c>
      <c r="AV165" s="2">
        <v>52719.353515625</v>
      </c>
      <c r="AW165" s="2">
        <v>40241.791015625</v>
      </c>
      <c r="AX165" s="2">
        <v>52296.671875</v>
      </c>
      <c r="AY165" s="2">
        <v>536083.6640625</v>
      </c>
      <c r="AZ165" s="2" t="s">
        <v>83</v>
      </c>
      <c r="BA165" s="2" t="s">
        <v>83</v>
      </c>
      <c r="BB165" s="2">
        <v>60436.318359375</v>
      </c>
      <c r="BC165" s="2" t="s">
        <v>79</v>
      </c>
      <c r="BD165" s="2" t="s">
        <v>91</v>
      </c>
      <c r="BE165" s="2" t="s">
        <v>91</v>
      </c>
      <c r="BF165" s="2" t="s">
        <v>79</v>
      </c>
      <c r="BG165" s="2" t="s">
        <v>91</v>
      </c>
      <c r="BH165" s="2" t="s">
        <v>91</v>
      </c>
      <c r="BI165" s="2" t="s">
        <v>91</v>
      </c>
      <c r="BJ165" s="2" t="s">
        <v>98</v>
      </c>
      <c r="BK165" s="2" t="s">
        <v>79</v>
      </c>
      <c r="BL165" s="2" t="s">
        <v>91</v>
      </c>
      <c r="BM165" s="2" t="s">
        <v>91</v>
      </c>
      <c r="BN165" s="2" t="s">
        <v>91</v>
      </c>
      <c r="BO165" s="2" t="s">
        <v>79</v>
      </c>
      <c r="BP165" s="2" t="s">
        <v>91</v>
      </c>
      <c r="BQ165" s="2" t="s">
        <v>79</v>
      </c>
      <c r="BR165" s="2" t="s">
        <v>91</v>
      </c>
      <c r="BS165" s="2" t="s">
        <v>91</v>
      </c>
      <c r="BT165" s="2" t="s">
        <v>91</v>
      </c>
      <c r="BU165" s="2" t="s">
        <v>91</v>
      </c>
      <c r="BV165" s="2" t="s">
        <v>91</v>
      </c>
      <c r="BW165" s="2" t="s">
        <v>91</v>
      </c>
      <c r="BX165" s="2" t="s">
        <v>79</v>
      </c>
      <c r="BY165" s="2" t="s">
        <v>98</v>
      </c>
      <c r="BZ165" s="2" t="s">
        <v>98</v>
      </c>
      <c r="CA165" s="2" t="s">
        <v>91</v>
      </c>
      <c r="CB165">
        <f>TTEST(AS165:AW165,AI165:AM165,2,2)</f>
        <v>0.37336121187598903</v>
      </c>
      <c r="CC165">
        <f>TTEST(AD165:AH165,AI165:AM165,2,2)</f>
        <v>0.31458220417280058</v>
      </c>
      <c r="CD165">
        <f>TTEST(AN165:AR165,AI165:AM165,2,2)</f>
        <v>0.4919335544270208</v>
      </c>
      <c r="CE165">
        <f>TTEST(AX165:BB165,AI165:AM165,2,2)</f>
        <v>0.56941692168731151</v>
      </c>
      <c r="CF165">
        <v>186</v>
      </c>
      <c r="CG165">
        <v>217</v>
      </c>
      <c r="CH165">
        <v>186</v>
      </c>
      <c r="CI165">
        <v>165</v>
      </c>
      <c r="CJ165">
        <f>0.05*CF165/464</f>
        <v>2.0043103448275864E-2</v>
      </c>
      <c r="CK165">
        <f>0.05*CG165/464</f>
        <v>2.3383620689655174E-2</v>
      </c>
      <c r="CL165">
        <f>0.05*CH165/464</f>
        <v>2.0043103448275864E-2</v>
      </c>
      <c r="CM165">
        <f>0.05*CI165/464</f>
        <v>1.7780172413793104E-2</v>
      </c>
      <c r="CN165" t="str">
        <f>IF(CB165&lt;CJ165,"yes","no")</f>
        <v>no</v>
      </c>
      <c r="CO165" t="str">
        <f>IF(CC165&lt;CK165,"yes","no")</f>
        <v>no</v>
      </c>
      <c r="CP165" t="str">
        <f>IF(CD165&lt;CL165,"yes","no")</f>
        <v>no</v>
      </c>
      <c r="CQ165" t="str">
        <f>IF(CE165&lt;CM165,"yes","no")</f>
        <v>no</v>
      </c>
      <c r="CR165">
        <f>TTEST(AS165:AW165,AD165:AH165,2,2)</f>
        <v>0.1580210271333419</v>
      </c>
      <c r="CS165">
        <f>TTEST(AS165:AW165,AN165:AR165,2,2)</f>
        <v>0.60035439972077298</v>
      </c>
      <c r="CT165">
        <f>TTEST(AS165:AW165,AX165:BB165,2,2)</f>
        <v>0.19216626231333384</v>
      </c>
      <c r="CU165">
        <v>267</v>
      </c>
      <c r="CV165">
        <v>235</v>
      </c>
      <c r="CW165">
        <v>164</v>
      </c>
      <c r="CX165">
        <f t="shared" si="6"/>
        <v>2.8771551724137933E-2</v>
      </c>
      <c r="CY165">
        <f t="shared" si="7"/>
        <v>2.5323275862068964E-2</v>
      </c>
      <c r="CZ165">
        <f t="shared" si="8"/>
        <v>1.7672413793103449E-2</v>
      </c>
      <c r="DA165" t="str">
        <f>IF(CR165&lt;CX165,"yes","no")</f>
        <v>no</v>
      </c>
      <c r="DB165" t="str">
        <f>IF(CS165&lt;CY165,"yes","no")</f>
        <v>no</v>
      </c>
      <c r="DC165" t="str">
        <f>IF(CT165&lt;CZ165,"yes","no")</f>
        <v>no</v>
      </c>
    </row>
    <row r="166" spans="1:107" x14ac:dyDescent="0.2">
      <c r="A166" s="2" t="b">
        <v>0</v>
      </c>
      <c r="B166" s="2" t="s">
        <v>79</v>
      </c>
      <c r="C166" s="2" t="s">
        <v>80</v>
      </c>
      <c r="D166" s="2" t="s">
        <v>690</v>
      </c>
      <c r="E166" s="2" t="s">
        <v>691</v>
      </c>
      <c r="F166" s="2">
        <v>5</v>
      </c>
      <c r="G166" s="2">
        <v>5</v>
      </c>
      <c r="H166" s="2">
        <v>39.299999999999997</v>
      </c>
      <c r="I166" s="2">
        <v>8.09</v>
      </c>
      <c r="J166" s="2" t="s">
        <v>692</v>
      </c>
      <c r="K166" s="2" t="s">
        <v>693</v>
      </c>
      <c r="L166" s="2" t="s">
        <v>146</v>
      </c>
      <c r="M166" s="2" t="s">
        <v>694</v>
      </c>
      <c r="N166" s="2" t="s">
        <v>695</v>
      </c>
      <c r="O166" s="2">
        <v>4.9210000000000003</v>
      </c>
      <c r="P166" s="2">
        <v>0.93200000000000005</v>
      </c>
      <c r="Q166" s="2">
        <v>1.913</v>
      </c>
      <c r="R166" s="2">
        <v>0.14099999999999999</v>
      </c>
      <c r="S166" s="2">
        <v>0.36399999999999999</v>
      </c>
      <c r="T166" s="2">
        <v>0.10299999999999999</v>
      </c>
      <c r="U166" s="2">
        <v>0.113</v>
      </c>
      <c r="V166" s="2">
        <v>0.156</v>
      </c>
      <c r="W166" s="2">
        <v>0.33700000000000002</v>
      </c>
      <c r="X166" s="2">
        <v>2.1829999999999998</v>
      </c>
      <c r="Y166" s="2">
        <v>62.6</v>
      </c>
      <c r="Z166" s="2">
        <v>24</v>
      </c>
      <c r="AA166" s="2">
        <v>291.2</v>
      </c>
      <c r="AB166" s="2">
        <v>41.8</v>
      </c>
      <c r="AC166" s="2">
        <v>80.400000000000006</v>
      </c>
      <c r="AD166" s="2">
        <v>693638.83203125</v>
      </c>
      <c r="AE166" s="2">
        <v>307757.306640625</v>
      </c>
      <c r="AF166" s="2">
        <v>520688.61328125</v>
      </c>
      <c r="AG166" s="2">
        <v>2399590.921875</v>
      </c>
      <c r="AH166" s="2">
        <v>93749.3515625</v>
      </c>
      <c r="AI166" s="2" t="s">
        <v>83</v>
      </c>
      <c r="AJ166" s="2">
        <v>4678.240234375</v>
      </c>
      <c r="AK166" s="2">
        <v>4121.78076171875</v>
      </c>
      <c r="AL166" s="2">
        <v>248105.208984375</v>
      </c>
      <c r="AM166" s="2">
        <v>3300.63354492188</v>
      </c>
      <c r="AN166" s="2">
        <v>30511.9638671875</v>
      </c>
      <c r="AO166" s="2">
        <v>46630.261230468801</v>
      </c>
      <c r="AP166" s="2">
        <v>95679.791015625</v>
      </c>
      <c r="AQ166" s="2">
        <v>42286.50390625</v>
      </c>
      <c r="AR166" s="2">
        <v>70927.929443359404</v>
      </c>
      <c r="AS166" s="2">
        <v>55868.87109375</v>
      </c>
      <c r="AT166" s="2">
        <v>109575.0859375</v>
      </c>
      <c r="AU166" s="2">
        <v>49736.779296875</v>
      </c>
      <c r="AV166" s="2">
        <v>61109.0234375</v>
      </c>
      <c r="AW166" s="2">
        <v>51868.564453125</v>
      </c>
      <c r="AX166" s="2">
        <v>63013.9453125</v>
      </c>
      <c r="AY166" s="2">
        <v>70740.560546875</v>
      </c>
      <c r="AZ166" s="2">
        <v>37180.77734375</v>
      </c>
      <c r="BA166" s="2">
        <v>10054.095703125</v>
      </c>
      <c r="BB166" s="2">
        <v>36761.78515625</v>
      </c>
      <c r="BC166" s="2" t="s">
        <v>79</v>
      </c>
      <c r="BD166" s="2" t="s">
        <v>79</v>
      </c>
      <c r="BE166" s="2" t="s">
        <v>79</v>
      </c>
      <c r="BF166" s="2" t="s">
        <v>79</v>
      </c>
      <c r="BG166" s="2" t="s">
        <v>79</v>
      </c>
      <c r="BH166" s="2" t="s">
        <v>98</v>
      </c>
      <c r="BI166" s="2" t="s">
        <v>91</v>
      </c>
      <c r="BJ166" s="2" t="s">
        <v>91</v>
      </c>
      <c r="BK166" s="2" t="s">
        <v>91</v>
      </c>
      <c r="BL166" s="2" t="s">
        <v>91</v>
      </c>
      <c r="BM166" s="2" t="s">
        <v>91</v>
      </c>
      <c r="BN166" s="2" t="s">
        <v>91</v>
      </c>
      <c r="BO166" s="2" t="s">
        <v>91</v>
      </c>
      <c r="BP166" s="2" t="s">
        <v>91</v>
      </c>
      <c r="BQ166" s="2" t="s">
        <v>79</v>
      </c>
      <c r="BR166" s="2" t="s">
        <v>91</v>
      </c>
      <c r="BS166" s="2" t="s">
        <v>79</v>
      </c>
      <c r="BT166" s="2" t="s">
        <v>91</v>
      </c>
      <c r="BU166" s="2" t="s">
        <v>91</v>
      </c>
      <c r="BV166" s="2" t="s">
        <v>91</v>
      </c>
      <c r="BW166" s="2" t="s">
        <v>91</v>
      </c>
      <c r="BX166" s="2" t="s">
        <v>79</v>
      </c>
      <c r="BY166" s="2" t="s">
        <v>91</v>
      </c>
      <c r="BZ166" s="2" t="s">
        <v>91</v>
      </c>
      <c r="CA166" s="2" t="s">
        <v>91</v>
      </c>
      <c r="CB166">
        <f>TTEST(AS166:AW166,AI166:AM166,2,2)</f>
        <v>0.99188725850081239</v>
      </c>
      <c r="CC166">
        <f>TTEST(AD166:AH166,AI166:AM166,2,2)</f>
        <v>0.16021048399723206</v>
      </c>
      <c r="CD166">
        <f>TTEST(AN166:AR166,AI166:AM166,2,2)</f>
        <v>0.89099671936898761</v>
      </c>
      <c r="CE166">
        <f>TTEST(AX166:BB166,AI166:AM166,2,2)</f>
        <v>0.70732803467331851</v>
      </c>
      <c r="CF166">
        <v>228</v>
      </c>
      <c r="CG166">
        <v>207</v>
      </c>
      <c r="CH166">
        <v>226</v>
      </c>
      <c r="CI166">
        <v>178</v>
      </c>
      <c r="CJ166">
        <f>0.05*CF166/464</f>
        <v>2.456896551724138E-2</v>
      </c>
      <c r="CK166">
        <f>0.05*CG166/464</f>
        <v>2.2306034482758624E-2</v>
      </c>
      <c r="CL166">
        <f>0.05*CH166/464</f>
        <v>2.4353448275862069E-2</v>
      </c>
      <c r="CM166">
        <f>0.05*CI166/464</f>
        <v>1.9181034482758621E-2</v>
      </c>
      <c r="CN166" t="str">
        <f>IF(CB166&lt;CJ166,"yes","no")</f>
        <v>no</v>
      </c>
      <c r="CO166" t="str">
        <f>IF(CC166&lt;CK166,"yes","no")</f>
        <v>no</v>
      </c>
      <c r="CP166" t="str">
        <f>IF(CD166&lt;CL166,"yes","no")</f>
        <v>no</v>
      </c>
      <c r="CQ166" t="str">
        <f>IF(CE166&lt;CM166,"yes","no")</f>
        <v>no</v>
      </c>
      <c r="CR166">
        <f>TTEST(AS166:AW166,AD166:AH166,2,2)</f>
        <v>0.11110149199273935</v>
      </c>
      <c r="CS166">
        <f>TTEST(AS166:AW166,AN166:AR166,2,2)</f>
        <v>0.61565368070762849</v>
      </c>
      <c r="CT166">
        <f>TTEST(AS166:AW166,AX166:BB166,2,2)</f>
        <v>0.19253101438356401</v>
      </c>
      <c r="CU166">
        <v>250</v>
      </c>
      <c r="CV166">
        <v>237</v>
      </c>
      <c r="CW166">
        <v>165</v>
      </c>
      <c r="CX166">
        <f t="shared" si="6"/>
        <v>2.6939655172413791E-2</v>
      </c>
      <c r="CY166">
        <f t="shared" si="7"/>
        <v>2.5538793103448278E-2</v>
      </c>
      <c r="CZ166">
        <f t="shared" si="8"/>
        <v>1.7780172413793104E-2</v>
      </c>
      <c r="DA166" t="str">
        <f>IF(CR166&lt;CX166,"yes","no")</f>
        <v>no</v>
      </c>
      <c r="DB166" t="str">
        <f>IF(CS166&lt;CY166,"yes","no")</f>
        <v>no</v>
      </c>
      <c r="DC166" t="str">
        <f>IF(CT166&lt;CZ166,"yes","no")</f>
        <v>no</v>
      </c>
    </row>
    <row r="167" spans="1:107" x14ac:dyDescent="0.2">
      <c r="A167" s="2" t="b">
        <v>0</v>
      </c>
      <c r="B167" s="2" t="s">
        <v>79</v>
      </c>
      <c r="C167" s="2" t="s">
        <v>80</v>
      </c>
      <c r="D167" s="2" t="s">
        <v>907</v>
      </c>
      <c r="E167" s="2" t="s">
        <v>908</v>
      </c>
      <c r="F167" s="2">
        <v>3</v>
      </c>
      <c r="G167" s="2">
        <v>3</v>
      </c>
      <c r="H167" s="2">
        <v>69.2</v>
      </c>
      <c r="I167" s="2">
        <v>6.21</v>
      </c>
      <c r="J167" s="2" t="s">
        <v>362</v>
      </c>
      <c r="K167" s="2" t="s">
        <v>84</v>
      </c>
      <c r="L167" s="2" t="s">
        <v>119</v>
      </c>
      <c r="M167" s="2" t="s">
        <v>909</v>
      </c>
      <c r="N167" s="2" t="s">
        <v>907</v>
      </c>
      <c r="O167" s="2">
        <v>0.94099999999999995</v>
      </c>
      <c r="P167" s="2">
        <v>1.621</v>
      </c>
      <c r="Q167" s="2">
        <v>4.55</v>
      </c>
      <c r="R167" s="2">
        <v>0.64600000000000002</v>
      </c>
      <c r="S167" s="2">
        <v>0.53</v>
      </c>
      <c r="T167" s="2">
        <v>1.175</v>
      </c>
      <c r="U167" s="2">
        <v>2.7050000000000001</v>
      </c>
      <c r="V167" s="2">
        <v>2.1160000000000001</v>
      </c>
      <c r="W167" s="2">
        <v>4.6500000000000004</v>
      </c>
      <c r="X167" s="2">
        <v>2.4740000000000002</v>
      </c>
      <c r="Y167" s="2">
        <v>65.400000000000006</v>
      </c>
      <c r="Z167" s="2">
        <v>68.599999999999994</v>
      </c>
      <c r="AA167" s="2">
        <v>25.5</v>
      </c>
      <c r="AB167" s="2">
        <v>98.9</v>
      </c>
      <c r="AC167" s="2">
        <v>241.5</v>
      </c>
      <c r="AD167" s="2">
        <v>472119.3984375</v>
      </c>
      <c r="AE167" s="2">
        <v>399027.515625</v>
      </c>
      <c r="AF167" s="2">
        <v>378348.3984375</v>
      </c>
      <c r="AG167" s="2">
        <v>281681.24609375</v>
      </c>
      <c r="AH167" s="2">
        <v>222371.576171875</v>
      </c>
      <c r="AI167" s="2">
        <v>11577.7333984375</v>
      </c>
      <c r="AJ167" s="2">
        <v>5644.400390625</v>
      </c>
      <c r="AK167" s="2">
        <v>7721.38134765625</v>
      </c>
      <c r="AL167" s="2">
        <v>12901.131347656299</v>
      </c>
      <c r="AM167" s="2">
        <v>5758.71728515625</v>
      </c>
      <c r="AN167" s="2" t="s">
        <v>83</v>
      </c>
      <c r="AO167" s="2">
        <v>4252.68896484375</v>
      </c>
      <c r="AP167" s="2">
        <v>3523.3662109375</v>
      </c>
      <c r="AQ167" s="2">
        <v>2698.16357421875</v>
      </c>
      <c r="AR167" s="2">
        <v>4404.6865234375</v>
      </c>
      <c r="AS167" s="2">
        <v>79944.800292968794</v>
      </c>
      <c r="AT167" s="2">
        <v>134034.708984375</v>
      </c>
      <c r="AU167" s="2">
        <v>72022.611328125</v>
      </c>
      <c r="AV167" s="2">
        <v>90766.0595703125</v>
      </c>
      <c r="AW167" s="2">
        <v>100404.44238281299</v>
      </c>
      <c r="AX167" s="2">
        <v>73953.458984375</v>
      </c>
      <c r="AY167" s="2">
        <v>80191.203125</v>
      </c>
      <c r="AZ167" s="2">
        <v>93190.2265625</v>
      </c>
      <c r="BA167" s="2">
        <v>88129.6796875</v>
      </c>
      <c r="BB167" s="2">
        <v>51500.197265625</v>
      </c>
      <c r="BC167" s="2" t="s">
        <v>79</v>
      </c>
      <c r="BD167" s="2" t="s">
        <v>79</v>
      </c>
      <c r="BE167" s="2" t="s">
        <v>79</v>
      </c>
      <c r="BF167" s="2" t="s">
        <v>79</v>
      </c>
      <c r="BG167" s="2" t="s">
        <v>79</v>
      </c>
      <c r="BH167" s="2" t="s">
        <v>91</v>
      </c>
      <c r="BI167" s="2" t="s">
        <v>91</v>
      </c>
      <c r="BJ167" s="2" t="s">
        <v>91</v>
      </c>
      <c r="BK167" s="2" t="s">
        <v>91</v>
      </c>
      <c r="BL167" s="2" t="s">
        <v>91</v>
      </c>
      <c r="BM167" s="2" t="s">
        <v>98</v>
      </c>
      <c r="BN167" s="2" t="s">
        <v>91</v>
      </c>
      <c r="BO167" s="2" t="s">
        <v>91</v>
      </c>
      <c r="BP167" s="2" t="s">
        <v>91</v>
      </c>
      <c r="BQ167" s="2" t="s">
        <v>91</v>
      </c>
      <c r="BR167" s="2" t="s">
        <v>91</v>
      </c>
      <c r="BS167" s="2" t="s">
        <v>79</v>
      </c>
      <c r="BT167" s="2" t="s">
        <v>79</v>
      </c>
      <c r="BU167" s="2" t="s">
        <v>91</v>
      </c>
      <c r="BV167" s="2" t="s">
        <v>91</v>
      </c>
      <c r="BW167" s="2" t="s">
        <v>91</v>
      </c>
      <c r="BX167" s="2" t="s">
        <v>79</v>
      </c>
      <c r="BY167" s="2" t="s">
        <v>91</v>
      </c>
      <c r="BZ167" s="2" t="s">
        <v>91</v>
      </c>
      <c r="CA167" s="2" t="s">
        <v>91</v>
      </c>
      <c r="CB167">
        <f>TTEST(AS167:AW167,AI167:AM167,2,2)</f>
        <v>4.4993902386958622E-5</v>
      </c>
      <c r="CC167">
        <f>TTEST(AD167:AH167,AI167:AM167,2,2)</f>
        <v>5.5723517655093908E-5</v>
      </c>
      <c r="CD167">
        <f>TTEST(AN167:AR167,AI167:AM167,2,2)</f>
        <v>2.3450778126943711E-2</v>
      </c>
      <c r="CE167">
        <f>TTEST(AX167:BB167,AI167:AM167,2,2)</f>
        <v>1.5016106568344864E-5</v>
      </c>
      <c r="CF167">
        <v>50</v>
      </c>
      <c r="CG167">
        <v>104</v>
      </c>
      <c r="CH167">
        <v>109</v>
      </c>
      <c r="CI167">
        <v>30</v>
      </c>
      <c r="CJ167">
        <f>0.05*CF167/464</f>
        <v>5.387931034482759E-3</v>
      </c>
      <c r="CK167">
        <f>0.05*CG167/464</f>
        <v>1.1206896551724138E-2</v>
      </c>
      <c r="CL167">
        <f>0.05*CH167/464</f>
        <v>1.1745689655172415E-2</v>
      </c>
      <c r="CM167">
        <f>0.05*CI167/464</f>
        <v>3.2327586206896551E-3</v>
      </c>
      <c r="CN167" t="str">
        <f>IF(CB167&lt;CJ167,"yes","no")</f>
        <v>yes</v>
      </c>
      <c r="CO167" t="str">
        <f>IF(CC167&lt;CK167,"yes","no")</f>
        <v>yes</v>
      </c>
      <c r="CP167" t="str">
        <f>IF(CD167&lt;CL167,"yes","no")</f>
        <v>no</v>
      </c>
      <c r="CQ167" t="str">
        <f>IF(CE167&lt;CM167,"yes","no")</f>
        <v>yes</v>
      </c>
      <c r="CR167">
        <f>TTEST(AS167:AW167,AD167:AH167,2,2)</f>
        <v>5.0383284042440938E-4</v>
      </c>
      <c r="CS167">
        <f>TTEST(AS167:AW167,AN167:AR167,2,2)</f>
        <v>1.373376253480739E-4</v>
      </c>
      <c r="CT167">
        <f>TTEST(AS167:AW167,AX167:BB167,2,2)</f>
        <v>0.20258900700597252</v>
      </c>
      <c r="CU167">
        <v>154</v>
      </c>
      <c r="CV167">
        <v>48</v>
      </c>
      <c r="CW167">
        <v>166</v>
      </c>
      <c r="CX167">
        <f t="shared" si="6"/>
        <v>1.6594827586206898E-2</v>
      </c>
      <c r="CY167">
        <f t="shared" si="7"/>
        <v>5.1724137931034491E-3</v>
      </c>
      <c r="CZ167">
        <f t="shared" si="8"/>
        <v>1.788793103448276E-2</v>
      </c>
      <c r="DA167" t="str">
        <f>IF(CR167&lt;CX167,"yes","no")</f>
        <v>yes</v>
      </c>
      <c r="DB167" t="str">
        <f>IF(CS167&lt;CY167,"yes","no")</f>
        <v>yes</v>
      </c>
      <c r="DC167" t="str">
        <f>IF(CT167&lt;CZ167,"yes","no")</f>
        <v>no</v>
      </c>
    </row>
    <row r="168" spans="1:107" x14ac:dyDescent="0.2">
      <c r="A168" s="2" t="b">
        <v>0</v>
      </c>
      <c r="B168" s="2" t="s">
        <v>79</v>
      </c>
      <c r="C168" s="2" t="s">
        <v>80</v>
      </c>
      <c r="D168" s="2" t="s">
        <v>1146</v>
      </c>
      <c r="E168" s="2" t="s">
        <v>1147</v>
      </c>
      <c r="F168" s="2">
        <v>2</v>
      </c>
      <c r="G168" s="2">
        <v>2</v>
      </c>
      <c r="H168" s="2">
        <v>22.9</v>
      </c>
      <c r="I168" s="2">
        <v>6.4</v>
      </c>
      <c r="J168" s="2" t="s">
        <v>617</v>
      </c>
      <c r="K168" s="2" t="s">
        <v>607</v>
      </c>
      <c r="L168" s="2" t="s">
        <v>643</v>
      </c>
      <c r="M168" s="2" t="s">
        <v>1148</v>
      </c>
      <c r="N168" s="2" t="s">
        <v>1146</v>
      </c>
      <c r="O168" s="2">
        <v>2.76</v>
      </c>
      <c r="P168" s="2">
        <v>0.36299999999999999</v>
      </c>
      <c r="Q168" s="2">
        <v>1.7070000000000001</v>
      </c>
      <c r="R168" s="2">
        <v>0.35899999999999999</v>
      </c>
      <c r="S168" s="2">
        <v>1.054</v>
      </c>
      <c r="T168" s="2">
        <v>0.16500000000000001</v>
      </c>
      <c r="U168" s="2">
        <v>0.59099999999999997</v>
      </c>
      <c r="V168" s="2">
        <v>0.14299999999999999</v>
      </c>
      <c r="W168" s="2">
        <v>0.55500000000000005</v>
      </c>
      <c r="X168" s="2">
        <v>3.8690000000000002</v>
      </c>
      <c r="Y168" s="2">
        <v>69.3</v>
      </c>
      <c r="Z168" s="2">
        <v>136.1</v>
      </c>
      <c r="AA168" s="2">
        <v>158</v>
      </c>
      <c r="AB168" s="2">
        <v>22.5</v>
      </c>
      <c r="AC168" s="2">
        <v>114.1</v>
      </c>
      <c r="AD168" s="2">
        <v>453785.69140625</v>
      </c>
      <c r="AE168" s="2">
        <v>75214.1875</v>
      </c>
      <c r="AF168" s="2">
        <v>538197.8203125</v>
      </c>
      <c r="AG168" s="2">
        <v>1933194.21875</v>
      </c>
      <c r="AH168" s="2" t="s">
        <v>83</v>
      </c>
      <c r="AI168" s="2">
        <v>12436.3908691406</v>
      </c>
      <c r="AJ168" s="2">
        <v>13567.69140625</v>
      </c>
      <c r="AK168" s="2">
        <v>16821.4765625</v>
      </c>
      <c r="AL168" s="2">
        <v>79280.9267578125</v>
      </c>
      <c r="AM168" s="2">
        <v>77095.40234375</v>
      </c>
      <c r="AN168" s="2">
        <v>17950.713378906301</v>
      </c>
      <c r="AO168" s="2">
        <v>33441.562988281301</v>
      </c>
      <c r="AP168" s="2">
        <v>20230.245605468801</v>
      </c>
      <c r="AQ168" s="2">
        <v>13160.1796875</v>
      </c>
      <c r="AR168" s="2">
        <v>69677.4375</v>
      </c>
      <c r="AS168" s="2">
        <v>17114.955078125</v>
      </c>
      <c r="AT168" s="2">
        <v>35350.49609375</v>
      </c>
      <c r="AU168" s="2">
        <v>18233.51953125</v>
      </c>
      <c r="AV168" s="2">
        <v>53404.818359375</v>
      </c>
      <c r="AW168" s="2">
        <v>25937.146484375</v>
      </c>
      <c r="AX168" s="2">
        <v>69412.1953125</v>
      </c>
      <c r="AY168" s="2">
        <v>74897.015625</v>
      </c>
      <c r="AZ168" s="2">
        <v>21670.8271484375</v>
      </c>
      <c r="BA168" s="2">
        <v>23628.455078125</v>
      </c>
      <c r="BB168" s="2">
        <v>49309.85546875</v>
      </c>
      <c r="BC168" s="2" t="s">
        <v>79</v>
      </c>
      <c r="BD168" s="2" t="s">
        <v>91</v>
      </c>
      <c r="BE168" s="2" t="s">
        <v>79</v>
      </c>
      <c r="BF168" s="2" t="s">
        <v>79</v>
      </c>
      <c r="BG168" s="2" t="s">
        <v>98</v>
      </c>
      <c r="BH168" s="2" t="s">
        <v>91</v>
      </c>
      <c r="BI168" s="2" t="s">
        <v>91</v>
      </c>
      <c r="BJ168" s="2" t="s">
        <v>91</v>
      </c>
      <c r="BK168" s="2" t="s">
        <v>91</v>
      </c>
      <c r="BL168" s="2" t="s">
        <v>91</v>
      </c>
      <c r="BM168" s="2" t="s">
        <v>91</v>
      </c>
      <c r="BN168" s="2" t="s">
        <v>91</v>
      </c>
      <c r="BO168" s="2" t="s">
        <v>91</v>
      </c>
      <c r="BP168" s="2" t="s">
        <v>91</v>
      </c>
      <c r="BQ168" s="2" t="s">
        <v>79</v>
      </c>
      <c r="BR168" s="2" t="s">
        <v>91</v>
      </c>
      <c r="BS168" s="2" t="s">
        <v>91</v>
      </c>
      <c r="BT168" s="2" t="s">
        <v>91</v>
      </c>
      <c r="BU168" s="2" t="s">
        <v>91</v>
      </c>
      <c r="BV168" s="2" t="s">
        <v>91</v>
      </c>
      <c r="BW168" s="2" t="s">
        <v>91</v>
      </c>
      <c r="BX168" s="2" t="s">
        <v>91</v>
      </c>
      <c r="BY168" s="2" t="s">
        <v>91</v>
      </c>
      <c r="BZ168" s="2" t="s">
        <v>91</v>
      </c>
      <c r="CA168" s="2" t="s">
        <v>91</v>
      </c>
      <c r="CB168">
        <f>TTEST(AS168:AW168,AI168:AM168,2,2)</f>
        <v>0.57995738442308165</v>
      </c>
      <c r="CC168">
        <f>TTEST(AD168:AH168,AI168:AM168,2,2)</f>
        <v>8.7613217102045352E-2</v>
      </c>
      <c r="CD168">
        <f>TTEST(AN168:AR168,AI168:AM168,2,2)</f>
        <v>0.64571496443577081</v>
      </c>
      <c r="CE168">
        <f>TTEST(AX168:BB168,AI168:AM168,2,2)</f>
        <v>0.69019707810035713</v>
      </c>
      <c r="CF168">
        <v>203</v>
      </c>
      <c r="CG168">
        <v>189</v>
      </c>
      <c r="CH168">
        <v>203</v>
      </c>
      <c r="CI168">
        <v>176</v>
      </c>
      <c r="CJ168">
        <f>0.05*CF168/464</f>
        <v>2.1875000000000002E-2</v>
      </c>
      <c r="CK168">
        <f>0.05*CG168/464</f>
        <v>2.036637931034483E-2</v>
      </c>
      <c r="CL168">
        <f>0.05*CH168/464</f>
        <v>2.1875000000000002E-2</v>
      </c>
      <c r="CM168">
        <f>0.05*CI168/464</f>
        <v>1.8965517241379314E-2</v>
      </c>
      <c r="CN168" t="str">
        <f>IF(CB168&lt;CJ168,"yes","no")</f>
        <v>no</v>
      </c>
      <c r="CO168" t="str">
        <f>IF(CC168&lt;CK168,"yes","no")</f>
        <v>no</v>
      </c>
      <c r="CP168" t="str">
        <f>IF(CD168&lt;CL168,"yes","no")</f>
        <v>no</v>
      </c>
      <c r="CQ168" t="str">
        <f>IF(CE168&lt;CM168,"yes","no")</f>
        <v>no</v>
      </c>
      <c r="CR168">
        <f>TTEST(AS168:AW168,AD168:AH168,2,2)</f>
        <v>8.3883172546172127E-2</v>
      </c>
      <c r="CS168">
        <f>TTEST(AS168:AW168,AN168:AR168,2,2)</f>
        <v>0.94427689654590363</v>
      </c>
      <c r="CT168">
        <f>TTEST(AS168:AW168,AX168:BB168,2,2)</f>
        <v>0.20796653571337051</v>
      </c>
      <c r="CU168">
        <v>244</v>
      </c>
      <c r="CV168">
        <v>271</v>
      </c>
      <c r="CW168">
        <v>167</v>
      </c>
      <c r="CX168">
        <f t="shared" si="6"/>
        <v>2.6293103448275866E-2</v>
      </c>
      <c r="CY168">
        <f t="shared" si="7"/>
        <v>2.9202586206896555E-2</v>
      </c>
      <c r="CZ168">
        <f t="shared" si="8"/>
        <v>1.7995689655172412E-2</v>
      </c>
      <c r="DA168" t="str">
        <f>IF(CR168&lt;CX168,"yes","no")</f>
        <v>no</v>
      </c>
      <c r="DB168" t="str">
        <f>IF(CS168&lt;CY168,"yes","no")</f>
        <v>no</v>
      </c>
      <c r="DC168" t="str">
        <f>IF(CT168&lt;CZ168,"yes","no")</f>
        <v>no</v>
      </c>
    </row>
    <row r="169" spans="1:107" x14ac:dyDescent="0.2">
      <c r="A169" s="2" t="b">
        <v>0</v>
      </c>
      <c r="B169" s="2" t="s">
        <v>79</v>
      </c>
      <c r="C169" s="2" t="s">
        <v>80</v>
      </c>
      <c r="D169" s="2" t="s">
        <v>306</v>
      </c>
      <c r="E169" s="2" t="s">
        <v>307</v>
      </c>
      <c r="F169" s="2">
        <v>13</v>
      </c>
      <c r="G169" s="2">
        <v>13</v>
      </c>
      <c r="H169" s="2">
        <v>100.5</v>
      </c>
      <c r="I169" s="2">
        <v>6.86</v>
      </c>
      <c r="J169" s="2" t="s">
        <v>308</v>
      </c>
      <c r="K169" s="2" t="s">
        <v>128</v>
      </c>
      <c r="L169" s="2" t="s">
        <v>102</v>
      </c>
      <c r="M169" s="2" t="s">
        <v>83</v>
      </c>
      <c r="N169" s="2" t="s">
        <v>309</v>
      </c>
      <c r="O169" s="2">
        <v>1.546</v>
      </c>
      <c r="P169" s="2">
        <v>0.30199999999999999</v>
      </c>
      <c r="Q169" s="2">
        <v>1.411</v>
      </c>
      <c r="R169" s="2">
        <v>7.1050000000000004</v>
      </c>
      <c r="S169" s="2">
        <v>9.9600000000000009</v>
      </c>
      <c r="T169" s="2">
        <v>1.54</v>
      </c>
      <c r="U169" s="2">
        <v>2.4660000000000002</v>
      </c>
      <c r="V169" s="2">
        <v>0.21199999999999999</v>
      </c>
      <c r="W169" s="2">
        <v>0.379</v>
      </c>
      <c r="X169" s="2">
        <v>0.97599999999999998</v>
      </c>
      <c r="Y169" s="2">
        <v>228.3</v>
      </c>
      <c r="Z169" s="2">
        <v>7.8</v>
      </c>
      <c r="AA169" s="2">
        <v>205.9</v>
      </c>
      <c r="AB169" s="2">
        <v>23.9</v>
      </c>
      <c r="AC169" s="2">
        <v>34.1</v>
      </c>
      <c r="AD169" s="2">
        <v>6306653.125</v>
      </c>
      <c r="AE169" s="2">
        <v>4259229.2099609403</v>
      </c>
      <c r="AF169" s="2">
        <v>3842502.0214843801</v>
      </c>
      <c r="AG169" s="2">
        <v>5276951.90234375</v>
      </c>
      <c r="AH169" s="2">
        <v>4441351.40234375</v>
      </c>
      <c r="AI169" s="2">
        <v>3440.609375</v>
      </c>
      <c r="AJ169" s="2" t="s">
        <v>83</v>
      </c>
      <c r="AK169" s="2">
        <v>2129.97241210938</v>
      </c>
      <c r="AL169" s="2">
        <v>8876.28759765625</v>
      </c>
      <c r="AM169" s="2" t="s">
        <v>83</v>
      </c>
      <c r="AN169" s="2">
        <v>66536.199707031294</v>
      </c>
      <c r="AO169" s="2">
        <v>96601.91015625</v>
      </c>
      <c r="AP169" s="2">
        <v>97507.239746093794</v>
      </c>
      <c r="AQ169" s="2">
        <v>86740.31640625</v>
      </c>
      <c r="AR169" s="2">
        <v>166280.47167968799</v>
      </c>
      <c r="AS169" s="2">
        <v>36048.13671875</v>
      </c>
      <c r="AT169" s="2">
        <v>104703.55859375</v>
      </c>
      <c r="AU169" s="2">
        <v>53160.52734375</v>
      </c>
      <c r="AV169" s="2">
        <v>95560.875</v>
      </c>
      <c r="AW169" s="2">
        <v>110462.33105468799</v>
      </c>
      <c r="AX169" s="2" t="s">
        <v>83</v>
      </c>
      <c r="AY169" s="2">
        <v>45180.314453125</v>
      </c>
      <c r="AZ169" s="2">
        <v>89560.814453125</v>
      </c>
      <c r="BA169" s="2">
        <v>23613.0703125</v>
      </c>
      <c r="BB169" s="2">
        <v>46222.30859375</v>
      </c>
      <c r="BC169" s="2" t="s">
        <v>79</v>
      </c>
      <c r="BD169" s="2" t="s">
        <v>79</v>
      </c>
      <c r="BE169" s="2" t="s">
        <v>79</v>
      </c>
      <c r="BF169" s="2" t="s">
        <v>79</v>
      </c>
      <c r="BG169" s="2" t="s">
        <v>79</v>
      </c>
      <c r="BH169" s="2" t="s">
        <v>91</v>
      </c>
      <c r="BI169" s="2" t="s">
        <v>98</v>
      </c>
      <c r="BJ169" s="2" t="s">
        <v>91</v>
      </c>
      <c r="BK169" s="2" t="s">
        <v>91</v>
      </c>
      <c r="BL169" s="2" t="s">
        <v>98</v>
      </c>
      <c r="BM169" s="2" t="s">
        <v>91</v>
      </c>
      <c r="BN169" s="2" t="s">
        <v>91</v>
      </c>
      <c r="BO169" s="2" t="s">
        <v>91</v>
      </c>
      <c r="BP169" s="2" t="s">
        <v>91</v>
      </c>
      <c r="BQ169" s="2" t="s">
        <v>91</v>
      </c>
      <c r="BR169" s="2" t="s">
        <v>91</v>
      </c>
      <c r="BS169" s="2" t="s">
        <v>91</v>
      </c>
      <c r="BT169" s="2" t="s">
        <v>91</v>
      </c>
      <c r="BU169" s="2" t="s">
        <v>91</v>
      </c>
      <c r="BV169" s="2" t="s">
        <v>91</v>
      </c>
      <c r="BW169" s="2" t="s">
        <v>98</v>
      </c>
      <c r="BX169" s="2" t="s">
        <v>91</v>
      </c>
      <c r="BY169" s="2" t="s">
        <v>91</v>
      </c>
      <c r="BZ169" s="2" t="s">
        <v>91</v>
      </c>
      <c r="CA169" s="2" t="s">
        <v>91</v>
      </c>
      <c r="CB169">
        <f>TTEST(AS169:AW169,AI169:AM169,2,2)</f>
        <v>9.2213161795817143E-3</v>
      </c>
      <c r="CC169">
        <f>TTEST(AD169:AH169,AI169:AM169,2,2)</f>
        <v>1.7037681914486977E-4</v>
      </c>
      <c r="CD169">
        <f>TTEST(AN169:AR169,AI169:AM169,2,2)</f>
        <v>4.8115347309149294E-3</v>
      </c>
      <c r="CE169">
        <f>TTEST(AX169:BB169,AI169:AM169,2,2)</f>
        <v>3.7262559169394686E-2</v>
      </c>
      <c r="CF169">
        <v>130</v>
      </c>
      <c r="CG169">
        <v>118</v>
      </c>
      <c r="CH169">
        <v>89</v>
      </c>
      <c r="CI169">
        <v>102</v>
      </c>
      <c r="CJ169">
        <f>0.05*CF169/464</f>
        <v>1.4008620689655173E-2</v>
      </c>
      <c r="CK169">
        <f>0.05*CG169/464</f>
        <v>1.2715517241379311E-2</v>
      </c>
      <c r="CL169">
        <f>0.05*CH169/464</f>
        <v>9.5905172413793104E-3</v>
      </c>
      <c r="CM169">
        <f>0.05*CI169/464</f>
        <v>1.0991379310344829E-2</v>
      </c>
      <c r="CN169" t="str">
        <f>IF(CB169&lt;CJ169,"yes","no")</f>
        <v>yes</v>
      </c>
      <c r="CO169" t="str">
        <f>IF(CC169&lt;CK169,"yes","no")</f>
        <v>yes</v>
      </c>
      <c r="CP169" t="str">
        <f>IF(CD169&lt;CL169,"yes","no")</f>
        <v>yes</v>
      </c>
      <c r="CQ169" t="str">
        <f>IF(CE169&lt;CM169,"yes","no")</f>
        <v>no</v>
      </c>
      <c r="CR169">
        <f>TTEST(AS169:AW169,AD169:AH169,2,2)</f>
        <v>4.6514936722496979E-6</v>
      </c>
      <c r="CS169">
        <f>TTEST(AS169:AW169,AN169:AR169,2,2)</f>
        <v>0.3411151019150831</v>
      </c>
      <c r="CT169">
        <f>TTEST(AS169:AW169,AX169:BB169,2,2)</f>
        <v>0.2079768682698675</v>
      </c>
      <c r="CU169">
        <v>80</v>
      </c>
      <c r="CV169">
        <v>215</v>
      </c>
      <c r="CW169">
        <v>168</v>
      </c>
      <c r="CX169">
        <f t="shared" si="6"/>
        <v>8.6206896551724137E-3</v>
      </c>
      <c r="CY169">
        <f t="shared" si="7"/>
        <v>2.3168103448275863E-2</v>
      </c>
      <c r="CZ169">
        <f t="shared" si="8"/>
        <v>1.810344827586207E-2</v>
      </c>
      <c r="DA169" t="str">
        <f>IF(CR169&lt;CX169,"yes","no")</f>
        <v>yes</v>
      </c>
      <c r="DB169" t="str">
        <f>IF(CS169&lt;CY169,"yes","no")</f>
        <v>no</v>
      </c>
      <c r="DC169" t="str">
        <f>IF(CT169&lt;CZ169,"yes","no")</f>
        <v>no</v>
      </c>
    </row>
    <row r="170" spans="1:107" x14ac:dyDescent="0.2">
      <c r="A170" s="2" t="b">
        <v>0</v>
      </c>
      <c r="B170" s="2" t="s">
        <v>79</v>
      </c>
      <c r="C170" s="2" t="s">
        <v>80</v>
      </c>
      <c r="D170" s="2" t="s">
        <v>112</v>
      </c>
      <c r="E170" s="2" t="s">
        <v>113</v>
      </c>
      <c r="F170" s="2">
        <v>25</v>
      </c>
      <c r="G170" s="2">
        <v>1</v>
      </c>
      <c r="H170" s="2">
        <v>68.7</v>
      </c>
      <c r="I170" s="2">
        <v>6.48</v>
      </c>
      <c r="J170" s="2" t="s">
        <v>89</v>
      </c>
      <c r="K170" s="2" t="s">
        <v>114</v>
      </c>
      <c r="L170" s="2" t="s">
        <v>115</v>
      </c>
      <c r="M170" s="2" t="s">
        <v>83</v>
      </c>
      <c r="N170" s="2" t="s">
        <v>116</v>
      </c>
      <c r="O170" s="2">
        <v>1.474</v>
      </c>
      <c r="P170" s="2">
        <v>2.9990000000000001</v>
      </c>
      <c r="Q170" s="2">
        <v>7.2549999999999999</v>
      </c>
      <c r="R170" s="2">
        <v>0.61299999999999999</v>
      </c>
      <c r="S170" s="2">
        <v>0.84399999999999997</v>
      </c>
      <c r="T170" s="2">
        <v>1.708</v>
      </c>
      <c r="U170" s="2">
        <v>4.0570000000000004</v>
      </c>
      <c r="V170" s="2">
        <v>1.9730000000000001</v>
      </c>
      <c r="W170" s="2">
        <v>4.8769999999999998</v>
      </c>
      <c r="X170" s="2">
        <v>2.512</v>
      </c>
      <c r="Y170" s="2">
        <v>36</v>
      </c>
      <c r="Z170" s="2">
        <v>58.5</v>
      </c>
      <c r="AA170" s="2">
        <v>50.6</v>
      </c>
      <c r="AB170" s="2">
        <v>99.9</v>
      </c>
      <c r="AC170" s="2">
        <v>254.9</v>
      </c>
      <c r="AD170" s="2">
        <v>33592521.2265625</v>
      </c>
      <c r="AE170" s="2">
        <v>23283712.515625</v>
      </c>
      <c r="AF170" s="2">
        <v>21978414.361328099</v>
      </c>
      <c r="AG170" s="2">
        <v>32671292.042968798</v>
      </c>
      <c r="AH170" s="2">
        <v>28091178.037109401</v>
      </c>
      <c r="AI170" s="2">
        <v>1314538.9316406299</v>
      </c>
      <c r="AJ170" s="2">
        <v>872493.5703125</v>
      </c>
      <c r="AK170" s="2">
        <v>942660.73974609398</v>
      </c>
      <c r="AL170" s="2">
        <v>1186409.7265625</v>
      </c>
      <c r="AM170" s="2">
        <v>764576.3125</v>
      </c>
      <c r="AN170" s="2">
        <v>726784.94140625</v>
      </c>
      <c r="AO170" s="2">
        <v>698707.466796875</v>
      </c>
      <c r="AP170" s="2">
        <v>881211.39453125</v>
      </c>
      <c r="AQ170" s="2">
        <v>745054.880859375</v>
      </c>
      <c r="AR170" s="2">
        <v>1014748.06054688</v>
      </c>
      <c r="AS170" s="2">
        <v>10614135.8359375</v>
      </c>
      <c r="AT170" s="2">
        <v>18939026.201171901</v>
      </c>
      <c r="AU170" s="2">
        <v>10547401.620117201</v>
      </c>
      <c r="AV170" s="2">
        <v>11300879.453125</v>
      </c>
      <c r="AW170" s="2">
        <v>14049606.28125</v>
      </c>
      <c r="AX170" s="2">
        <v>10912980.2851563</v>
      </c>
      <c r="AY170" s="2">
        <v>11801829.4804688</v>
      </c>
      <c r="AZ170" s="2">
        <v>11478045.198242201</v>
      </c>
      <c r="BA170" s="2">
        <v>11010504.0166016</v>
      </c>
      <c r="BB170" s="2">
        <v>8702414.9980468806</v>
      </c>
      <c r="BC170" s="2" t="s">
        <v>79</v>
      </c>
      <c r="BD170" s="2" t="s">
        <v>79</v>
      </c>
      <c r="BE170" s="2" t="s">
        <v>79</v>
      </c>
      <c r="BF170" s="2" t="s">
        <v>79</v>
      </c>
      <c r="BG170" s="2" t="s">
        <v>79</v>
      </c>
      <c r="BH170" s="2" t="s">
        <v>79</v>
      </c>
      <c r="BI170" s="2" t="s">
        <v>79</v>
      </c>
      <c r="BJ170" s="2" t="s">
        <v>79</v>
      </c>
      <c r="BK170" s="2" t="s">
        <v>79</v>
      </c>
      <c r="BL170" s="2" t="s">
        <v>79</v>
      </c>
      <c r="BM170" s="2" t="s">
        <v>79</v>
      </c>
      <c r="BN170" s="2" t="s">
        <v>79</v>
      </c>
      <c r="BO170" s="2" t="s">
        <v>79</v>
      </c>
      <c r="BP170" s="2" t="s">
        <v>79</v>
      </c>
      <c r="BQ170" s="2" t="s">
        <v>79</v>
      </c>
      <c r="BR170" s="2" t="s">
        <v>79</v>
      </c>
      <c r="BS170" s="2" t="s">
        <v>79</v>
      </c>
      <c r="BT170" s="2" t="s">
        <v>79</v>
      </c>
      <c r="BU170" s="2" t="s">
        <v>79</v>
      </c>
      <c r="BV170" s="2" t="s">
        <v>79</v>
      </c>
      <c r="BW170" s="2" t="s">
        <v>79</v>
      </c>
      <c r="BX170" s="2" t="s">
        <v>79</v>
      </c>
      <c r="BY170" s="2" t="s">
        <v>79</v>
      </c>
      <c r="BZ170" s="2" t="s">
        <v>79</v>
      </c>
      <c r="CA170" s="2" t="s">
        <v>79</v>
      </c>
      <c r="CB170">
        <f>TTEST(AS170:AW170,AI170:AM170,2,2)</f>
        <v>6.6014123699126648E-5</v>
      </c>
      <c r="CC170">
        <f>TTEST(AD170:AH170,AI170:AM170,2,2)</f>
        <v>3.205923581302179E-6</v>
      </c>
      <c r="CD170">
        <f>TTEST(AN170:AR170,AI170:AM170,2,2)</f>
        <v>0.1235614436198836</v>
      </c>
      <c r="CE170">
        <f>TTEST(AX170:BB170,AI170:AM170,2,2)</f>
        <v>1.0882332497881076E-7</v>
      </c>
      <c r="CF170">
        <v>58</v>
      </c>
      <c r="CG170">
        <v>72</v>
      </c>
      <c r="CH170">
        <v>137</v>
      </c>
      <c r="CI170">
        <v>7</v>
      </c>
      <c r="CJ170">
        <f>0.05*CF170/464</f>
        <v>6.2500000000000003E-3</v>
      </c>
      <c r="CK170">
        <f>0.05*CG170/464</f>
        <v>7.7586206896551723E-3</v>
      </c>
      <c r="CL170">
        <f>0.05*CH170/464</f>
        <v>1.476293103448276E-2</v>
      </c>
      <c r="CM170">
        <f>0.05*CI170/464</f>
        <v>7.543103448275863E-4</v>
      </c>
      <c r="CN170" t="str">
        <f>IF(CB170&lt;CJ170,"yes","no")</f>
        <v>yes</v>
      </c>
      <c r="CO170" t="str">
        <f>IF(CC170&lt;CK170,"yes","no")</f>
        <v>yes</v>
      </c>
      <c r="CP170" t="str">
        <f>IF(CD170&lt;CL170,"yes","no")</f>
        <v>no</v>
      </c>
      <c r="CQ170" t="str">
        <f>IF(CE170&lt;CM170,"yes","no")</f>
        <v>yes</v>
      </c>
      <c r="CR170">
        <f>TTEST(AS170:AW170,AD170:AH170,2,2)</f>
        <v>8.1866816762316496E-4</v>
      </c>
      <c r="CS170">
        <f>TTEST(AS170:AW170,AN170:AR170,2,2)</f>
        <v>5.8067183663148612E-5</v>
      </c>
      <c r="CT170">
        <f>TTEST(AS170:AW170,AX170:BB170,2,2)</f>
        <v>0.20801512098723285</v>
      </c>
      <c r="CU170">
        <v>159</v>
      </c>
      <c r="CV170">
        <v>33</v>
      </c>
      <c r="CW170">
        <v>169</v>
      </c>
      <c r="CX170">
        <f t="shared" si="6"/>
        <v>1.7133620689655172E-2</v>
      </c>
      <c r="CY170">
        <f t="shared" si="7"/>
        <v>3.5560344827586209E-3</v>
      </c>
      <c r="CZ170">
        <f t="shared" si="8"/>
        <v>1.8211206896551726E-2</v>
      </c>
      <c r="DA170" t="str">
        <f>IF(CR170&lt;CX170,"yes","no")</f>
        <v>yes</v>
      </c>
      <c r="DB170" t="str">
        <f>IF(CS170&lt;CY170,"yes","no")</f>
        <v>yes</v>
      </c>
      <c r="DC170" t="str">
        <f>IF(CT170&lt;CZ170,"yes","no")</f>
        <v>no</v>
      </c>
    </row>
    <row r="171" spans="1:107" x14ac:dyDescent="0.2">
      <c r="A171" s="2" t="b">
        <v>0</v>
      </c>
      <c r="B171" s="2" t="s">
        <v>79</v>
      </c>
      <c r="C171" s="2" t="s">
        <v>80</v>
      </c>
      <c r="D171" s="2" t="s">
        <v>734</v>
      </c>
      <c r="E171" s="2" t="s">
        <v>735</v>
      </c>
      <c r="F171" s="2">
        <v>5</v>
      </c>
      <c r="G171" s="2">
        <v>5</v>
      </c>
      <c r="H171" s="2">
        <v>64.2</v>
      </c>
      <c r="I171" s="2">
        <v>6.1</v>
      </c>
      <c r="J171" s="2" t="s">
        <v>83</v>
      </c>
      <c r="K171" s="2" t="s">
        <v>83</v>
      </c>
      <c r="L171" s="2" t="s">
        <v>119</v>
      </c>
      <c r="M171" s="2" t="s">
        <v>736</v>
      </c>
      <c r="N171" s="2" t="s">
        <v>734</v>
      </c>
      <c r="O171" s="2">
        <v>3.3740000000000001</v>
      </c>
      <c r="P171" s="2">
        <v>3.4390000000000001</v>
      </c>
      <c r="Q171" s="2">
        <v>7.6059999999999999</v>
      </c>
      <c r="R171" s="2">
        <v>0.31</v>
      </c>
      <c r="S171" s="2">
        <v>1.044</v>
      </c>
      <c r="T171" s="2">
        <v>0.99099999999999999</v>
      </c>
      <c r="U171" s="2">
        <v>1.95</v>
      </c>
      <c r="V171" s="2">
        <v>1.038</v>
      </c>
      <c r="W171" s="2">
        <v>2.1890000000000001</v>
      </c>
      <c r="X171" s="2">
        <v>2.3340000000000001</v>
      </c>
      <c r="Y171" s="2">
        <v>24.5</v>
      </c>
      <c r="Z171" s="2">
        <v>86.1</v>
      </c>
      <c r="AA171" s="2">
        <v>54.9</v>
      </c>
      <c r="AB171" s="2">
        <v>98.8</v>
      </c>
      <c r="AC171" s="2">
        <v>235.7</v>
      </c>
      <c r="AD171" s="2">
        <v>449665.47265625</v>
      </c>
      <c r="AE171" s="2">
        <v>537411.703125</v>
      </c>
      <c r="AF171" s="2">
        <v>490844.20703125</v>
      </c>
      <c r="AG171" s="2">
        <v>539727.046875</v>
      </c>
      <c r="AH171" s="2">
        <v>508193.640625</v>
      </c>
      <c r="AI171" s="2">
        <v>48821.5029296875</v>
      </c>
      <c r="AJ171" s="2">
        <v>37753.5166015625</v>
      </c>
      <c r="AK171" s="2">
        <v>32286.771972656301</v>
      </c>
      <c r="AL171" s="2">
        <v>34704.7861328125</v>
      </c>
      <c r="AM171" s="2">
        <v>32828.253417968801</v>
      </c>
      <c r="AN171" s="2">
        <v>18931.589355468801</v>
      </c>
      <c r="AO171" s="2">
        <v>17299.123046875</v>
      </c>
      <c r="AP171" s="2">
        <v>33438.4130859375</v>
      </c>
      <c r="AQ171" s="2">
        <v>24772.5703125</v>
      </c>
      <c r="AR171" s="2">
        <v>43394.1865234375</v>
      </c>
      <c r="AS171" s="2">
        <v>252712.330078125</v>
      </c>
      <c r="AT171" s="2">
        <v>491167.6875</v>
      </c>
      <c r="AU171" s="2">
        <v>290591.65625</v>
      </c>
      <c r="AV171" s="2">
        <v>309629.03125</v>
      </c>
      <c r="AW171" s="2">
        <v>313223.73046875</v>
      </c>
      <c r="AX171" s="2">
        <v>235792.86328125</v>
      </c>
      <c r="AY171" s="2">
        <v>302122.93359375</v>
      </c>
      <c r="AZ171" s="2">
        <v>317286.09765625</v>
      </c>
      <c r="BA171" s="2">
        <v>254531.921875</v>
      </c>
      <c r="BB171" s="2">
        <v>256578.37109375</v>
      </c>
      <c r="BC171" s="2" t="s">
        <v>79</v>
      </c>
      <c r="BD171" s="2" t="s">
        <v>79</v>
      </c>
      <c r="BE171" s="2" t="s">
        <v>79</v>
      </c>
      <c r="BF171" s="2" t="s">
        <v>79</v>
      </c>
      <c r="BG171" s="2" t="s">
        <v>79</v>
      </c>
      <c r="BH171" s="2" t="s">
        <v>91</v>
      </c>
      <c r="BI171" s="2" t="s">
        <v>91</v>
      </c>
      <c r="BJ171" s="2" t="s">
        <v>91</v>
      </c>
      <c r="BK171" s="2" t="s">
        <v>91</v>
      </c>
      <c r="BL171" s="2" t="s">
        <v>91</v>
      </c>
      <c r="BM171" s="2" t="s">
        <v>91</v>
      </c>
      <c r="BN171" s="2" t="s">
        <v>91</v>
      </c>
      <c r="BO171" s="2" t="s">
        <v>91</v>
      </c>
      <c r="BP171" s="2" t="s">
        <v>91</v>
      </c>
      <c r="BQ171" s="2" t="s">
        <v>91</v>
      </c>
      <c r="BR171" s="2" t="s">
        <v>79</v>
      </c>
      <c r="BS171" s="2" t="s">
        <v>79</v>
      </c>
      <c r="BT171" s="2" t="s">
        <v>79</v>
      </c>
      <c r="BU171" s="2" t="s">
        <v>79</v>
      </c>
      <c r="BV171" s="2" t="s">
        <v>79</v>
      </c>
      <c r="BW171" s="2" t="s">
        <v>79</v>
      </c>
      <c r="BX171" s="2" t="s">
        <v>79</v>
      </c>
      <c r="BY171" s="2" t="s">
        <v>79</v>
      </c>
      <c r="BZ171" s="2" t="s">
        <v>79</v>
      </c>
      <c r="CA171" s="2" t="s">
        <v>79</v>
      </c>
      <c r="CB171">
        <f>TTEST(AS171:AW171,AI171:AM171,2,2)</f>
        <v>1.0236143035869588E-4</v>
      </c>
      <c r="CC171">
        <f>TTEST(AD171:AH171,AI171:AM171,2,2)</f>
        <v>3.1287336479462865E-9</v>
      </c>
      <c r="CD171">
        <f>TTEST(AN171:AR171,AI171:AM171,2,2)</f>
        <v>0.12877547605112405</v>
      </c>
      <c r="CE171">
        <f>TTEST(AX171:BB171,AI171:AM171,2,2)</f>
        <v>3.9721980117309179E-7</v>
      </c>
      <c r="CF171">
        <v>66</v>
      </c>
      <c r="CG171">
        <v>3</v>
      </c>
      <c r="CH171">
        <v>139</v>
      </c>
      <c r="CI171">
        <v>10</v>
      </c>
      <c r="CJ171">
        <f>0.05*CF171/464</f>
        <v>7.1120689655172417E-3</v>
      </c>
      <c r="CK171">
        <f>0.05*CG171/464</f>
        <v>3.2327586206896557E-4</v>
      </c>
      <c r="CL171">
        <f>0.05*CH171/464</f>
        <v>1.4978448275862069E-2</v>
      </c>
      <c r="CM171">
        <f>0.05*CI171/464</f>
        <v>1.0775862068965517E-3</v>
      </c>
      <c r="CN171" t="str">
        <f>IF(CB171&lt;CJ171,"yes","no")</f>
        <v>yes</v>
      </c>
      <c r="CO171" t="str">
        <f>IF(CC171&lt;CK171,"yes","no")</f>
        <v>yes</v>
      </c>
      <c r="CP171" t="str">
        <f>IF(CD171&lt;CL171,"yes","no")</f>
        <v>no</v>
      </c>
      <c r="CQ171" t="str">
        <f>IF(CE171&lt;CM171,"yes","no")</f>
        <v>yes</v>
      </c>
      <c r="CR171">
        <f>TTEST(AS171:AW171,AD171:AH171,2,2)</f>
        <v>4.5575307887563837E-3</v>
      </c>
      <c r="CS171">
        <f>TTEST(AS171:AW171,AN171:AR171,2,2)</f>
        <v>8.3879592764356847E-5</v>
      </c>
      <c r="CT171">
        <f>TTEST(AS171:AW171,AX171:BB171,2,2)</f>
        <v>0.22393532140076788</v>
      </c>
      <c r="CU171">
        <v>185</v>
      </c>
      <c r="CV171">
        <v>41</v>
      </c>
      <c r="CW171">
        <v>170</v>
      </c>
      <c r="CX171">
        <f t="shared" si="6"/>
        <v>1.9935344827586209E-2</v>
      </c>
      <c r="CY171">
        <f t="shared" si="7"/>
        <v>4.4181034482758622E-3</v>
      </c>
      <c r="CZ171">
        <f t="shared" si="8"/>
        <v>1.8318965517241378E-2</v>
      </c>
      <c r="DA171" t="str">
        <f>IF(CR171&lt;CX171,"yes","no")</f>
        <v>yes</v>
      </c>
      <c r="DB171" t="str">
        <f>IF(CS171&lt;CY171,"yes","no")</f>
        <v>yes</v>
      </c>
      <c r="DC171" t="str">
        <f>IF(CT171&lt;CZ171,"yes","no")</f>
        <v>no</v>
      </c>
    </row>
    <row r="172" spans="1:107" x14ac:dyDescent="0.2">
      <c r="A172" s="2" t="b">
        <v>0</v>
      </c>
      <c r="B172" s="2" t="s">
        <v>79</v>
      </c>
      <c r="C172" s="2" t="s">
        <v>80</v>
      </c>
      <c r="D172" s="2" t="s">
        <v>859</v>
      </c>
      <c r="E172" s="2" t="s">
        <v>860</v>
      </c>
      <c r="F172" s="2">
        <v>4</v>
      </c>
      <c r="G172" s="2">
        <v>3</v>
      </c>
      <c r="H172" s="2">
        <v>51</v>
      </c>
      <c r="I172" s="2">
        <v>7.44</v>
      </c>
      <c r="J172" s="2" t="s">
        <v>135</v>
      </c>
      <c r="K172" s="2" t="s">
        <v>861</v>
      </c>
      <c r="L172" s="2" t="s">
        <v>119</v>
      </c>
      <c r="M172" s="2" t="s">
        <v>862</v>
      </c>
      <c r="N172" s="2" t="s">
        <v>859</v>
      </c>
      <c r="O172" s="2">
        <v>3.73</v>
      </c>
      <c r="P172" s="2">
        <v>0.49</v>
      </c>
      <c r="Q172" s="2">
        <v>1.68</v>
      </c>
      <c r="R172" s="2">
        <v>0.68100000000000005</v>
      </c>
      <c r="S172" s="2">
        <v>3.5369999999999999</v>
      </c>
      <c r="T172" s="2">
        <v>6.3E-2</v>
      </c>
      <c r="U172" s="2">
        <v>0.97699999999999998</v>
      </c>
      <c r="V172" s="2">
        <v>0.13400000000000001</v>
      </c>
      <c r="W172" s="2">
        <v>0.55800000000000005</v>
      </c>
      <c r="X172" s="2">
        <v>4.33</v>
      </c>
      <c r="Y172" s="2">
        <v>55.9</v>
      </c>
      <c r="Z172" s="2">
        <v>48.7</v>
      </c>
      <c r="AA172" s="2">
        <v>285.5</v>
      </c>
      <c r="AB172" s="2">
        <v>10.3</v>
      </c>
      <c r="AC172" s="2">
        <v>99.5</v>
      </c>
      <c r="AD172" s="2">
        <v>474837.5234375</v>
      </c>
      <c r="AE172" s="2" t="s">
        <v>83</v>
      </c>
      <c r="AF172" s="2">
        <v>345638.734375</v>
      </c>
      <c r="AG172" s="2">
        <v>1970376.59375</v>
      </c>
      <c r="AH172" s="2">
        <v>28460.10546875</v>
      </c>
      <c r="AI172" s="2" t="s">
        <v>83</v>
      </c>
      <c r="AJ172" s="2">
        <v>4348.26220703125</v>
      </c>
      <c r="AK172" s="2">
        <v>5805.11865234375</v>
      </c>
      <c r="AL172" s="2">
        <v>45857.8896484375</v>
      </c>
      <c r="AM172" s="2">
        <v>6182.18896484375</v>
      </c>
      <c r="AN172" s="2" t="s">
        <v>83</v>
      </c>
      <c r="AO172" s="2" t="s">
        <v>83</v>
      </c>
      <c r="AP172" s="2" t="s">
        <v>83</v>
      </c>
      <c r="AQ172" s="2" t="s">
        <v>83</v>
      </c>
      <c r="AR172" s="2">
        <v>52736.413818359397</v>
      </c>
      <c r="AS172" s="2">
        <v>7398.470703125</v>
      </c>
      <c r="AT172" s="2">
        <v>16110.2451171875</v>
      </c>
      <c r="AU172" s="2" t="s">
        <v>83</v>
      </c>
      <c r="AV172" s="2">
        <v>14087.8330078125</v>
      </c>
      <c r="AW172" s="2" t="s">
        <v>83</v>
      </c>
      <c r="AX172" s="2">
        <v>34405.873046875</v>
      </c>
      <c r="AY172" s="2">
        <v>136115.4921875</v>
      </c>
      <c r="AZ172" s="2">
        <v>41312.6474609375</v>
      </c>
      <c r="BA172" s="2">
        <v>7110.3134765625</v>
      </c>
      <c r="BB172" s="2">
        <v>37569.546875</v>
      </c>
      <c r="BC172" s="2" t="s">
        <v>79</v>
      </c>
      <c r="BD172" s="2" t="s">
        <v>98</v>
      </c>
      <c r="BE172" s="2" t="s">
        <v>79</v>
      </c>
      <c r="BF172" s="2" t="s">
        <v>79</v>
      </c>
      <c r="BG172" s="2" t="s">
        <v>98</v>
      </c>
      <c r="BH172" s="2" t="s">
        <v>98</v>
      </c>
      <c r="BI172" s="2" t="s">
        <v>91</v>
      </c>
      <c r="BJ172" s="2" t="s">
        <v>91</v>
      </c>
      <c r="BK172" s="2" t="s">
        <v>91</v>
      </c>
      <c r="BL172" s="2" t="s">
        <v>91</v>
      </c>
      <c r="BM172" s="2" t="s">
        <v>98</v>
      </c>
      <c r="BN172" s="2" t="s">
        <v>98</v>
      </c>
      <c r="BO172" s="2" t="s">
        <v>98</v>
      </c>
      <c r="BP172" s="2" t="s">
        <v>98</v>
      </c>
      <c r="BQ172" s="2" t="s">
        <v>79</v>
      </c>
      <c r="BR172" s="2" t="s">
        <v>98</v>
      </c>
      <c r="BS172" s="2" t="s">
        <v>98</v>
      </c>
      <c r="BT172" s="2" t="s">
        <v>98</v>
      </c>
      <c r="BU172" s="2" t="s">
        <v>98</v>
      </c>
      <c r="BV172" s="2" t="s">
        <v>98</v>
      </c>
      <c r="BW172" s="2" t="s">
        <v>91</v>
      </c>
      <c r="BX172" s="2" t="s">
        <v>98</v>
      </c>
      <c r="BY172" s="2" t="s">
        <v>98</v>
      </c>
      <c r="BZ172" s="2" t="s">
        <v>98</v>
      </c>
      <c r="CA172" s="2" t="s">
        <v>91</v>
      </c>
      <c r="CB172">
        <f>TTEST(AS172:AW172,AI172:AM172,2,2)</f>
        <v>0.81403335955315215</v>
      </c>
      <c r="CC172">
        <f>TTEST(AD172:AH172,AI172:AM172,2,2)</f>
        <v>0.16191627736647179</v>
      </c>
      <c r="CD172" t="e">
        <f>TTEST(AN172:AR172,AI172:AM172,2,2)</f>
        <v>#DIV/0!</v>
      </c>
      <c r="CE172">
        <f>TTEST(AX172:BB172,AI172:AM172,2,2)</f>
        <v>0.21970748894026712</v>
      </c>
      <c r="CF172">
        <v>215</v>
      </c>
      <c r="CG172">
        <v>208</v>
      </c>
      <c r="CH172">
        <v>245</v>
      </c>
      <c r="CI172">
        <v>132</v>
      </c>
      <c r="CJ172">
        <f>0.05*CF172/464</f>
        <v>2.3168103448275863E-2</v>
      </c>
      <c r="CK172">
        <f>0.05*CG172/464</f>
        <v>2.2413793103448276E-2</v>
      </c>
      <c r="CL172">
        <f>0.05*CH172/464</f>
        <v>2.6400862068965518E-2</v>
      </c>
      <c r="CM172">
        <f>0.05*CI172/464</f>
        <v>1.4224137931034483E-2</v>
      </c>
      <c r="CN172" t="str">
        <f>IF(CB172&lt;CJ172,"yes","no")</f>
        <v>no</v>
      </c>
      <c r="CO172" t="str">
        <f>IF(CC172&lt;CK172,"yes","no")</f>
        <v>no</v>
      </c>
      <c r="CP172" t="e">
        <f>IF(CD172&lt;CL172,"yes","no")</f>
        <v>#DIV/0!</v>
      </c>
      <c r="CQ172" t="str">
        <f>IF(CE172&lt;CM172,"yes","no")</f>
        <v>no</v>
      </c>
      <c r="CR172">
        <f>TTEST(AS172:AW172,AD172:AH172,2,2)</f>
        <v>0.23373952284913113</v>
      </c>
      <c r="CS172" t="e">
        <f>TTEST(AS172:AW172,AN172:AR172,2,2)</f>
        <v>#DIV/0!</v>
      </c>
      <c r="CT172">
        <f>TTEST(AS172:AW172,AX172:BB172,2,2)</f>
        <v>0.23615691028453939</v>
      </c>
      <c r="CU172">
        <v>277</v>
      </c>
      <c r="CV172">
        <v>309</v>
      </c>
      <c r="CW172">
        <v>171</v>
      </c>
      <c r="CX172">
        <f t="shared" si="6"/>
        <v>2.9849137931034487E-2</v>
      </c>
      <c r="CY172">
        <f t="shared" si="7"/>
        <v>3.3297413793103449E-2</v>
      </c>
      <c r="CZ172">
        <f t="shared" si="8"/>
        <v>1.8426724137931037E-2</v>
      </c>
      <c r="DA172" t="str">
        <f>IF(CR172&lt;CX172,"yes","no")</f>
        <v>no</v>
      </c>
      <c r="DB172" t="e">
        <f>IF(CS172&lt;CY172,"yes","no")</f>
        <v>#DIV/0!</v>
      </c>
      <c r="DC172" t="str">
        <f>IF(CT172&lt;CZ172,"yes","no")</f>
        <v>no</v>
      </c>
    </row>
    <row r="173" spans="1:107" x14ac:dyDescent="0.2">
      <c r="A173" s="2" t="b">
        <v>0</v>
      </c>
      <c r="B173" s="2" t="s">
        <v>79</v>
      </c>
      <c r="C173" s="2" t="s">
        <v>80</v>
      </c>
      <c r="D173" s="2" t="s">
        <v>1397</v>
      </c>
      <c r="E173" s="2" t="s">
        <v>1398</v>
      </c>
      <c r="F173" s="2">
        <v>2</v>
      </c>
      <c r="G173" s="2">
        <v>2</v>
      </c>
      <c r="H173" s="2">
        <v>36.5</v>
      </c>
      <c r="I173" s="2">
        <v>7.01</v>
      </c>
      <c r="J173" s="2" t="s">
        <v>557</v>
      </c>
      <c r="K173" s="2" t="s">
        <v>84</v>
      </c>
      <c r="L173" s="2" t="s">
        <v>119</v>
      </c>
      <c r="M173" s="2" t="s">
        <v>1399</v>
      </c>
      <c r="N173" s="2" t="s">
        <v>1397</v>
      </c>
      <c r="O173" s="2">
        <v>100</v>
      </c>
      <c r="P173" s="2">
        <v>100</v>
      </c>
      <c r="Q173" s="2">
        <v>100</v>
      </c>
      <c r="R173" s="2">
        <v>0.01</v>
      </c>
      <c r="S173" s="2">
        <v>0.94399999999999995</v>
      </c>
      <c r="T173" s="2">
        <v>0.13400000000000001</v>
      </c>
      <c r="U173" s="2">
        <v>0.85899999999999999</v>
      </c>
      <c r="V173" s="2">
        <v>0.154</v>
      </c>
      <c r="W173" s="2">
        <v>1.08</v>
      </c>
      <c r="X173" s="2">
        <v>7.81</v>
      </c>
      <c r="Y173" s="2" t="s">
        <v>83</v>
      </c>
      <c r="Z173" s="2">
        <v>234.1</v>
      </c>
      <c r="AA173" s="2">
        <v>139.4</v>
      </c>
      <c r="AB173" s="2">
        <v>12.9</v>
      </c>
      <c r="AC173" s="2">
        <v>113.6</v>
      </c>
      <c r="AD173" s="2" t="s">
        <v>83</v>
      </c>
      <c r="AE173" s="2" t="s">
        <v>83</v>
      </c>
      <c r="AF173" s="2" t="s">
        <v>83</v>
      </c>
      <c r="AG173" s="2" t="s">
        <v>83</v>
      </c>
      <c r="AH173" s="2" t="s">
        <v>83</v>
      </c>
      <c r="AI173" s="2">
        <v>126474.00390625</v>
      </c>
      <c r="AJ173" s="2">
        <v>45717.5361328125</v>
      </c>
      <c r="AK173" s="2">
        <v>61387.427734375</v>
      </c>
      <c r="AL173" s="2">
        <v>124463.169921875</v>
      </c>
      <c r="AM173" s="2">
        <v>42549.2900390625</v>
      </c>
      <c r="AN173" s="2">
        <v>36050.361328125</v>
      </c>
      <c r="AO173" s="2">
        <v>32128.1220703125</v>
      </c>
      <c r="AP173" s="2">
        <v>82618.853515625</v>
      </c>
      <c r="AQ173" s="2">
        <v>43809.5078125</v>
      </c>
      <c r="AR173" s="2">
        <v>21919.90625</v>
      </c>
      <c r="AS173" s="2">
        <v>18513.505859375</v>
      </c>
      <c r="AT173" s="2" t="s">
        <v>83</v>
      </c>
      <c r="AU173" s="2">
        <v>107401.16015625</v>
      </c>
      <c r="AV173" s="2">
        <v>15569.9150390625</v>
      </c>
      <c r="AW173" s="2">
        <v>46551.5419921875</v>
      </c>
      <c r="AX173" s="2" t="s">
        <v>83</v>
      </c>
      <c r="AY173" s="2">
        <v>516727.9296875</v>
      </c>
      <c r="AZ173" s="2">
        <v>60846.421875</v>
      </c>
      <c r="BA173" s="2">
        <v>55543.71484375</v>
      </c>
      <c r="BB173" s="2">
        <v>126186.55078125</v>
      </c>
      <c r="BC173" s="2" t="s">
        <v>98</v>
      </c>
      <c r="BD173" s="2" t="s">
        <v>98</v>
      </c>
      <c r="BE173" s="2" t="s">
        <v>98</v>
      </c>
      <c r="BF173" s="2" t="s">
        <v>98</v>
      </c>
      <c r="BG173" s="2" t="s">
        <v>98</v>
      </c>
      <c r="BH173" s="2" t="s">
        <v>79</v>
      </c>
      <c r="BI173" s="2" t="s">
        <v>91</v>
      </c>
      <c r="BJ173" s="2" t="s">
        <v>91</v>
      </c>
      <c r="BK173" s="2" t="s">
        <v>91</v>
      </c>
      <c r="BL173" s="2" t="s">
        <v>91</v>
      </c>
      <c r="BM173" s="2" t="s">
        <v>91</v>
      </c>
      <c r="BN173" s="2" t="s">
        <v>91</v>
      </c>
      <c r="BO173" s="2" t="s">
        <v>91</v>
      </c>
      <c r="BP173" s="2" t="s">
        <v>91</v>
      </c>
      <c r="BQ173" s="2" t="s">
        <v>91</v>
      </c>
      <c r="BR173" s="2" t="s">
        <v>91</v>
      </c>
      <c r="BS173" s="2" t="s">
        <v>98</v>
      </c>
      <c r="BT173" s="2" t="s">
        <v>79</v>
      </c>
      <c r="BU173" s="2" t="s">
        <v>91</v>
      </c>
      <c r="BV173" s="2" t="s">
        <v>91</v>
      </c>
      <c r="BW173" s="2" t="s">
        <v>98</v>
      </c>
      <c r="BX173" s="2" t="s">
        <v>79</v>
      </c>
      <c r="BY173" s="2" t="s">
        <v>91</v>
      </c>
      <c r="BZ173" s="2" t="s">
        <v>91</v>
      </c>
      <c r="CA173" s="2" t="s">
        <v>91</v>
      </c>
      <c r="CB173">
        <f>TTEST(AS173:AW173,AI173:AM173,2,2)</f>
        <v>0.28120592127554261</v>
      </c>
      <c r="CC173" t="e">
        <f>TTEST(AD173:AH173,AI173:AM173,2,2)</f>
        <v>#DIV/0!</v>
      </c>
      <c r="CD173">
        <f>TTEST(AN173:AR173,AI173:AM173,2,2)</f>
        <v>0.12515435812951956</v>
      </c>
      <c r="CE173">
        <f>TTEST(AX173:BB173,AI173:AM173,2,2)</f>
        <v>0.30467882775701371</v>
      </c>
      <c r="CF173">
        <v>176</v>
      </c>
      <c r="CG173">
        <v>241</v>
      </c>
      <c r="CH173">
        <v>138</v>
      </c>
      <c r="CI173">
        <v>141</v>
      </c>
      <c r="CJ173">
        <f>0.05*CF173/464</f>
        <v>1.8965517241379314E-2</v>
      </c>
      <c r="CK173">
        <f>0.05*CG173/464</f>
        <v>2.5969827586206896E-2</v>
      </c>
      <c r="CL173">
        <f>0.05*CH173/464</f>
        <v>1.4870689655172414E-2</v>
      </c>
      <c r="CM173">
        <f>0.05*CI173/464</f>
        <v>1.519396551724138E-2</v>
      </c>
      <c r="CN173" t="str">
        <f>IF(CB173&lt;CJ173,"yes","no")</f>
        <v>no</v>
      </c>
      <c r="CO173" t="e">
        <f>IF(CC173&lt;CK173,"yes","no")</f>
        <v>#DIV/0!</v>
      </c>
      <c r="CP173" t="str">
        <f>IF(CD173&lt;CL173,"yes","no")</f>
        <v>no</v>
      </c>
      <c r="CQ173" t="str">
        <f>IF(CE173&lt;CM173,"yes","no")</f>
        <v>no</v>
      </c>
      <c r="CR173" t="e">
        <f>TTEST(AS173:AW173,AD173:AH173,2,2)</f>
        <v>#DIV/0!</v>
      </c>
      <c r="CS173">
        <f>TTEST(AS173:AW173,AN173:AR173,2,2)</f>
        <v>0.87190549990871058</v>
      </c>
      <c r="CT173">
        <f>TTEST(AS173:AW173,AX173:BB173,2,2)</f>
        <v>0.25010540093596167</v>
      </c>
      <c r="CU173">
        <v>310</v>
      </c>
      <c r="CV173">
        <v>260</v>
      </c>
      <c r="CW173">
        <v>172</v>
      </c>
      <c r="CX173">
        <f t="shared" si="6"/>
        <v>3.3405172413793101E-2</v>
      </c>
      <c r="CY173">
        <f t="shared" si="7"/>
        <v>2.8017241379310345E-2</v>
      </c>
      <c r="CZ173">
        <f t="shared" si="8"/>
        <v>1.8534482758620689E-2</v>
      </c>
      <c r="DA173" t="e">
        <f>IF(CR173&lt;CX173,"yes","no")</f>
        <v>#DIV/0!</v>
      </c>
      <c r="DB173" t="str">
        <f>IF(CS173&lt;CY173,"yes","no")</f>
        <v>no</v>
      </c>
      <c r="DC173" t="str">
        <f>IF(CT173&lt;CZ173,"yes","no")</f>
        <v>no</v>
      </c>
    </row>
    <row r="174" spans="1:107" x14ac:dyDescent="0.2">
      <c r="A174" s="2" t="b">
        <v>0</v>
      </c>
      <c r="B174" s="2" t="s">
        <v>79</v>
      </c>
      <c r="C174" s="2" t="s">
        <v>80</v>
      </c>
      <c r="D174" s="2" t="s">
        <v>570</v>
      </c>
      <c r="E174" s="2" t="s">
        <v>571</v>
      </c>
      <c r="F174" s="2">
        <v>6</v>
      </c>
      <c r="G174" s="2">
        <v>6</v>
      </c>
      <c r="H174" s="2">
        <v>27.7</v>
      </c>
      <c r="I174" s="2">
        <v>7.75</v>
      </c>
      <c r="J174" s="2" t="s">
        <v>83</v>
      </c>
      <c r="K174" s="2" t="s">
        <v>514</v>
      </c>
      <c r="L174" s="2" t="s">
        <v>119</v>
      </c>
      <c r="M174" s="2" t="s">
        <v>83</v>
      </c>
      <c r="N174" s="2" t="s">
        <v>572</v>
      </c>
      <c r="O174" s="2">
        <v>4.093</v>
      </c>
      <c r="P174" s="2">
        <v>0.4</v>
      </c>
      <c r="Q174" s="2">
        <v>1.0369999999999999</v>
      </c>
      <c r="R174" s="2">
        <v>0.45100000000000001</v>
      </c>
      <c r="S174" s="2">
        <v>0.94499999999999995</v>
      </c>
      <c r="T174" s="2">
        <v>0.112</v>
      </c>
      <c r="U174" s="2">
        <v>0.41599999999999998</v>
      </c>
      <c r="V174" s="2">
        <v>0.108</v>
      </c>
      <c r="W174" s="2">
        <v>0.35099999999999998</v>
      </c>
      <c r="X174" s="2">
        <v>2.8109999999999999</v>
      </c>
      <c r="Y174" s="2">
        <v>65.8</v>
      </c>
      <c r="Z174" s="2">
        <v>189.6</v>
      </c>
      <c r="AA174" s="2">
        <v>159</v>
      </c>
      <c r="AB174" s="2">
        <v>21.4</v>
      </c>
      <c r="AC174" s="2">
        <v>64.2</v>
      </c>
      <c r="AD174" s="2">
        <v>1752593.84375</v>
      </c>
      <c r="AE174" s="2">
        <v>26655.26171875</v>
      </c>
      <c r="AF174" s="2">
        <v>1543766.5</v>
      </c>
      <c r="AG174" s="2">
        <v>5855322.171875</v>
      </c>
      <c r="AH174" s="2" t="s">
        <v>83</v>
      </c>
      <c r="AI174" s="2">
        <v>27484.4033203125</v>
      </c>
      <c r="AJ174" s="2">
        <v>95307.964355468794</v>
      </c>
      <c r="AK174" s="2">
        <v>88502.193359375</v>
      </c>
      <c r="AL174" s="2">
        <v>234225.591796875</v>
      </c>
      <c r="AM174" s="2">
        <v>78779.628417968794</v>
      </c>
      <c r="AN174" s="2">
        <v>63246.1630859375</v>
      </c>
      <c r="AO174" s="2">
        <v>74042.5791015625</v>
      </c>
      <c r="AP174" s="2">
        <v>65771.783203125</v>
      </c>
      <c r="AQ174" s="2">
        <v>62988.4970703125</v>
      </c>
      <c r="AR174" s="2">
        <v>376138.51416015602</v>
      </c>
      <c r="AS174" s="2">
        <v>74637.83203125</v>
      </c>
      <c r="AT174" s="2">
        <v>30419.6376953125</v>
      </c>
      <c r="AU174" s="2">
        <v>72453.076171875</v>
      </c>
      <c r="AV174" s="2">
        <v>106494.953125</v>
      </c>
      <c r="AW174" s="2">
        <v>13396.6484375</v>
      </c>
      <c r="AX174" s="2">
        <v>146538.39550781299</v>
      </c>
      <c r="AY174" s="2">
        <v>143670.53808593799</v>
      </c>
      <c r="AZ174" s="2" t="s">
        <v>83</v>
      </c>
      <c r="BA174" s="2">
        <v>27112.9638671875</v>
      </c>
      <c r="BB174" s="2">
        <v>78309.263671875</v>
      </c>
      <c r="BC174" s="2" t="s">
        <v>79</v>
      </c>
      <c r="BD174" s="2" t="s">
        <v>91</v>
      </c>
      <c r="BE174" s="2" t="s">
        <v>79</v>
      </c>
      <c r="BF174" s="2" t="s">
        <v>79</v>
      </c>
      <c r="BG174" s="2" t="s">
        <v>98</v>
      </c>
      <c r="BH174" s="2" t="s">
        <v>91</v>
      </c>
      <c r="BI174" s="2" t="s">
        <v>91</v>
      </c>
      <c r="BJ174" s="2" t="s">
        <v>91</v>
      </c>
      <c r="BK174" s="2" t="s">
        <v>79</v>
      </c>
      <c r="BL174" s="2" t="s">
        <v>91</v>
      </c>
      <c r="BM174" s="2" t="s">
        <v>91</v>
      </c>
      <c r="BN174" s="2" t="s">
        <v>91</v>
      </c>
      <c r="BO174" s="2" t="s">
        <v>91</v>
      </c>
      <c r="BP174" s="2" t="s">
        <v>91</v>
      </c>
      <c r="BQ174" s="2" t="s">
        <v>79</v>
      </c>
      <c r="BR174" s="2" t="s">
        <v>91</v>
      </c>
      <c r="BS174" s="2" t="s">
        <v>91</v>
      </c>
      <c r="BT174" s="2" t="s">
        <v>91</v>
      </c>
      <c r="BU174" s="2" t="s">
        <v>91</v>
      </c>
      <c r="BV174" s="2" t="s">
        <v>91</v>
      </c>
      <c r="BW174" s="2" t="s">
        <v>79</v>
      </c>
      <c r="BX174" s="2" t="s">
        <v>91</v>
      </c>
      <c r="BY174" s="2" t="s">
        <v>98</v>
      </c>
      <c r="BZ174" s="2" t="s">
        <v>91</v>
      </c>
      <c r="CA174" s="2" t="s">
        <v>91</v>
      </c>
      <c r="CB174">
        <f>TTEST(AS174:AW174,AI174:AM174,2,2)</f>
        <v>0.27008335763280744</v>
      </c>
      <c r="CC174">
        <f>TTEST(AD174:AH174,AI174:AM174,2,2)</f>
        <v>8.6003875838610064E-2</v>
      </c>
      <c r="CD174">
        <f>TTEST(AN174:AR174,AI174:AM174,2,2)</f>
        <v>0.74802331908019259</v>
      </c>
      <c r="CE174">
        <f>TTEST(AX174:BB174,AI174:AM174,2,2)</f>
        <v>0.90171346256996765</v>
      </c>
      <c r="CF174">
        <v>174</v>
      </c>
      <c r="CG174">
        <v>187</v>
      </c>
      <c r="CH174">
        <v>213</v>
      </c>
      <c r="CI174">
        <v>198</v>
      </c>
      <c r="CJ174">
        <f>0.05*CF174/464</f>
        <v>1.8750000000000003E-2</v>
      </c>
      <c r="CK174">
        <f>0.05*CG174/464</f>
        <v>2.0150862068965516E-2</v>
      </c>
      <c r="CL174">
        <f>0.05*CH174/464</f>
        <v>2.2952586206896552E-2</v>
      </c>
      <c r="CM174">
        <f>0.05*CI174/464</f>
        <v>2.1336206896551725E-2</v>
      </c>
      <c r="CN174" t="str">
        <f>IF(CB174&lt;CJ174,"yes","no")</f>
        <v>no</v>
      </c>
      <c r="CO174" t="str">
        <f>IF(CC174&lt;CK174,"yes","no")</f>
        <v>no</v>
      </c>
      <c r="CP174" t="str">
        <f>IF(CD174&lt;CL174,"yes","no")</f>
        <v>no</v>
      </c>
      <c r="CQ174" t="str">
        <f>IF(CE174&lt;CM174,"yes","no")</f>
        <v>no</v>
      </c>
      <c r="CR174">
        <f>TTEST(AS174:AW174,AD174:AH174,2,2)</f>
        <v>8.0791809465761574E-2</v>
      </c>
      <c r="CS174">
        <f>TTEST(AS174:AW174,AN174:AR174,2,2)</f>
        <v>0.31388191466275078</v>
      </c>
      <c r="CT174">
        <f>TTEST(AS174:AW174,AX174:BB174,2,2)</f>
        <v>0.25079681641417284</v>
      </c>
      <c r="CU174">
        <v>242</v>
      </c>
      <c r="CV174">
        <v>212</v>
      </c>
      <c r="CW174">
        <v>173</v>
      </c>
      <c r="CX174">
        <f t="shared" si="6"/>
        <v>2.6077586206896555E-2</v>
      </c>
      <c r="CY174">
        <f t="shared" si="7"/>
        <v>2.2844827586206901E-2</v>
      </c>
      <c r="CZ174">
        <f t="shared" si="8"/>
        <v>1.8642241379310344E-2</v>
      </c>
      <c r="DA174" t="str">
        <f>IF(CR174&lt;CX174,"yes","no")</f>
        <v>no</v>
      </c>
      <c r="DB174" t="str">
        <f>IF(CS174&lt;CY174,"yes","no")</f>
        <v>no</v>
      </c>
      <c r="DC174" t="str">
        <f>IF(CT174&lt;CZ174,"yes","no")</f>
        <v>no</v>
      </c>
    </row>
    <row r="175" spans="1:107" x14ac:dyDescent="0.2">
      <c r="A175" s="2" t="b">
        <v>0</v>
      </c>
      <c r="B175" s="2" t="s">
        <v>79</v>
      </c>
      <c r="C175" s="2" t="s">
        <v>80</v>
      </c>
      <c r="D175" s="2" t="s">
        <v>400</v>
      </c>
      <c r="E175" s="2" t="s">
        <v>401</v>
      </c>
      <c r="F175" s="2">
        <v>8</v>
      </c>
      <c r="G175" s="2">
        <v>2</v>
      </c>
      <c r="H175" s="2">
        <v>83</v>
      </c>
      <c r="I175" s="2">
        <v>5.62</v>
      </c>
      <c r="J175" s="2" t="s">
        <v>83</v>
      </c>
      <c r="K175" s="2" t="s">
        <v>83</v>
      </c>
      <c r="L175" s="2" t="s">
        <v>119</v>
      </c>
      <c r="M175" s="2" t="s">
        <v>83</v>
      </c>
      <c r="N175" s="2" t="s">
        <v>402</v>
      </c>
      <c r="O175" s="2">
        <v>2.1949999999999998</v>
      </c>
      <c r="P175" s="2">
        <v>0.62</v>
      </c>
      <c r="Q175" s="2">
        <v>1.585</v>
      </c>
      <c r="R175" s="2">
        <v>100</v>
      </c>
      <c r="S175" s="2">
        <v>100</v>
      </c>
      <c r="T175" s="2">
        <v>100</v>
      </c>
      <c r="U175" s="2">
        <v>100</v>
      </c>
      <c r="V175" s="2">
        <v>0.23799999999999999</v>
      </c>
      <c r="W175" s="2">
        <v>0.13200000000000001</v>
      </c>
      <c r="X175" s="2">
        <v>1.8740000000000001</v>
      </c>
      <c r="Y175" s="2">
        <v>69.599999999999994</v>
      </c>
      <c r="Z175" s="2" t="s">
        <v>83</v>
      </c>
      <c r="AA175" s="2">
        <v>346.2</v>
      </c>
      <c r="AB175" s="2">
        <v>34.200000000000003</v>
      </c>
      <c r="AC175" s="2">
        <v>50</v>
      </c>
      <c r="AD175" s="2">
        <v>2388709.546875</v>
      </c>
      <c r="AE175" s="2">
        <v>1620382.65625</v>
      </c>
      <c r="AF175" s="2">
        <v>1676890.1953125</v>
      </c>
      <c r="AG175" s="2">
        <v>1485896.84375</v>
      </c>
      <c r="AH175" s="2">
        <v>968030.53125</v>
      </c>
      <c r="AI175" s="2" t="s">
        <v>83</v>
      </c>
      <c r="AJ175" s="2" t="s">
        <v>83</v>
      </c>
      <c r="AK175" s="2" t="s">
        <v>83</v>
      </c>
      <c r="AL175" s="2" t="s">
        <v>83</v>
      </c>
      <c r="AM175" s="2" t="s">
        <v>83</v>
      </c>
      <c r="AN175" s="2">
        <v>163397.38720703099</v>
      </c>
      <c r="AO175" s="2">
        <v>167756.625</v>
      </c>
      <c r="AP175" s="2">
        <v>26893.634765625</v>
      </c>
      <c r="AQ175" s="2">
        <v>30676.796875</v>
      </c>
      <c r="AR175" s="2">
        <v>223664.31689453099</v>
      </c>
      <c r="AS175" s="2">
        <v>57700.1318359375</v>
      </c>
      <c r="AT175" s="2">
        <v>186707.869140625</v>
      </c>
      <c r="AU175" s="2">
        <v>221364.18066406299</v>
      </c>
      <c r="AV175" s="2">
        <v>169582.419921875</v>
      </c>
      <c r="AW175" s="2">
        <v>30894.5224609375</v>
      </c>
      <c r="AX175" s="2">
        <v>94741.403808593794</v>
      </c>
      <c r="AY175" s="2">
        <v>105482.52441406299</v>
      </c>
      <c r="AZ175" s="2" t="s">
        <v>83</v>
      </c>
      <c r="BA175" s="2">
        <v>50747.212890625</v>
      </c>
      <c r="BB175" s="2">
        <v>66601.30859375</v>
      </c>
      <c r="BC175" s="2" t="s">
        <v>79</v>
      </c>
      <c r="BD175" s="2" t="s">
        <v>79</v>
      </c>
      <c r="BE175" s="2" t="s">
        <v>91</v>
      </c>
      <c r="BF175" s="2" t="s">
        <v>79</v>
      </c>
      <c r="BG175" s="2" t="s">
        <v>79</v>
      </c>
      <c r="BH175" s="2" t="s">
        <v>98</v>
      </c>
      <c r="BI175" s="2" t="s">
        <v>98</v>
      </c>
      <c r="BJ175" s="2" t="s">
        <v>98</v>
      </c>
      <c r="BK175" s="2" t="s">
        <v>98</v>
      </c>
      <c r="BL175" s="2" t="s">
        <v>98</v>
      </c>
      <c r="BM175" s="2" t="s">
        <v>91</v>
      </c>
      <c r="BN175" s="2" t="s">
        <v>91</v>
      </c>
      <c r="BO175" s="2" t="s">
        <v>98</v>
      </c>
      <c r="BP175" s="2" t="s">
        <v>98</v>
      </c>
      <c r="BQ175" s="2" t="s">
        <v>91</v>
      </c>
      <c r="BR175" s="2" t="s">
        <v>91</v>
      </c>
      <c r="BS175" s="2" t="s">
        <v>91</v>
      </c>
      <c r="BT175" s="2" t="s">
        <v>91</v>
      </c>
      <c r="BU175" s="2" t="s">
        <v>91</v>
      </c>
      <c r="BV175" s="2" t="s">
        <v>98</v>
      </c>
      <c r="BW175" s="2" t="s">
        <v>91</v>
      </c>
      <c r="BX175" s="2" t="s">
        <v>91</v>
      </c>
      <c r="BY175" s="2" t="s">
        <v>98</v>
      </c>
      <c r="BZ175" s="2" t="s">
        <v>91</v>
      </c>
      <c r="CA175" s="2" t="s">
        <v>91</v>
      </c>
      <c r="CB175" t="e">
        <f>TTEST(AS175:AW175,AI175:AM175,2,2)</f>
        <v>#DIV/0!</v>
      </c>
      <c r="CC175" t="e">
        <f>TTEST(AD175:AH175,AI175:AM175,2,2)</f>
        <v>#DIV/0!</v>
      </c>
      <c r="CD175" t="e">
        <f>TTEST(AN175:AR175,AI175:AM175,2,2)</f>
        <v>#DIV/0!</v>
      </c>
      <c r="CE175" t="e">
        <f>TTEST(AX175:BB175,AI175:AM175,2,2)</f>
        <v>#DIV/0!</v>
      </c>
      <c r="CF175">
        <v>254</v>
      </c>
      <c r="CG175">
        <v>268</v>
      </c>
      <c r="CH175">
        <v>272</v>
      </c>
      <c r="CI175">
        <v>282</v>
      </c>
      <c r="CJ175">
        <f>0.05*CF175/464</f>
        <v>2.7370689655172416E-2</v>
      </c>
      <c r="CK175">
        <f>0.05*CG175/464</f>
        <v>2.8879310344827588E-2</v>
      </c>
      <c r="CL175">
        <f>0.05*CH175/464</f>
        <v>2.931034482758621E-2</v>
      </c>
      <c r="CM175">
        <f>0.05*CI175/464</f>
        <v>3.038793103448276E-2</v>
      </c>
      <c r="CN175" t="e">
        <f>IF(CB175&lt;CJ175,"yes","no")</f>
        <v>#DIV/0!</v>
      </c>
      <c r="CO175" t="e">
        <f>IF(CC175&lt;CK175,"yes","no")</f>
        <v>#DIV/0!</v>
      </c>
      <c r="CP175" t="e">
        <f>IF(CD175&lt;CL175,"yes","no")</f>
        <v>#DIV/0!</v>
      </c>
      <c r="CQ175" t="e">
        <f>IF(CE175&lt;CM175,"yes","no")</f>
        <v>#DIV/0!</v>
      </c>
      <c r="CR175">
        <f>TTEST(AS175:AW175,AD175:AH175,2,2)</f>
        <v>1.9263925189543418E-4</v>
      </c>
      <c r="CS175">
        <f>TTEST(AS175:AW175,AN175:AR175,2,2)</f>
        <v>0.84855823135382313</v>
      </c>
      <c r="CT175">
        <f>TTEST(AS175:AW175,AX175:BB175,2,2)</f>
        <v>0.25990058674617122</v>
      </c>
      <c r="CU175">
        <v>140</v>
      </c>
      <c r="CV175">
        <v>257</v>
      </c>
      <c r="CW175">
        <v>174</v>
      </c>
      <c r="CX175">
        <f t="shared" si="6"/>
        <v>1.5086206896551725E-2</v>
      </c>
      <c r="CY175">
        <f t="shared" si="7"/>
        <v>2.7693965517241383E-2</v>
      </c>
      <c r="CZ175">
        <f t="shared" si="8"/>
        <v>1.8750000000000003E-2</v>
      </c>
      <c r="DA175" t="str">
        <f>IF(CR175&lt;CX175,"yes","no")</f>
        <v>yes</v>
      </c>
      <c r="DB175" t="str">
        <f>IF(CS175&lt;CY175,"yes","no")</f>
        <v>no</v>
      </c>
      <c r="DC175" t="str">
        <f>IF(CT175&lt;CZ175,"yes","no")</f>
        <v>no</v>
      </c>
    </row>
    <row r="176" spans="1:107" x14ac:dyDescent="0.2">
      <c r="A176" s="2" t="b">
        <v>0</v>
      </c>
      <c r="B176" s="2" t="s">
        <v>79</v>
      </c>
      <c r="C176" s="2" t="s">
        <v>80</v>
      </c>
      <c r="D176" s="2" t="s">
        <v>802</v>
      </c>
      <c r="E176" s="2" t="s">
        <v>803</v>
      </c>
      <c r="F176" s="2">
        <v>4</v>
      </c>
      <c r="G176" s="2">
        <v>4</v>
      </c>
      <c r="H176" s="2">
        <v>41.9</v>
      </c>
      <c r="I176" s="2">
        <v>8.15</v>
      </c>
      <c r="J176" s="2" t="s">
        <v>83</v>
      </c>
      <c r="K176" s="2" t="s">
        <v>514</v>
      </c>
      <c r="L176" s="2" t="s">
        <v>119</v>
      </c>
      <c r="M176" s="2" t="s">
        <v>83</v>
      </c>
      <c r="N176" s="2" t="s">
        <v>802</v>
      </c>
      <c r="O176" s="2">
        <v>6.5339999999999998</v>
      </c>
      <c r="P176" s="2">
        <v>0.57999999999999996</v>
      </c>
      <c r="Q176" s="2">
        <v>5.7119999999999997</v>
      </c>
      <c r="R176" s="2">
        <v>0.16800000000000001</v>
      </c>
      <c r="S176" s="2">
        <v>1.3180000000000001</v>
      </c>
      <c r="T176" s="2">
        <v>5.8999999999999997E-2</v>
      </c>
      <c r="U176" s="2">
        <v>0.45300000000000001</v>
      </c>
      <c r="V176" s="2">
        <v>0.10299999999999999</v>
      </c>
      <c r="W176" s="2">
        <v>0.44500000000000001</v>
      </c>
      <c r="X176" s="2">
        <v>4.6470000000000002</v>
      </c>
      <c r="Y176" s="2">
        <v>43.1</v>
      </c>
      <c r="Z176" s="2">
        <v>211.5</v>
      </c>
      <c r="AA176" s="2">
        <v>191.9</v>
      </c>
      <c r="AB176" s="2">
        <v>10.4</v>
      </c>
      <c r="AC176" s="2">
        <v>43</v>
      </c>
      <c r="AD176" s="2">
        <v>619693.9765625</v>
      </c>
      <c r="AE176" s="2">
        <v>25866.837890625</v>
      </c>
      <c r="AF176" s="2">
        <v>353894.74609375</v>
      </c>
      <c r="AG176" s="2">
        <v>2148709.8203125</v>
      </c>
      <c r="AH176" s="2">
        <v>43921.01171875</v>
      </c>
      <c r="AI176" s="2">
        <v>42990.583984375</v>
      </c>
      <c r="AJ176" s="2" t="s">
        <v>83</v>
      </c>
      <c r="AK176" s="2">
        <v>19139.105957031301</v>
      </c>
      <c r="AL176" s="2">
        <v>73568.4296875</v>
      </c>
      <c r="AM176" s="2">
        <v>33612.42578125</v>
      </c>
      <c r="AN176" s="2" t="s">
        <v>83</v>
      </c>
      <c r="AO176" s="2">
        <v>27546.6796875</v>
      </c>
      <c r="AP176" s="2" t="s">
        <v>83</v>
      </c>
      <c r="AQ176" s="2">
        <v>54806.270996093801</v>
      </c>
      <c r="AR176" s="2">
        <v>45252.40234375</v>
      </c>
      <c r="AS176" s="2">
        <v>49765.543457031301</v>
      </c>
      <c r="AT176" s="2">
        <v>21088.394042968801</v>
      </c>
      <c r="AU176" s="2">
        <v>11638.646484375</v>
      </c>
      <c r="AV176" s="2">
        <v>24200.654296875</v>
      </c>
      <c r="AW176" s="2">
        <v>5648.44384765625</v>
      </c>
      <c r="AX176" s="2">
        <v>228652.07421875</v>
      </c>
      <c r="AY176" s="2" t="s">
        <v>83</v>
      </c>
      <c r="AZ176" s="2">
        <v>23257.51171875</v>
      </c>
      <c r="BA176" s="2" t="s">
        <v>83</v>
      </c>
      <c r="BB176" s="2">
        <v>10107.8271484375</v>
      </c>
      <c r="BC176" s="2" t="s">
        <v>79</v>
      </c>
      <c r="BD176" s="2" t="s">
        <v>91</v>
      </c>
      <c r="BE176" s="2" t="s">
        <v>79</v>
      </c>
      <c r="BF176" s="2" t="s">
        <v>79</v>
      </c>
      <c r="BG176" s="2" t="s">
        <v>91</v>
      </c>
      <c r="BH176" s="2" t="s">
        <v>91</v>
      </c>
      <c r="BI176" s="2" t="s">
        <v>98</v>
      </c>
      <c r="BJ176" s="2" t="s">
        <v>91</v>
      </c>
      <c r="BK176" s="2" t="s">
        <v>91</v>
      </c>
      <c r="BL176" s="2" t="s">
        <v>91</v>
      </c>
      <c r="BM176" s="2" t="s">
        <v>98</v>
      </c>
      <c r="BN176" s="2" t="s">
        <v>91</v>
      </c>
      <c r="BO176" s="2" t="s">
        <v>98</v>
      </c>
      <c r="BP176" s="2" t="s">
        <v>91</v>
      </c>
      <c r="BQ176" s="2" t="s">
        <v>79</v>
      </c>
      <c r="BR176" s="2" t="s">
        <v>91</v>
      </c>
      <c r="BS176" s="2" t="s">
        <v>91</v>
      </c>
      <c r="BT176" s="2" t="s">
        <v>91</v>
      </c>
      <c r="BU176" s="2" t="s">
        <v>91</v>
      </c>
      <c r="BV176" s="2" t="s">
        <v>91</v>
      </c>
      <c r="BW176" s="2" t="s">
        <v>79</v>
      </c>
      <c r="BX176" s="2" t="s">
        <v>98</v>
      </c>
      <c r="BY176" s="2" t="s">
        <v>91</v>
      </c>
      <c r="BZ176" s="2" t="s">
        <v>98</v>
      </c>
      <c r="CA176" s="2" t="s">
        <v>91</v>
      </c>
      <c r="CB176">
        <f>TTEST(AS176:AW176,AI176:AM176,2,2)</f>
        <v>0.17824632847329949</v>
      </c>
      <c r="CC176">
        <f>TTEST(AD176:AH176,AI176:AM176,2,2)</f>
        <v>0.22306801095976134</v>
      </c>
      <c r="CD176">
        <f>TTEST(AN176:AR176,AI176:AM176,2,2)</f>
        <v>0.98961702375686345</v>
      </c>
      <c r="CE176">
        <f>TTEST(AX176:BB176,AI176:AM176,2,2)</f>
        <v>0.49202531884282663</v>
      </c>
      <c r="CF176">
        <v>163</v>
      </c>
      <c r="CG176">
        <v>215</v>
      </c>
      <c r="CH176">
        <v>234</v>
      </c>
      <c r="CI176">
        <v>158</v>
      </c>
      <c r="CJ176">
        <f>0.05*CF176/464</f>
        <v>1.7564655172413794E-2</v>
      </c>
      <c r="CK176">
        <f>0.05*CG176/464</f>
        <v>2.3168103448275863E-2</v>
      </c>
      <c r="CL176">
        <f>0.05*CH176/464</f>
        <v>2.5215517241379312E-2</v>
      </c>
      <c r="CM176">
        <f>0.05*CI176/464</f>
        <v>1.7025862068965517E-2</v>
      </c>
      <c r="CN176" t="str">
        <f>IF(CB176&lt;CJ176,"yes","no")</f>
        <v>no</v>
      </c>
      <c r="CO176" t="str">
        <f>IF(CC176&lt;CK176,"yes","no")</f>
        <v>no</v>
      </c>
      <c r="CP176" t="str">
        <f>IF(CD176&lt;CL176,"yes","no")</f>
        <v>no</v>
      </c>
      <c r="CQ176" t="str">
        <f>IF(CE176&lt;CM176,"yes","no")</f>
        <v>no</v>
      </c>
      <c r="CR176">
        <f>TTEST(AS176:AW176,AD176:AH176,2,2)</f>
        <v>0.15586239299331209</v>
      </c>
      <c r="CS176">
        <f>TTEST(AS176:AW176,AN176:AR176,2,2)</f>
        <v>0.13639186184575641</v>
      </c>
      <c r="CT176">
        <f>TTEST(AS176:AW176,AX176:BB176,2,2)</f>
        <v>0.26403484561175583</v>
      </c>
      <c r="CU176">
        <v>265</v>
      </c>
      <c r="CV176">
        <v>188</v>
      </c>
      <c r="CW176">
        <v>175</v>
      </c>
      <c r="CX176">
        <f t="shared" si="6"/>
        <v>2.8556034482758622E-2</v>
      </c>
      <c r="CY176">
        <f t="shared" si="7"/>
        <v>2.0258620689655175E-2</v>
      </c>
      <c r="CZ176">
        <f t="shared" si="8"/>
        <v>1.8857758620689655E-2</v>
      </c>
      <c r="DA176" t="str">
        <f>IF(CR176&lt;CX176,"yes","no")</f>
        <v>no</v>
      </c>
      <c r="DB176" t="str">
        <f>IF(CS176&lt;CY176,"yes","no")</f>
        <v>no</v>
      </c>
      <c r="DC176" t="str">
        <f>IF(CT176&lt;CZ176,"yes","no")</f>
        <v>no</v>
      </c>
    </row>
    <row r="177" spans="1:107" x14ac:dyDescent="0.2">
      <c r="A177" s="2" t="b">
        <v>0</v>
      </c>
      <c r="B177" s="2" t="s">
        <v>79</v>
      </c>
      <c r="C177" s="2" t="s">
        <v>80</v>
      </c>
      <c r="D177" s="2" t="s">
        <v>310</v>
      </c>
      <c r="E177" s="2" t="s">
        <v>311</v>
      </c>
      <c r="F177" s="2">
        <v>4</v>
      </c>
      <c r="G177" s="2">
        <v>1</v>
      </c>
      <c r="H177" s="2">
        <v>60.3</v>
      </c>
      <c r="I177" s="2">
        <v>7.94</v>
      </c>
      <c r="J177" s="2" t="s">
        <v>228</v>
      </c>
      <c r="K177" s="2" t="s">
        <v>247</v>
      </c>
      <c r="L177" s="2" t="s">
        <v>303</v>
      </c>
      <c r="M177" s="2" t="s">
        <v>83</v>
      </c>
      <c r="N177" s="2" t="s">
        <v>312</v>
      </c>
      <c r="O177" s="2">
        <v>0.93</v>
      </c>
      <c r="P177" s="2">
        <v>1.2050000000000001</v>
      </c>
      <c r="Q177" s="2">
        <v>10.785</v>
      </c>
      <c r="R177" s="2">
        <v>1.198</v>
      </c>
      <c r="S177" s="2">
        <v>1.38</v>
      </c>
      <c r="T177" s="2">
        <v>1.288</v>
      </c>
      <c r="U177" s="2">
        <v>17.099</v>
      </c>
      <c r="V177" s="2">
        <v>0.88400000000000001</v>
      </c>
      <c r="W177" s="2">
        <v>9.6219999999999999</v>
      </c>
      <c r="X177" s="2">
        <v>9.5589999999999993</v>
      </c>
      <c r="Y177" s="2">
        <v>30.7</v>
      </c>
      <c r="Z177" s="2">
        <v>25.6</v>
      </c>
      <c r="AA177" s="2">
        <v>46</v>
      </c>
      <c r="AB177" s="2">
        <v>39.299999999999997</v>
      </c>
      <c r="AC177" s="2">
        <v>358.5</v>
      </c>
      <c r="AD177" s="2">
        <v>1043895.5</v>
      </c>
      <c r="AE177" s="2">
        <v>1347251.5839843799</v>
      </c>
      <c r="AF177" s="2">
        <v>465961.1875</v>
      </c>
      <c r="AG177" s="2">
        <v>2045468.75</v>
      </c>
      <c r="AH177" s="2">
        <v>702029.771484375</v>
      </c>
      <c r="AI177" s="2" t="s">
        <v>83</v>
      </c>
      <c r="AJ177" s="2">
        <v>16082.064453125</v>
      </c>
      <c r="AK177" s="2">
        <v>5846.56005859375</v>
      </c>
      <c r="AL177" s="2">
        <v>117494.721191406</v>
      </c>
      <c r="AM177" s="2" t="s">
        <v>83</v>
      </c>
      <c r="AN177" s="2">
        <v>7417.39599609375</v>
      </c>
      <c r="AO177" s="2" t="s">
        <v>83</v>
      </c>
      <c r="AP177" s="2">
        <v>36744.02734375</v>
      </c>
      <c r="AQ177" s="2">
        <v>29847.7734375</v>
      </c>
      <c r="AR177" s="2" t="s">
        <v>83</v>
      </c>
      <c r="AS177" s="2">
        <v>37352.234375</v>
      </c>
      <c r="AT177" s="2">
        <v>210636.111328125</v>
      </c>
      <c r="AU177" s="2">
        <v>286951.48046875</v>
      </c>
      <c r="AV177" s="2">
        <v>168780.96972656299</v>
      </c>
      <c r="AW177" s="2">
        <v>221586.18017578099</v>
      </c>
      <c r="AX177" s="2">
        <v>517951.59033203102</v>
      </c>
      <c r="AY177" s="2">
        <v>8093858.60546875</v>
      </c>
      <c r="AZ177" s="2">
        <v>751142.046875</v>
      </c>
      <c r="BA177" s="2">
        <v>357326.921875</v>
      </c>
      <c r="BB177" s="2">
        <v>274270.07861328102</v>
      </c>
      <c r="BC177" s="2" t="s">
        <v>79</v>
      </c>
      <c r="BD177" s="2" t="s">
        <v>79</v>
      </c>
      <c r="BE177" s="2" t="s">
        <v>79</v>
      </c>
      <c r="BF177" s="2" t="s">
        <v>79</v>
      </c>
      <c r="BG177" s="2" t="s">
        <v>79</v>
      </c>
      <c r="BH177" s="2" t="s">
        <v>98</v>
      </c>
      <c r="BI177" s="2" t="s">
        <v>91</v>
      </c>
      <c r="BJ177" s="2" t="s">
        <v>91</v>
      </c>
      <c r="BK177" s="2" t="s">
        <v>79</v>
      </c>
      <c r="BL177" s="2" t="s">
        <v>98</v>
      </c>
      <c r="BM177" s="2" t="s">
        <v>91</v>
      </c>
      <c r="BN177" s="2" t="s">
        <v>98</v>
      </c>
      <c r="BO177" s="2" t="s">
        <v>79</v>
      </c>
      <c r="BP177" s="2" t="s">
        <v>79</v>
      </c>
      <c r="BQ177" s="2" t="s">
        <v>98</v>
      </c>
      <c r="BR177" s="2" t="s">
        <v>79</v>
      </c>
      <c r="BS177" s="2" t="s">
        <v>79</v>
      </c>
      <c r="BT177" s="2" t="s">
        <v>79</v>
      </c>
      <c r="BU177" s="2" t="s">
        <v>79</v>
      </c>
      <c r="BV177" s="2" t="s">
        <v>79</v>
      </c>
      <c r="BW177" s="2" t="s">
        <v>79</v>
      </c>
      <c r="BX177" s="2" t="s">
        <v>79</v>
      </c>
      <c r="BY177" s="2" t="s">
        <v>79</v>
      </c>
      <c r="BZ177" s="2" t="s">
        <v>79</v>
      </c>
      <c r="CA177" s="2" t="s">
        <v>79</v>
      </c>
      <c r="CB177">
        <f>TTEST(AS177:AW177,AI177:AM177,2,2)</f>
        <v>6.399662062913733E-2</v>
      </c>
      <c r="CC177">
        <f>TTEST(AD177:AH177,AI177:AM177,2,2)</f>
        <v>2.6658160834207276E-2</v>
      </c>
      <c r="CD177">
        <f>TTEST(AN177:AR177,AI177:AM177,2,2)</f>
        <v>0.58455360283031321</v>
      </c>
      <c r="CE177">
        <f>TTEST(AX177:BB177,AI177:AM177,2,2)</f>
        <v>0.37432889797595814</v>
      </c>
      <c r="CF177">
        <v>154</v>
      </c>
      <c r="CG177">
        <v>173</v>
      </c>
      <c r="CH177">
        <v>196</v>
      </c>
      <c r="CI177">
        <v>145</v>
      </c>
      <c r="CJ177">
        <f>0.05*CF177/464</f>
        <v>1.6594827586206898E-2</v>
      </c>
      <c r="CK177">
        <f>0.05*CG177/464</f>
        <v>1.8642241379310344E-2</v>
      </c>
      <c r="CL177">
        <f>0.05*CH177/464</f>
        <v>2.1120689655172414E-2</v>
      </c>
      <c r="CM177">
        <f>0.05*CI177/464</f>
        <v>1.5625E-2</v>
      </c>
      <c r="CN177" t="str">
        <f>IF(CB177&lt;CJ177,"yes","no")</f>
        <v>no</v>
      </c>
      <c r="CO177" t="str">
        <f>IF(CC177&lt;CK177,"yes","no")</f>
        <v>no</v>
      </c>
      <c r="CP177" t="str">
        <f>IF(CD177&lt;CL177,"yes","no")</f>
        <v>no</v>
      </c>
      <c r="CQ177" t="str">
        <f>IF(CE177&lt;CM177,"yes","no")</f>
        <v>no</v>
      </c>
      <c r="CR177">
        <f>TTEST(AS177:AW177,AD177:AH177,2,2)</f>
        <v>9.9200704749482591E-3</v>
      </c>
      <c r="CS177">
        <f>TTEST(AS177:AW177,AN177:AR177,2,2)</f>
        <v>2.8104041076505364E-2</v>
      </c>
      <c r="CT177">
        <f>TTEST(AS177:AW177,AX177:BB177,2,2)</f>
        <v>0.2688059888668265</v>
      </c>
      <c r="CU177">
        <v>193</v>
      </c>
      <c r="CV177">
        <v>154</v>
      </c>
      <c r="CW177">
        <v>176</v>
      </c>
      <c r="CX177">
        <f t="shared" si="6"/>
        <v>2.0797413793103448E-2</v>
      </c>
      <c r="CY177">
        <f t="shared" si="7"/>
        <v>1.6594827586206898E-2</v>
      </c>
      <c r="CZ177">
        <f t="shared" si="8"/>
        <v>1.8965517241379314E-2</v>
      </c>
      <c r="DA177" t="str">
        <f>IF(CR177&lt;CX177,"yes","no")</f>
        <v>yes</v>
      </c>
      <c r="DB177" t="str">
        <f>IF(CS177&lt;CY177,"yes","no")</f>
        <v>no</v>
      </c>
      <c r="DC177" t="str">
        <f>IF(CT177&lt;CZ177,"yes","no")</f>
        <v>no</v>
      </c>
    </row>
    <row r="178" spans="1:107" x14ac:dyDescent="0.2">
      <c r="A178" s="2" t="b">
        <v>0</v>
      </c>
      <c r="B178" s="2" t="s">
        <v>79</v>
      </c>
      <c r="C178" s="2" t="s">
        <v>80</v>
      </c>
      <c r="D178" s="2" t="s">
        <v>652</v>
      </c>
      <c r="E178" s="2" t="s">
        <v>653</v>
      </c>
      <c r="F178" s="2">
        <v>4</v>
      </c>
      <c r="G178" s="2">
        <v>4</v>
      </c>
      <c r="H178" s="2">
        <v>36.6</v>
      </c>
      <c r="I178" s="2">
        <v>6.05</v>
      </c>
      <c r="J178" s="2" t="s">
        <v>135</v>
      </c>
      <c r="K178" s="2" t="s">
        <v>654</v>
      </c>
      <c r="L178" s="2" t="s">
        <v>119</v>
      </c>
      <c r="M178" s="2" t="s">
        <v>83</v>
      </c>
      <c r="N178" s="2" t="s">
        <v>655</v>
      </c>
      <c r="O178" s="2">
        <v>2.2029999999999998</v>
      </c>
      <c r="P178" s="2">
        <v>0.21</v>
      </c>
      <c r="Q178" s="2">
        <v>0.79500000000000004</v>
      </c>
      <c r="R178" s="2">
        <v>0.41599999999999998</v>
      </c>
      <c r="S178" s="2">
        <v>0.38800000000000001</v>
      </c>
      <c r="T178" s="2">
        <v>0.113</v>
      </c>
      <c r="U178" s="2">
        <v>0.36299999999999999</v>
      </c>
      <c r="V178" s="2">
        <v>0.121</v>
      </c>
      <c r="W178" s="2">
        <v>0.39900000000000002</v>
      </c>
      <c r="X178" s="2">
        <v>3.601</v>
      </c>
      <c r="Y178" s="2">
        <v>97.4</v>
      </c>
      <c r="Z178" s="2">
        <v>273.60000000000002</v>
      </c>
      <c r="AA178" s="2">
        <v>76.7</v>
      </c>
      <c r="AB178" s="2">
        <v>14.5</v>
      </c>
      <c r="AC178" s="2">
        <v>37.700000000000003</v>
      </c>
      <c r="AD178" s="2">
        <v>1024336.390625</v>
      </c>
      <c r="AE178" s="2" t="s">
        <v>83</v>
      </c>
      <c r="AF178" s="2">
        <v>1227871.46875</v>
      </c>
      <c r="AG178" s="2">
        <v>4981205.125</v>
      </c>
      <c r="AH178" s="2">
        <v>38194.73828125</v>
      </c>
      <c r="AI178" s="2">
        <v>51385.583496093801</v>
      </c>
      <c r="AJ178" s="2">
        <v>52852.224365234397</v>
      </c>
      <c r="AK178" s="2">
        <v>54547.803222656301</v>
      </c>
      <c r="AL178" s="2">
        <v>123032.16015625</v>
      </c>
      <c r="AM178" s="2">
        <v>61482.524902343801</v>
      </c>
      <c r="AN178" s="2">
        <v>8310.62109375</v>
      </c>
      <c r="AO178" s="2">
        <v>14960.21484375</v>
      </c>
      <c r="AP178" s="2">
        <v>12489.3544921875</v>
      </c>
      <c r="AQ178" s="2">
        <v>19341.638671875</v>
      </c>
      <c r="AR178" s="2">
        <v>190187.13964843799</v>
      </c>
      <c r="AS178" s="2">
        <v>23483.580078125</v>
      </c>
      <c r="AT178" s="2">
        <v>23072.734375</v>
      </c>
      <c r="AU178" s="2">
        <v>23204.2119140625</v>
      </c>
      <c r="AV178" s="2">
        <v>17868.474609375</v>
      </c>
      <c r="AW178" s="2">
        <v>27018.678222656301</v>
      </c>
      <c r="AX178" s="2">
        <v>155959.69238281299</v>
      </c>
      <c r="AY178" s="2">
        <v>8652.1083984375</v>
      </c>
      <c r="AZ178" s="2">
        <v>6752.3251953125</v>
      </c>
      <c r="BA178" s="2">
        <v>21617.780761718801</v>
      </c>
      <c r="BB178" s="2">
        <v>97935.82421875</v>
      </c>
      <c r="BC178" s="2" t="s">
        <v>79</v>
      </c>
      <c r="BD178" s="2" t="s">
        <v>98</v>
      </c>
      <c r="BE178" s="2" t="s">
        <v>79</v>
      </c>
      <c r="BF178" s="2" t="s">
        <v>79</v>
      </c>
      <c r="BG178" s="2" t="s">
        <v>91</v>
      </c>
      <c r="BH178" s="2" t="s">
        <v>91</v>
      </c>
      <c r="BI178" s="2" t="s">
        <v>91</v>
      </c>
      <c r="BJ178" s="2" t="s">
        <v>91</v>
      </c>
      <c r="BK178" s="2" t="s">
        <v>91</v>
      </c>
      <c r="BL178" s="2" t="s">
        <v>91</v>
      </c>
      <c r="BM178" s="2" t="s">
        <v>91</v>
      </c>
      <c r="BN178" s="2" t="s">
        <v>91</v>
      </c>
      <c r="BO178" s="2" t="s">
        <v>91</v>
      </c>
      <c r="BP178" s="2" t="s">
        <v>91</v>
      </c>
      <c r="BQ178" s="2" t="s">
        <v>79</v>
      </c>
      <c r="BR178" s="2" t="s">
        <v>91</v>
      </c>
      <c r="BS178" s="2" t="s">
        <v>91</v>
      </c>
      <c r="BT178" s="2" t="s">
        <v>91</v>
      </c>
      <c r="BU178" s="2" t="s">
        <v>91</v>
      </c>
      <c r="BV178" s="2" t="s">
        <v>91</v>
      </c>
      <c r="BW178" s="2" t="s">
        <v>91</v>
      </c>
      <c r="BX178" s="2" t="s">
        <v>91</v>
      </c>
      <c r="BY178" s="2" t="s">
        <v>91</v>
      </c>
      <c r="BZ178" s="2" t="s">
        <v>91</v>
      </c>
      <c r="CA178" s="2" t="s">
        <v>79</v>
      </c>
      <c r="CB178">
        <f>TTEST(AS178:AW178,AI178:AM178,2,2)</f>
        <v>1.0563630495744658E-2</v>
      </c>
      <c r="CC178">
        <f>TTEST(AD178:AH178,AI178:AM178,2,2)</f>
        <v>0.10934920811870412</v>
      </c>
      <c r="CD178">
        <f>TTEST(AN178:AR178,AI178:AM178,2,2)</f>
        <v>0.61892887123059404</v>
      </c>
      <c r="CE178">
        <f>TTEST(AX178:BB178,AI178:AM178,2,2)</f>
        <v>0.75658784090091258</v>
      </c>
      <c r="CF178">
        <v>133</v>
      </c>
      <c r="CG178">
        <v>194</v>
      </c>
      <c r="CH178">
        <v>198</v>
      </c>
      <c r="CI178">
        <v>188</v>
      </c>
      <c r="CJ178">
        <f>0.05*CF178/464</f>
        <v>1.4331896551724139E-2</v>
      </c>
      <c r="CK178">
        <f>0.05*CG178/464</f>
        <v>2.0905172413793107E-2</v>
      </c>
      <c r="CL178">
        <f>0.05*CH178/464</f>
        <v>2.1336206896551725E-2</v>
      </c>
      <c r="CM178">
        <f>0.05*CI178/464</f>
        <v>2.0258620689655175E-2</v>
      </c>
      <c r="CN178" t="str">
        <f>IF(CB178&lt;CJ178,"yes","no")</f>
        <v>yes</v>
      </c>
      <c r="CO178" t="str">
        <f>IF(CC178&lt;CK178,"yes","no")</f>
        <v>no</v>
      </c>
      <c r="CP178" t="str">
        <f>IF(CD178&lt;CL178,"yes","no")</f>
        <v>no</v>
      </c>
      <c r="CQ178" t="str">
        <f>IF(CE178&lt;CM178,"yes","no")</f>
        <v>no</v>
      </c>
      <c r="CR178">
        <f>TTEST(AS178:AW178,AD178:AH178,2,2)</f>
        <v>0.10188193793102644</v>
      </c>
      <c r="CS178">
        <f>TTEST(AS178:AW178,AN178:AR178,2,2)</f>
        <v>0.48104345273128946</v>
      </c>
      <c r="CT178">
        <f>TTEST(AS178:AW178,AX178:BB178,2,2)</f>
        <v>0.26898603025686912</v>
      </c>
      <c r="CU178">
        <v>247</v>
      </c>
      <c r="CV178">
        <v>227</v>
      </c>
      <c r="CW178">
        <v>177</v>
      </c>
      <c r="CX178">
        <f t="shared" si="6"/>
        <v>2.6616379310344832E-2</v>
      </c>
      <c r="CY178">
        <f t="shared" si="7"/>
        <v>2.4461206896551728E-2</v>
      </c>
      <c r="CZ178">
        <f t="shared" si="8"/>
        <v>1.9073275862068965E-2</v>
      </c>
      <c r="DA178" t="str">
        <f>IF(CR178&lt;CX178,"yes","no")</f>
        <v>no</v>
      </c>
      <c r="DB178" t="str">
        <f>IF(CS178&lt;CY178,"yes","no")</f>
        <v>no</v>
      </c>
      <c r="DC178" t="str">
        <f>IF(CT178&lt;CZ178,"yes","no")</f>
        <v>no</v>
      </c>
    </row>
    <row r="179" spans="1:107" x14ac:dyDescent="0.2">
      <c r="A179" s="2" t="b">
        <v>0</v>
      </c>
      <c r="B179" s="2" t="s">
        <v>79</v>
      </c>
      <c r="C179" s="2" t="s">
        <v>80</v>
      </c>
      <c r="D179" s="2" t="s">
        <v>287</v>
      </c>
      <c r="E179" s="2" t="s">
        <v>288</v>
      </c>
      <c r="F179" s="2">
        <v>24</v>
      </c>
      <c r="G179" s="2">
        <v>24</v>
      </c>
      <c r="H179" s="2">
        <v>332.2</v>
      </c>
      <c r="I179" s="2">
        <v>6.83</v>
      </c>
      <c r="J179" s="2" t="s">
        <v>289</v>
      </c>
      <c r="K179" s="2" t="s">
        <v>145</v>
      </c>
      <c r="L179" s="2" t="s">
        <v>119</v>
      </c>
      <c r="M179" s="2" t="s">
        <v>290</v>
      </c>
      <c r="N179" s="2" t="s">
        <v>291</v>
      </c>
      <c r="O179" s="2">
        <v>18.863</v>
      </c>
      <c r="P179" s="2">
        <v>3.214</v>
      </c>
      <c r="Q179" s="2">
        <v>20.306999999999999</v>
      </c>
      <c r="R179" s="2">
        <v>3.4000000000000002E-2</v>
      </c>
      <c r="S179" s="2">
        <v>0.92800000000000005</v>
      </c>
      <c r="T179" s="2">
        <v>0.16800000000000001</v>
      </c>
      <c r="U179" s="2">
        <v>1.2350000000000001</v>
      </c>
      <c r="V179" s="2">
        <v>0.183</v>
      </c>
      <c r="W179" s="2">
        <v>1.002</v>
      </c>
      <c r="X179" s="2">
        <v>6.6070000000000002</v>
      </c>
      <c r="Y179" s="2">
        <v>6</v>
      </c>
      <c r="Z179" s="2">
        <v>137.19999999999999</v>
      </c>
      <c r="AA179" s="2">
        <v>199.3</v>
      </c>
      <c r="AB179" s="2">
        <v>22</v>
      </c>
      <c r="AC179" s="2">
        <v>135.6</v>
      </c>
      <c r="AD179" s="2">
        <v>775866.25878906297</v>
      </c>
      <c r="AE179" s="2">
        <v>649329.61035156297</v>
      </c>
      <c r="AF179" s="2">
        <v>134234.173828125</v>
      </c>
      <c r="AG179" s="2">
        <v>877863.185546875</v>
      </c>
      <c r="AH179" s="2">
        <v>491505.69140625</v>
      </c>
      <c r="AI179" s="2">
        <v>329558.77783203102</v>
      </c>
      <c r="AJ179" s="2">
        <v>540710.98364257801</v>
      </c>
      <c r="AK179" s="2">
        <v>242386.472412109</v>
      </c>
      <c r="AL179" s="2">
        <v>2717698.68115234</v>
      </c>
      <c r="AM179" s="2">
        <v>256994.73535156299</v>
      </c>
      <c r="AN179" s="2">
        <v>204569.62109375</v>
      </c>
      <c r="AO179" s="2">
        <v>146304.73681640599</v>
      </c>
      <c r="AP179" s="2">
        <v>646636.59912109398</v>
      </c>
      <c r="AQ179" s="2">
        <v>655080.15112304699</v>
      </c>
      <c r="AR179" s="2">
        <v>572261.60205078102</v>
      </c>
      <c r="AS179" s="2">
        <v>197743.56640625</v>
      </c>
      <c r="AT179" s="2">
        <v>266209.521484375</v>
      </c>
      <c r="AU179" s="2">
        <v>906661.83056640602</v>
      </c>
      <c r="AV179" s="2">
        <v>506670.98339843802</v>
      </c>
      <c r="AW179" s="2">
        <v>399868.376953125</v>
      </c>
      <c r="AX179" s="2">
        <v>553977.74755859398</v>
      </c>
      <c r="AY179" s="2">
        <v>6068578.0419921903</v>
      </c>
      <c r="AZ179" s="2">
        <v>567759.583984375</v>
      </c>
      <c r="BA179" s="2">
        <v>761861.71972656297</v>
      </c>
      <c r="BB179" s="2">
        <v>743791.62548828102</v>
      </c>
      <c r="BC179" s="2" t="s">
        <v>91</v>
      </c>
      <c r="BD179" s="2" t="s">
        <v>79</v>
      </c>
      <c r="BE179" s="2" t="s">
        <v>91</v>
      </c>
      <c r="BF179" s="2" t="s">
        <v>79</v>
      </c>
      <c r="BG179" s="2" t="s">
        <v>91</v>
      </c>
      <c r="BH179" s="2" t="s">
        <v>79</v>
      </c>
      <c r="BI179" s="2" t="s">
        <v>79</v>
      </c>
      <c r="BJ179" s="2" t="s">
        <v>79</v>
      </c>
      <c r="BK179" s="2" t="s">
        <v>79</v>
      </c>
      <c r="BL179" s="2" t="s">
        <v>79</v>
      </c>
      <c r="BM179" s="2" t="s">
        <v>79</v>
      </c>
      <c r="BN179" s="2" t="s">
        <v>91</v>
      </c>
      <c r="BO179" s="2" t="s">
        <v>79</v>
      </c>
      <c r="BP179" s="2" t="s">
        <v>79</v>
      </c>
      <c r="BQ179" s="2" t="s">
        <v>79</v>
      </c>
      <c r="BR179" s="2" t="s">
        <v>91</v>
      </c>
      <c r="BS179" s="2" t="s">
        <v>79</v>
      </c>
      <c r="BT179" s="2" t="s">
        <v>79</v>
      </c>
      <c r="BU179" s="2" t="s">
        <v>79</v>
      </c>
      <c r="BV179" s="2" t="s">
        <v>79</v>
      </c>
      <c r="BW179" s="2" t="s">
        <v>91</v>
      </c>
      <c r="BX179" s="2" t="s">
        <v>79</v>
      </c>
      <c r="BY179" s="2" t="s">
        <v>91</v>
      </c>
      <c r="BZ179" s="2" t="s">
        <v>79</v>
      </c>
      <c r="CA179" s="2" t="s">
        <v>79</v>
      </c>
      <c r="CB179">
        <f>TTEST(AS179:AW179,AI179:AM179,2,2)</f>
        <v>0.48460481815690626</v>
      </c>
      <c r="CC179">
        <f>TTEST(AD179:AH179,AI179:AM179,2,2)</f>
        <v>0.65246640181978754</v>
      </c>
      <c r="CD179">
        <f>TTEST(AN179:AR179,AI179:AM179,2,2)</f>
        <v>0.4696740562400703</v>
      </c>
      <c r="CE179">
        <f>TTEST(AX179:BB179,AI179:AM179,2,2)</f>
        <v>0.45868736291342471</v>
      </c>
      <c r="CF179">
        <v>200</v>
      </c>
      <c r="CG179">
        <v>231</v>
      </c>
      <c r="CH179">
        <v>181</v>
      </c>
      <c r="CI179">
        <v>155</v>
      </c>
      <c r="CJ179">
        <f>0.05*CF179/464</f>
        <v>2.1551724137931036E-2</v>
      </c>
      <c r="CK179">
        <f>0.05*CG179/464</f>
        <v>2.4892241379310346E-2</v>
      </c>
      <c r="CL179">
        <f>0.05*CH179/464</f>
        <v>1.9504310344827587E-2</v>
      </c>
      <c r="CM179">
        <f>0.05*CI179/464</f>
        <v>1.670258620689655E-2</v>
      </c>
      <c r="CN179" t="str">
        <f>IF(CB179&lt;CJ179,"yes","no")</f>
        <v>no</v>
      </c>
      <c r="CO179" t="str">
        <f>IF(CC179&lt;CK179,"yes","no")</f>
        <v>no</v>
      </c>
      <c r="CP179" t="str">
        <f>IF(CD179&lt;CL179,"yes","no")</f>
        <v>no</v>
      </c>
      <c r="CQ179" t="str">
        <f>IF(CE179&lt;CM179,"yes","no")</f>
        <v>no</v>
      </c>
      <c r="CR179">
        <f>TTEST(AS179:AW179,AD179:AH179,2,2)</f>
        <v>0.49024626609718269</v>
      </c>
      <c r="CS179">
        <f>TTEST(AS179:AW179,AN179:AR179,2,2)</f>
        <v>0.95166872972523309</v>
      </c>
      <c r="CT179">
        <f>TTEST(AS179:AW179,AX179:BB179,2,2)</f>
        <v>0.27288719993572408</v>
      </c>
      <c r="CU179">
        <v>291</v>
      </c>
      <c r="CV179">
        <v>272</v>
      </c>
      <c r="CW179">
        <v>178</v>
      </c>
      <c r="CX179">
        <f t="shared" si="6"/>
        <v>3.1357758620689659E-2</v>
      </c>
      <c r="CY179">
        <f t="shared" si="7"/>
        <v>2.931034482758621E-2</v>
      </c>
      <c r="CZ179">
        <f t="shared" si="8"/>
        <v>1.9181034482758621E-2</v>
      </c>
      <c r="DA179" t="str">
        <f>IF(CR179&lt;CX179,"yes","no")</f>
        <v>no</v>
      </c>
      <c r="DB179" t="str">
        <f>IF(CS179&lt;CY179,"yes","no")</f>
        <v>no</v>
      </c>
      <c r="DC179" t="str">
        <f>IF(CT179&lt;CZ179,"yes","no")</f>
        <v>no</v>
      </c>
    </row>
    <row r="180" spans="1:107" x14ac:dyDescent="0.2">
      <c r="A180" s="2" t="b">
        <v>0</v>
      </c>
      <c r="B180" s="2" t="s">
        <v>79</v>
      </c>
      <c r="C180" s="2" t="s">
        <v>80</v>
      </c>
      <c r="D180" s="2" t="s">
        <v>1683</v>
      </c>
      <c r="E180" s="2" t="s">
        <v>1684</v>
      </c>
      <c r="F180" s="2">
        <v>1</v>
      </c>
      <c r="G180" s="2">
        <v>1</v>
      </c>
      <c r="H180" s="2">
        <v>50.4</v>
      </c>
      <c r="I180" s="2">
        <v>8.5299999999999994</v>
      </c>
      <c r="J180" s="2" t="s">
        <v>135</v>
      </c>
      <c r="K180" s="2" t="s">
        <v>845</v>
      </c>
      <c r="L180" s="2" t="s">
        <v>119</v>
      </c>
      <c r="M180" s="2" t="s">
        <v>1685</v>
      </c>
      <c r="N180" s="2" t="s">
        <v>1683</v>
      </c>
      <c r="O180" s="2">
        <v>16.66</v>
      </c>
      <c r="P180" s="2">
        <v>3.754</v>
      </c>
      <c r="Q180" s="2">
        <v>7.0030000000000001</v>
      </c>
      <c r="R180" s="2">
        <v>0.17599999999999999</v>
      </c>
      <c r="S180" s="2">
        <v>2.976</v>
      </c>
      <c r="T180" s="2">
        <v>0.69699999999999995</v>
      </c>
      <c r="U180" s="2">
        <v>1.6379999999999999</v>
      </c>
      <c r="V180" s="2">
        <v>0.223</v>
      </c>
      <c r="W180" s="2">
        <v>0.51</v>
      </c>
      <c r="X180" s="2">
        <v>2.4889999999999999</v>
      </c>
      <c r="Y180" s="2">
        <v>13.6</v>
      </c>
      <c r="Z180" s="2">
        <v>77.400000000000006</v>
      </c>
      <c r="AA180" s="2">
        <v>226.9</v>
      </c>
      <c r="AB180" s="2">
        <v>51.1</v>
      </c>
      <c r="AC180" s="2">
        <v>131</v>
      </c>
      <c r="AD180" s="2">
        <v>22855.775390625</v>
      </c>
      <c r="AE180" s="2">
        <v>34851.609375</v>
      </c>
      <c r="AF180" s="2" t="s">
        <v>83</v>
      </c>
      <c r="AG180" s="2">
        <v>233818.92578125</v>
      </c>
      <c r="AH180" s="2" t="s">
        <v>83</v>
      </c>
      <c r="AI180" s="2">
        <v>4704.080078125</v>
      </c>
      <c r="AJ180" s="2">
        <v>2976.31640625</v>
      </c>
      <c r="AK180" s="2">
        <v>4485.0517578125</v>
      </c>
      <c r="AL180" s="2">
        <v>4167.216796875</v>
      </c>
      <c r="AM180" s="2">
        <v>4562.4765625</v>
      </c>
      <c r="AN180" s="2">
        <v>10058.1494140625</v>
      </c>
      <c r="AO180" s="2">
        <v>8442.658203125</v>
      </c>
      <c r="AP180" s="2">
        <v>19204.048339843801</v>
      </c>
      <c r="AQ180" s="2">
        <v>8687.7119140625</v>
      </c>
      <c r="AR180" s="2">
        <v>20813.16015625</v>
      </c>
      <c r="AS180" s="2">
        <v>21373.087890625</v>
      </c>
      <c r="AT180" s="2">
        <v>38905.37109375</v>
      </c>
      <c r="AU180" s="2">
        <v>13955.9833984375</v>
      </c>
      <c r="AV180" s="2">
        <v>20612.515625</v>
      </c>
      <c r="AW180" s="2">
        <v>20067.41015625</v>
      </c>
      <c r="AX180" s="2">
        <v>21897.375</v>
      </c>
      <c r="AY180" s="2">
        <v>10705.56640625</v>
      </c>
      <c r="AZ180" s="2">
        <v>20888.984375</v>
      </c>
      <c r="BA180" s="2">
        <v>20612.21875</v>
      </c>
      <c r="BB180" s="2">
        <v>12616.58203125</v>
      </c>
      <c r="BC180" s="2" t="s">
        <v>91</v>
      </c>
      <c r="BD180" s="2" t="s">
        <v>91</v>
      </c>
      <c r="BE180" s="2" t="s">
        <v>98</v>
      </c>
      <c r="BF180" s="2" t="s">
        <v>79</v>
      </c>
      <c r="BG180" s="2" t="s">
        <v>98</v>
      </c>
      <c r="BH180" s="2" t="s">
        <v>91</v>
      </c>
      <c r="BI180" s="2" t="s">
        <v>91</v>
      </c>
      <c r="BJ180" s="2" t="s">
        <v>91</v>
      </c>
      <c r="BK180" s="2" t="s">
        <v>91</v>
      </c>
      <c r="BL180" s="2" t="s">
        <v>91</v>
      </c>
      <c r="BM180" s="2" t="s">
        <v>91</v>
      </c>
      <c r="BN180" s="2" t="s">
        <v>91</v>
      </c>
      <c r="BO180" s="2" t="s">
        <v>91</v>
      </c>
      <c r="BP180" s="2" t="s">
        <v>91</v>
      </c>
      <c r="BQ180" s="2" t="s">
        <v>91</v>
      </c>
      <c r="BR180" s="2" t="s">
        <v>91</v>
      </c>
      <c r="BS180" s="2" t="s">
        <v>91</v>
      </c>
      <c r="BT180" s="2" t="s">
        <v>91</v>
      </c>
      <c r="BU180" s="2" t="s">
        <v>91</v>
      </c>
      <c r="BV180" s="2" t="s">
        <v>79</v>
      </c>
      <c r="BW180" s="2" t="s">
        <v>91</v>
      </c>
      <c r="BX180" s="2" t="s">
        <v>91</v>
      </c>
      <c r="BY180" s="2" t="s">
        <v>91</v>
      </c>
      <c r="BZ180" s="2" t="s">
        <v>91</v>
      </c>
      <c r="CA180" s="2" t="s">
        <v>91</v>
      </c>
      <c r="CB180">
        <f>TTEST(AS180:AW180,AI180:AM180,2,2)</f>
        <v>2.0790633251795967E-3</v>
      </c>
      <c r="CC180">
        <f>TTEST(AD180:AH180,AI180:AM180,2,2)</f>
        <v>0.11200895421482786</v>
      </c>
      <c r="CD180">
        <f>TTEST(AN180:AR180,AI180:AM180,2,2)</f>
        <v>9.3803317926190316E-3</v>
      </c>
      <c r="CE180">
        <f>TTEST(AX180:BB180,AI180:AM180,2,2)</f>
        <v>5.3824274227261639E-4</v>
      </c>
      <c r="CF180">
        <v>108</v>
      </c>
      <c r="CG180">
        <v>195</v>
      </c>
      <c r="CH180">
        <v>94</v>
      </c>
      <c r="CI180">
        <v>49</v>
      </c>
      <c r="CJ180">
        <f>0.05*CF180/464</f>
        <v>1.1637931034482759E-2</v>
      </c>
      <c r="CK180">
        <f>0.05*CG180/464</f>
        <v>2.1012931034482759E-2</v>
      </c>
      <c r="CL180">
        <f>0.05*CH180/464</f>
        <v>1.0129310344827587E-2</v>
      </c>
      <c r="CM180">
        <f>0.05*CI180/464</f>
        <v>5.2801724137931036E-3</v>
      </c>
      <c r="CN180" t="str">
        <f>IF(CB180&lt;CJ180,"yes","no")</f>
        <v>yes</v>
      </c>
      <c r="CO180" t="str">
        <f>IF(CC180&lt;CK180,"yes","no")</f>
        <v>no</v>
      </c>
      <c r="CP180" t="str">
        <f>IF(CD180&lt;CL180,"yes","no")</f>
        <v>yes</v>
      </c>
      <c r="CQ180" t="str">
        <f>IF(CE180&lt;CM180,"yes","no")</f>
        <v>yes</v>
      </c>
      <c r="CR180">
        <f>TTEST(AS180:AW180,AD180:AH180,2,2)</f>
        <v>0.19043934362052048</v>
      </c>
      <c r="CS180">
        <f>TTEST(AS180:AW180,AN180:AR180,2,2)</f>
        <v>9.2304352921750182E-2</v>
      </c>
      <c r="CT180">
        <f>TTEST(AS180:AW180,AX180:BB180,2,2)</f>
        <v>0.27451453529868453</v>
      </c>
      <c r="CU180">
        <v>272</v>
      </c>
      <c r="CV180">
        <v>177</v>
      </c>
      <c r="CW180">
        <v>179</v>
      </c>
      <c r="CX180">
        <f t="shared" si="6"/>
        <v>2.931034482758621E-2</v>
      </c>
      <c r="CY180">
        <f t="shared" si="7"/>
        <v>1.9073275862068965E-2</v>
      </c>
      <c r="CZ180">
        <f t="shared" si="8"/>
        <v>1.928879310344828E-2</v>
      </c>
      <c r="DA180" t="str">
        <f>IF(CR180&lt;CX180,"yes","no")</f>
        <v>no</v>
      </c>
      <c r="DB180" t="str">
        <f>IF(CS180&lt;CY180,"yes","no")</f>
        <v>no</v>
      </c>
      <c r="DC180" t="str">
        <f>IF(CT180&lt;CZ180,"yes","no")</f>
        <v>no</v>
      </c>
    </row>
    <row r="181" spans="1:107" x14ac:dyDescent="0.2">
      <c r="A181" s="2" t="b">
        <v>0</v>
      </c>
      <c r="B181" s="2" t="s">
        <v>79</v>
      </c>
      <c r="C181" s="2" t="s">
        <v>80</v>
      </c>
      <c r="D181" s="2" t="s">
        <v>931</v>
      </c>
      <c r="E181" s="2" t="s">
        <v>932</v>
      </c>
      <c r="F181" s="2">
        <v>5</v>
      </c>
      <c r="G181" s="2">
        <v>5</v>
      </c>
      <c r="H181" s="2">
        <v>43.2</v>
      </c>
      <c r="I181" s="2">
        <v>8.0500000000000007</v>
      </c>
      <c r="J181" s="2" t="s">
        <v>933</v>
      </c>
      <c r="K181" s="2" t="s">
        <v>934</v>
      </c>
      <c r="L181" s="2" t="s">
        <v>935</v>
      </c>
      <c r="M181" s="2" t="s">
        <v>936</v>
      </c>
      <c r="N181" s="2" t="s">
        <v>931</v>
      </c>
      <c r="O181" s="2">
        <v>22.097000000000001</v>
      </c>
      <c r="P181" s="2">
        <v>2.0539999999999998</v>
      </c>
      <c r="Q181" s="2">
        <v>7.4409999999999998</v>
      </c>
      <c r="R181" s="2">
        <v>4.5999999999999999E-2</v>
      </c>
      <c r="S181" s="2">
        <v>1.401</v>
      </c>
      <c r="T181" s="2">
        <v>0.15</v>
      </c>
      <c r="U181" s="2">
        <v>0.51100000000000001</v>
      </c>
      <c r="V181" s="2">
        <v>0.09</v>
      </c>
      <c r="W181" s="2">
        <v>0.35199999999999998</v>
      </c>
      <c r="X181" s="2">
        <v>3.984</v>
      </c>
      <c r="Y181" s="2">
        <v>3.9</v>
      </c>
      <c r="Z181" s="2">
        <v>154.1</v>
      </c>
      <c r="AA181" s="2">
        <v>215.9</v>
      </c>
      <c r="AB181" s="2">
        <v>26.8</v>
      </c>
      <c r="AC181" s="2">
        <v>99.4</v>
      </c>
      <c r="AD181" s="2" t="s">
        <v>83</v>
      </c>
      <c r="AE181" s="2">
        <v>18351.072265625</v>
      </c>
      <c r="AF181" s="2" t="s">
        <v>83</v>
      </c>
      <c r="AG181" s="2">
        <v>43074.01953125</v>
      </c>
      <c r="AH181" s="2" t="s">
        <v>83</v>
      </c>
      <c r="AI181" s="2">
        <v>14654.9453125</v>
      </c>
      <c r="AJ181" s="2">
        <v>28311.4716796875</v>
      </c>
      <c r="AK181" s="2">
        <v>18877.234375</v>
      </c>
      <c r="AL181" s="2">
        <v>330524.890625</v>
      </c>
      <c r="AM181" s="2">
        <v>12009.1298828125</v>
      </c>
      <c r="AN181" s="2" t="s">
        <v>83</v>
      </c>
      <c r="AO181" s="2" t="s">
        <v>83</v>
      </c>
      <c r="AP181" s="2">
        <v>105922.708496094</v>
      </c>
      <c r="AQ181" s="2">
        <v>13921.709472656299</v>
      </c>
      <c r="AR181" s="2">
        <v>38914.26953125</v>
      </c>
      <c r="AS181" s="2">
        <v>8562.978515625</v>
      </c>
      <c r="AT181" s="2" t="s">
        <v>83</v>
      </c>
      <c r="AU181" s="2">
        <v>34485.0625</v>
      </c>
      <c r="AV181" s="2">
        <v>35258.194824218801</v>
      </c>
      <c r="AW181" s="2">
        <v>23805.69140625</v>
      </c>
      <c r="AX181" s="2">
        <v>30187.77734375</v>
      </c>
      <c r="AY181" s="2">
        <v>184145.54296875</v>
      </c>
      <c r="AZ181" s="2">
        <v>27109.759765625</v>
      </c>
      <c r="BA181" s="2">
        <v>51725.8798828125</v>
      </c>
      <c r="BB181" s="2">
        <v>33390.7646484375</v>
      </c>
      <c r="BC181" s="2" t="s">
        <v>98</v>
      </c>
      <c r="BD181" s="2" t="s">
        <v>91</v>
      </c>
      <c r="BE181" s="2" t="s">
        <v>98</v>
      </c>
      <c r="BF181" s="2" t="s">
        <v>91</v>
      </c>
      <c r="BG181" s="2" t="s">
        <v>98</v>
      </c>
      <c r="BH181" s="2" t="s">
        <v>91</v>
      </c>
      <c r="BI181" s="2" t="s">
        <v>91</v>
      </c>
      <c r="BJ181" s="2" t="s">
        <v>91</v>
      </c>
      <c r="BK181" s="2" t="s">
        <v>79</v>
      </c>
      <c r="BL181" s="2" t="s">
        <v>91</v>
      </c>
      <c r="BM181" s="2" t="s">
        <v>98</v>
      </c>
      <c r="BN181" s="2" t="s">
        <v>98</v>
      </c>
      <c r="BO181" s="2" t="s">
        <v>79</v>
      </c>
      <c r="BP181" s="2" t="s">
        <v>91</v>
      </c>
      <c r="BQ181" s="2" t="s">
        <v>91</v>
      </c>
      <c r="BR181" s="2" t="s">
        <v>91</v>
      </c>
      <c r="BS181" s="2" t="s">
        <v>98</v>
      </c>
      <c r="BT181" s="2" t="s">
        <v>79</v>
      </c>
      <c r="BU181" s="2" t="s">
        <v>91</v>
      </c>
      <c r="BV181" s="2" t="s">
        <v>91</v>
      </c>
      <c r="BW181" s="2" t="s">
        <v>91</v>
      </c>
      <c r="BX181" s="2" t="s">
        <v>79</v>
      </c>
      <c r="BY181" s="2" t="s">
        <v>91</v>
      </c>
      <c r="BZ181" s="2" t="s">
        <v>91</v>
      </c>
      <c r="CA181" s="2" t="s">
        <v>91</v>
      </c>
      <c r="CB181">
        <f>TTEST(AS181:AW181,AI181:AM181,2,2)</f>
        <v>0.46149815363599045</v>
      </c>
      <c r="CC181">
        <f>TTEST(AD181:AH181,AI181:AM181,2,2)</f>
        <v>0.65220971667125083</v>
      </c>
      <c r="CD181">
        <f>TTEST(AN181:AR181,AI181:AM181,2,2)</f>
        <v>0.75528849406496446</v>
      </c>
      <c r="CE181">
        <f>TTEST(AX181:BB181,AI181:AM181,2,2)</f>
        <v>0.8279580263936358</v>
      </c>
      <c r="CF181">
        <v>197</v>
      </c>
      <c r="CG181">
        <v>229</v>
      </c>
      <c r="CH181">
        <v>215</v>
      </c>
      <c r="CI181">
        <v>194</v>
      </c>
      <c r="CJ181">
        <f>0.05*CF181/464</f>
        <v>2.1228448275862073E-2</v>
      </c>
      <c r="CK181">
        <f>0.05*CG181/464</f>
        <v>2.4676724137931035E-2</v>
      </c>
      <c r="CL181">
        <f>0.05*CH181/464</f>
        <v>2.3168103448275863E-2</v>
      </c>
      <c r="CM181">
        <f>0.05*CI181/464</f>
        <v>2.0905172413793107E-2</v>
      </c>
      <c r="CN181" t="str">
        <f>IF(CB181&lt;CJ181,"yes","no")</f>
        <v>no</v>
      </c>
      <c r="CO181" t="str">
        <f>IF(CC181&lt;CK181,"yes","no")</f>
        <v>no</v>
      </c>
      <c r="CP181" t="str">
        <f>IF(CD181&lt;CL181,"yes","no")</f>
        <v>no</v>
      </c>
      <c r="CQ181" t="str">
        <f>IF(CE181&lt;CM181,"yes","no")</f>
        <v>no</v>
      </c>
      <c r="CR181">
        <f>TTEST(AS181:AW181,AD181:AH181,2,2)</f>
        <v>0.68859648398936102</v>
      </c>
      <c r="CS181">
        <f>TTEST(AS181:AW181,AN181:AR181,2,2)</f>
        <v>0.30782691831025089</v>
      </c>
      <c r="CT181">
        <f>TTEST(AS181:AW181,AX181:BB181,2,2)</f>
        <v>0.28632301426532675</v>
      </c>
      <c r="CU181">
        <v>298</v>
      </c>
      <c r="CV181">
        <v>210</v>
      </c>
      <c r="CW181">
        <v>180</v>
      </c>
      <c r="CX181">
        <f t="shared" si="6"/>
        <v>3.2112068965517243E-2</v>
      </c>
      <c r="CY181">
        <f t="shared" si="7"/>
        <v>2.2629310344827586E-2</v>
      </c>
      <c r="CZ181">
        <f t="shared" si="8"/>
        <v>1.9396551724137932E-2</v>
      </c>
      <c r="DA181" t="str">
        <f>IF(CR181&lt;CX181,"yes","no")</f>
        <v>no</v>
      </c>
      <c r="DB181" t="str">
        <f>IF(CS181&lt;CY181,"yes","no")</f>
        <v>no</v>
      </c>
      <c r="DC181" t="str">
        <f>IF(CT181&lt;CZ181,"yes","no")</f>
        <v>no</v>
      </c>
    </row>
    <row r="182" spans="1:107" x14ac:dyDescent="0.2">
      <c r="A182" s="2" t="b">
        <v>0</v>
      </c>
      <c r="B182" s="2" t="s">
        <v>79</v>
      </c>
      <c r="C182" s="2" t="s">
        <v>80</v>
      </c>
      <c r="D182" s="2" t="s">
        <v>632</v>
      </c>
      <c r="E182" s="2" t="s">
        <v>633</v>
      </c>
      <c r="F182" s="2">
        <v>4</v>
      </c>
      <c r="G182" s="2">
        <v>3</v>
      </c>
      <c r="H182" s="2">
        <v>69.2</v>
      </c>
      <c r="I182" s="2">
        <v>7.69</v>
      </c>
      <c r="J182" s="2" t="s">
        <v>396</v>
      </c>
      <c r="K182" s="2" t="s">
        <v>169</v>
      </c>
      <c r="L182" s="2" t="s">
        <v>634</v>
      </c>
      <c r="M182" s="2" t="s">
        <v>635</v>
      </c>
      <c r="N182" s="2" t="s">
        <v>632</v>
      </c>
      <c r="O182" s="2">
        <v>62.133000000000003</v>
      </c>
      <c r="P182" s="2">
        <v>5.32</v>
      </c>
      <c r="Q182" s="2">
        <v>12.053000000000001</v>
      </c>
      <c r="R182" s="2">
        <v>1.4999999999999999E-2</v>
      </c>
      <c r="S182" s="2">
        <v>0.96699999999999997</v>
      </c>
      <c r="T182" s="2">
        <v>5.5E-2</v>
      </c>
      <c r="U182" s="2">
        <v>0.16500000000000001</v>
      </c>
      <c r="V182" s="2">
        <v>6.3E-2</v>
      </c>
      <c r="W182" s="2">
        <v>0.14399999999999999</v>
      </c>
      <c r="X182" s="2">
        <v>2.605</v>
      </c>
      <c r="Y182" s="2">
        <v>3.2</v>
      </c>
      <c r="Z182" s="2">
        <v>194.2</v>
      </c>
      <c r="AA182" s="2">
        <v>235.1</v>
      </c>
      <c r="AB182" s="2">
        <v>27.9</v>
      </c>
      <c r="AC182" s="2">
        <v>39.6</v>
      </c>
      <c r="AD182" s="2">
        <v>1497632</v>
      </c>
      <c r="AE182" s="2">
        <v>3391279.671875</v>
      </c>
      <c r="AF182" s="2">
        <v>923016.6875</v>
      </c>
      <c r="AG182" s="2">
        <v>2019249.8701171901</v>
      </c>
      <c r="AH182" s="2">
        <v>615246.5625</v>
      </c>
      <c r="AI182" s="2">
        <v>1701531.7421875</v>
      </c>
      <c r="AJ182" s="2">
        <v>1707437.9638671901</v>
      </c>
      <c r="AK182" s="2">
        <v>835126.14111328102</v>
      </c>
      <c r="AL182" s="2">
        <v>2454279.3808593801</v>
      </c>
      <c r="AM182" s="2">
        <v>1057679.2060546901</v>
      </c>
      <c r="AN182" s="2">
        <v>620090.9609375</v>
      </c>
      <c r="AO182" s="2">
        <v>652368.43212890602</v>
      </c>
      <c r="AP182" s="2">
        <v>2836475.4707031301</v>
      </c>
      <c r="AQ182" s="2">
        <v>4981698.19140625</v>
      </c>
      <c r="AR182" s="2">
        <v>2406120.4707031301</v>
      </c>
      <c r="AS182" s="2">
        <v>283441.0625</v>
      </c>
      <c r="AT182" s="2">
        <v>740150.154296875</v>
      </c>
      <c r="AU182" s="2">
        <v>2831078.4199218801</v>
      </c>
      <c r="AV182" s="2">
        <v>1620782.98681641</v>
      </c>
      <c r="AW182" s="2">
        <v>2168894.6767578102</v>
      </c>
      <c r="AX182" s="2">
        <v>789287.10009765602</v>
      </c>
      <c r="AY182" s="2">
        <v>1461507.0253906299</v>
      </c>
      <c r="AZ182" s="2">
        <v>740593.673828125</v>
      </c>
      <c r="BA182" s="2">
        <v>344562.0625</v>
      </c>
      <c r="BB182" s="2">
        <v>1504514.1015625</v>
      </c>
      <c r="BC182" s="2" t="s">
        <v>79</v>
      </c>
      <c r="BD182" s="2" t="s">
        <v>79</v>
      </c>
      <c r="BE182" s="2" t="s">
        <v>79</v>
      </c>
      <c r="BF182" s="2" t="s">
        <v>79</v>
      </c>
      <c r="BG182" s="2" t="s">
        <v>79</v>
      </c>
      <c r="BH182" s="2" t="s">
        <v>79</v>
      </c>
      <c r="BI182" s="2" t="s">
        <v>79</v>
      </c>
      <c r="BJ182" s="2" t="s">
        <v>79</v>
      </c>
      <c r="BK182" s="2" t="s">
        <v>79</v>
      </c>
      <c r="BL182" s="2" t="s">
        <v>79</v>
      </c>
      <c r="BM182" s="2" t="s">
        <v>79</v>
      </c>
      <c r="BN182" s="2" t="s">
        <v>79</v>
      </c>
      <c r="BO182" s="2" t="s">
        <v>79</v>
      </c>
      <c r="BP182" s="2" t="s">
        <v>79</v>
      </c>
      <c r="BQ182" s="2" t="s">
        <v>79</v>
      </c>
      <c r="BR182" s="2" t="s">
        <v>79</v>
      </c>
      <c r="BS182" s="2" t="s">
        <v>79</v>
      </c>
      <c r="BT182" s="2" t="s">
        <v>79</v>
      </c>
      <c r="BU182" s="2" t="s">
        <v>79</v>
      </c>
      <c r="BV182" s="2" t="s">
        <v>79</v>
      </c>
      <c r="BW182" s="2" t="s">
        <v>79</v>
      </c>
      <c r="BX182" s="2" t="s">
        <v>79</v>
      </c>
      <c r="BY182" s="2" t="s">
        <v>79</v>
      </c>
      <c r="BZ182" s="2" t="s">
        <v>79</v>
      </c>
      <c r="CA182" s="2" t="s">
        <v>79</v>
      </c>
      <c r="CB182">
        <f>TTEST(AS182:AW182,AI182:AM182,2,2)</f>
        <v>0.96821305099705812</v>
      </c>
      <c r="CC182">
        <f>TTEST(AD182:AH182,AI182:AM182,2,2)</f>
        <v>0.81333855195610671</v>
      </c>
      <c r="CD182">
        <f>TTEST(AN182:AR182,AI182:AM182,2,2)</f>
        <v>0.40746102919435656</v>
      </c>
      <c r="CE182">
        <f>TTEST(AX182:BB182,AI182:AM182,2,2)</f>
        <v>0.14600002883199437</v>
      </c>
      <c r="CF182">
        <v>226</v>
      </c>
      <c r="CG182">
        <v>238</v>
      </c>
      <c r="CH182">
        <v>173</v>
      </c>
      <c r="CI182">
        <v>125</v>
      </c>
      <c r="CJ182">
        <f>0.05*CF182/464</f>
        <v>2.4353448275862069E-2</v>
      </c>
      <c r="CK182">
        <f>0.05*CG182/464</f>
        <v>2.564655172413793E-2</v>
      </c>
      <c r="CL182">
        <f>0.05*CH182/464</f>
        <v>1.8642241379310344E-2</v>
      </c>
      <c r="CM182">
        <f>0.05*CI182/464</f>
        <v>1.3469827586206896E-2</v>
      </c>
      <c r="CN182" t="str">
        <f>IF(CB182&lt;CJ182,"yes","no")</f>
        <v>no</v>
      </c>
      <c r="CO182" t="str">
        <f>IF(CC182&lt;CK182,"yes","no")</f>
        <v>no</v>
      </c>
      <c r="CP182" t="str">
        <f>IF(CD182&lt;CL182,"yes","no")</f>
        <v>no</v>
      </c>
      <c r="CQ182" t="str">
        <f>IF(CE182&lt;CM182,"yes","no")</f>
        <v>no</v>
      </c>
      <c r="CR182">
        <f>TTEST(AS182:AW182,AD182:AH182,2,2)</f>
        <v>0.81770839731001299</v>
      </c>
      <c r="CS182">
        <f>TTEST(AS182:AW182,AN182:AR182,2,2)</f>
        <v>0.43163166666625441</v>
      </c>
      <c r="CT182">
        <f>TTEST(AS182:AW182,AX182:BB182,2,2)</f>
        <v>0.30732727723402053</v>
      </c>
      <c r="CU182">
        <v>300</v>
      </c>
      <c r="CV182">
        <v>224</v>
      </c>
      <c r="CW182">
        <v>181</v>
      </c>
      <c r="CX182">
        <f t="shared" si="6"/>
        <v>3.2327586206896554E-2</v>
      </c>
      <c r="CY182">
        <f t="shared" si="7"/>
        <v>2.4137931034482762E-2</v>
      </c>
      <c r="CZ182">
        <f t="shared" si="8"/>
        <v>1.9504310344827587E-2</v>
      </c>
      <c r="DA182" t="str">
        <f>IF(CR182&lt;CX182,"yes","no")</f>
        <v>no</v>
      </c>
      <c r="DB182" t="str">
        <f>IF(CS182&lt;CY182,"yes","no")</f>
        <v>no</v>
      </c>
      <c r="DC182" t="str">
        <f>IF(CT182&lt;CZ182,"yes","no")</f>
        <v>no</v>
      </c>
    </row>
    <row r="183" spans="1:107" x14ac:dyDescent="0.2">
      <c r="A183" s="2" t="b">
        <v>0</v>
      </c>
      <c r="B183" s="2" t="s">
        <v>79</v>
      </c>
      <c r="C183" s="2" t="s">
        <v>80</v>
      </c>
      <c r="D183" s="2" t="s">
        <v>1125</v>
      </c>
      <c r="E183" s="2" t="s">
        <v>1126</v>
      </c>
      <c r="F183" s="2">
        <v>3</v>
      </c>
      <c r="G183" s="2">
        <v>3</v>
      </c>
      <c r="H183" s="2">
        <v>44.5</v>
      </c>
      <c r="I183" s="2">
        <v>7.9</v>
      </c>
      <c r="J183" s="2" t="s">
        <v>553</v>
      </c>
      <c r="K183" s="2" t="s">
        <v>1127</v>
      </c>
      <c r="L183" s="2" t="s">
        <v>643</v>
      </c>
      <c r="M183" s="2" t="s">
        <v>1128</v>
      </c>
      <c r="N183" s="2" t="s">
        <v>1129</v>
      </c>
      <c r="O183" s="2">
        <v>6.4080000000000004</v>
      </c>
      <c r="P183" s="2">
        <v>0.56100000000000005</v>
      </c>
      <c r="Q183" s="2">
        <v>2.2839999999999998</v>
      </c>
      <c r="R183" s="2">
        <v>0.41499999999999998</v>
      </c>
      <c r="S183" s="2">
        <v>1.708</v>
      </c>
      <c r="T183" s="2">
        <v>0.28499999999999998</v>
      </c>
      <c r="U183" s="2">
        <v>0.62</v>
      </c>
      <c r="V183" s="2">
        <v>9.8000000000000004E-2</v>
      </c>
      <c r="W183" s="2">
        <v>0.23799999999999999</v>
      </c>
      <c r="X183" s="2">
        <v>3.149</v>
      </c>
      <c r="Y183" s="2">
        <v>44.7</v>
      </c>
      <c r="Z183" s="2">
        <v>54.7</v>
      </c>
      <c r="AA183" s="2">
        <v>327.10000000000002</v>
      </c>
      <c r="AB183" s="2">
        <v>15.3</v>
      </c>
      <c r="AC183" s="2">
        <v>58.2</v>
      </c>
      <c r="AD183" s="2">
        <v>231094</v>
      </c>
      <c r="AE183" s="2">
        <v>16347.873046875</v>
      </c>
      <c r="AF183" s="2">
        <v>173111.40625</v>
      </c>
      <c r="AG183" s="2">
        <v>235707.75390625</v>
      </c>
      <c r="AH183" s="2" t="s">
        <v>83</v>
      </c>
      <c r="AI183" s="2">
        <v>5115.86474609375</v>
      </c>
      <c r="AJ183" s="2">
        <v>5183.73681640625</v>
      </c>
      <c r="AK183" s="2">
        <v>7407.24951171875</v>
      </c>
      <c r="AL183" s="2">
        <v>56526.22265625</v>
      </c>
      <c r="AM183" s="2">
        <v>1828.22509765625</v>
      </c>
      <c r="AN183" s="2">
        <v>17765.6328125</v>
      </c>
      <c r="AO183" s="2">
        <v>26617.4921875</v>
      </c>
      <c r="AP183" s="2">
        <v>45305.907714843801</v>
      </c>
      <c r="AQ183" s="2">
        <v>5418.1396484375</v>
      </c>
      <c r="AR183" s="2">
        <v>37273.8310546875</v>
      </c>
      <c r="AS183" s="2" t="s">
        <v>83</v>
      </c>
      <c r="AT183" s="2" t="s">
        <v>83</v>
      </c>
      <c r="AU183" s="2">
        <v>9174.5830078125</v>
      </c>
      <c r="AV183" s="2">
        <v>4309.45654296875</v>
      </c>
      <c r="AW183" s="2">
        <v>13441.578125</v>
      </c>
      <c r="AX183" s="2" t="s">
        <v>83</v>
      </c>
      <c r="AY183" s="2">
        <v>46868.9599609375</v>
      </c>
      <c r="AZ183" s="2">
        <v>7612.58935546875</v>
      </c>
      <c r="BA183" s="2" t="s">
        <v>83</v>
      </c>
      <c r="BB183" s="2" t="s">
        <v>83</v>
      </c>
      <c r="BC183" s="2" t="s">
        <v>91</v>
      </c>
      <c r="BD183" s="2" t="s">
        <v>91</v>
      </c>
      <c r="BE183" s="2" t="s">
        <v>91</v>
      </c>
      <c r="BF183" s="2" t="s">
        <v>79</v>
      </c>
      <c r="BG183" s="2" t="s">
        <v>98</v>
      </c>
      <c r="BH183" s="2" t="s">
        <v>91</v>
      </c>
      <c r="BI183" s="2" t="s">
        <v>91</v>
      </c>
      <c r="BJ183" s="2" t="s">
        <v>91</v>
      </c>
      <c r="BK183" s="2" t="s">
        <v>79</v>
      </c>
      <c r="BL183" s="2" t="s">
        <v>91</v>
      </c>
      <c r="BM183" s="2" t="s">
        <v>91</v>
      </c>
      <c r="BN183" s="2" t="s">
        <v>91</v>
      </c>
      <c r="BO183" s="2" t="s">
        <v>91</v>
      </c>
      <c r="BP183" s="2" t="s">
        <v>91</v>
      </c>
      <c r="BQ183" s="2" t="s">
        <v>91</v>
      </c>
      <c r="BR183" s="2" t="s">
        <v>98</v>
      </c>
      <c r="BS183" s="2" t="s">
        <v>98</v>
      </c>
      <c r="BT183" s="2" t="s">
        <v>91</v>
      </c>
      <c r="BU183" s="2" t="s">
        <v>91</v>
      </c>
      <c r="BV183" s="2" t="s">
        <v>91</v>
      </c>
      <c r="BW183" s="2" t="s">
        <v>98</v>
      </c>
      <c r="BX183" s="2" t="s">
        <v>79</v>
      </c>
      <c r="BY183" s="2" t="s">
        <v>91</v>
      </c>
      <c r="BZ183" s="2" t="s">
        <v>98</v>
      </c>
      <c r="CA183" s="2" t="s">
        <v>98</v>
      </c>
      <c r="CB183">
        <f>TTEST(AS183:AW183,AI183:AM183,2,2)</f>
        <v>0.67062029083130503</v>
      </c>
      <c r="CC183">
        <f>TTEST(AD183:AH183,AI183:AM183,2,2)</f>
        <v>1.5083917955728899E-2</v>
      </c>
      <c r="CD183">
        <f>TTEST(AN183:AR183,AI183:AM183,2,2)</f>
        <v>0.39491716410123867</v>
      </c>
      <c r="CE183">
        <f>TTEST(AX183:BB183,AI183:AM183,2,2)</f>
        <v>0.57779386508784047</v>
      </c>
      <c r="CF183">
        <v>208</v>
      </c>
      <c r="CG183">
        <v>168</v>
      </c>
      <c r="CH183">
        <v>171</v>
      </c>
      <c r="CI183">
        <v>168</v>
      </c>
      <c r="CJ183">
        <f>0.05*CF183/464</f>
        <v>2.2413793103448276E-2</v>
      </c>
      <c r="CK183">
        <f>0.05*CG183/464</f>
        <v>1.810344827586207E-2</v>
      </c>
      <c r="CL183">
        <f>0.05*CH183/464</f>
        <v>1.8426724137931037E-2</v>
      </c>
      <c r="CM183">
        <f>0.05*CI183/464</f>
        <v>1.810344827586207E-2</v>
      </c>
      <c r="CN183" t="str">
        <f>IF(CB183&lt;CJ183,"yes","no")</f>
        <v>no</v>
      </c>
      <c r="CO183" t="str">
        <f>IF(CC183&lt;CK183,"yes","no")</f>
        <v>yes</v>
      </c>
      <c r="CP183" t="str">
        <f>IF(CD183&lt;CL183,"yes","no")</f>
        <v>no</v>
      </c>
      <c r="CQ183" t="str">
        <f>IF(CE183&lt;CM183,"yes","no")</f>
        <v>no</v>
      </c>
      <c r="CR183">
        <f>TTEST(AS183:AW183,AD183:AH183,2,2)</f>
        <v>5.0924075678536962E-2</v>
      </c>
      <c r="CS183">
        <f>TTEST(AS183:AW183,AN183:AR183,2,2)</f>
        <v>0.1174685283815135</v>
      </c>
      <c r="CT183">
        <f>TTEST(AS183:AW183,AX183:BB183,2,2)</f>
        <v>0.31094272365803888</v>
      </c>
      <c r="CU183">
        <v>231</v>
      </c>
      <c r="CV183">
        <v>185</v>
      </c>
      <c r="CW183">
        <v>182</v>
      </c>
      <c r="CX183">
        <f t="shared" si="6"/>
        <v>2.4892241379310346E-2</v>
      </c>
      <c r="CY183">
        <f t="shared" si="7"/>
        <v>1.9935344827586209E-2</v>
      </c>
      <c r="CZ183">
        <f t="shared" si="8"/>
        <v>1.9612068965517239E-2</v>
      </c>
      <c r="DA183" t="str">
        <f>IF(CR183&lt;CX183,"yes","no")</f>
        <v>no</v>
      </c>
      <c r="DB183" t="str">
        <f>IF(CS183&lt;CY183,"yes","no")</f>
        <v>no</v>
      </c>
      <c r="DC183" t="str">
        <f>IF(CT183&lt;CZ183,"yes","no")</f>
        <v>no</v>
      </c>
    </row>
    <row r="184" spans="1:107" x14ac:dyDescent="0.2">
      <c r="A184" s="2" t="b">
        <v>0</v>
      </c>
      <c r="B184" s="2" t="s">
        <v>79</v>
      </c>
      <c r="C184" s="2" t="s">
        <v>80</v>
      </c>
      <c r="D184" s="2" t="s">
        <v>166</v>
      </c>
      <c r="E184" s="2" t="s">
        <v>167</v>
      </c>
      <c r="F184" s="2">
        <v>11</v>
      </c>
      <c r="G184" s="2">
        <v>8</v>
      </c>
      <c r="H184" s="2">
        <v>64.7</v>
      </c>
      <c r="I184" s="2">
        <v>7.93</v>
      </c>
      <c r="J184" s="2" t="s">
        <v>168</v>
      </c>
      <c r="K184" s="2" t="s">
        <v>169</v>
      </c>
      <c r="L184" s="2" t="s">
        <v>170</v>
      </c>
      <c r="M184" s="2" t="s">
        <v>171</v>
      </c>
      <c r="N184" s="2" t="s">
        <v>172</v>
      </c>
      <c r="O184" s="2">
        <v>42.292999999999999</v>
      </c>
      <c r="P184" s="2">
        <v>4.4210000000000003</v>
      </c>
      <c r="Q184" s="2">
        <v>17.619</v>
      </c>
      <c r="R184" s="2">
        <v>2.1000000000000001E-2</v>
      </c>
      <c r="S184" s="2">
        <v>1.018</v>
      </c>
      <c r="T184" s="2">
        <v>8.3000000000000004E-2</v>
      </c>
      <c r="U184" s="2">
        <v>0.32</v>
      </c>
      <c r="V184" s="2">
        <v>0.09</v>
      </c>
      <c r="W184" s="2">
        <v>0.36199999999999999</v>
      </c>
      <c r="X184" s="2">
        <v>4.742</v>
      </c>
      <c r="Y184" s="2">
        <v>4.4000000000000004</v>
      </c>
      <c r="Z184" s="2">
        <v>183.4</v>
      </c>
      <c r="AA184" s="2">
        <v>204.6</v>
      </c>
      <c r="AB184" s="2">
        <v>25.9</v>
      </c>
      <c r="AC184" s="2">
        <v>81.7</v>
      </c>
      <c r="AD184" s="2">
        <v>47629714</v>
      </c>
      <c r="AE184" s="2">
        <v>83154908.158203095</v>
      </c>
      <c r="AF184" s="2">
        <v>21202804.747070301</v>
      </c>
      <c r="AG184" s="2">
        <v>67538457.072265595</v>
      </c>
      <c r="AH184" s="2">
        <v>23590727.1796875</v>
      </c>
      <c r="AI184" s="2">
        <v>31405718.0146484</v>
      </c>
      <c r="AJ184" s="2">
        <v>56286915.264160201</v>
      </c>
      <c r="AK184" s="2">
        <v>25695854.825683601</v>
      </c>
      <c r="AL184" s="2">
        <v>79288266.110107407</v>
      </c>
      <c r="AM184" s="2">
        <v>28615602.658447299</v>
      </c>
      <c r="AN184" s="2">
        <v>19005091.2185059</v>
      </c>
      <c r="AO184" s="2">
        <v>15142667.7180176</v>
      </c>
      <c r="AP184" s="2">
        <v>59150718.5322266</v>
      </c>
      <c r="AQ184" s="2">
        <v>60417724.9541016</v>
      </c>
      <c r="AR184" s="2">
        <v>48939765.7119141</v>
      </c>
      <c r="AS184" s="2">
        <v>10315436.220703101</v>
      </c>
      <c r="AT184" s="2">
        <v>25750452.987792999</v>
      </c>
      <c r="AU184" s="2">
        <v>79915991.654296905</v>
      </c>
      <c r="AV184" s="2">
        <v>35202486.260009803</v>
      </c>
      <c r="AW184" s="2">
        <v>43289919.973632798</v>
      </c>
      <c r="AX184" s="2">
        <v>30935406.627441399</v>
      </c>
      <c r="AY184" s="2">
        <v>369524899.84765601</v>
      </c>
      <c r="AZ184" s="2">
        <v>38932102.923339799</v>
      </c>
      <c r="BA184" s="2">
        <v>38232723.120117202</v>
      </c>
      <c r="BB184" s="2">
        <v>59284175.547363304</v>
      </c>
      <c r="BC184" s="2" t="s">
        <v>79</v>
      </c>
      <c r="BD184" s="2" t="s">
        <v>79</v>
      </c>
      <c r="BE184" s="2" t="s">
        <v>79</v>
      </c>
      <c r="BF184" s="2" t="s">
        <v>79</v>
      </c>
      <c r="BG184" s="2" t="s">
        <v>79</v>
      </c>
      <c r="BH184" s="2" t="s">
        <v>79</v>
      </c>
      <c r="BI184" s="2" t="s">
        <v>79</v>
      </c>
      <c r="BJ184" s="2" t="s">
        <v>79</v>
      </c>
      <c r="BK184" s="2" t="s">
        <v>79</v>
      </c>
      <c r="BL184" s="2" t="s">
        <v>79</v>
      </c>
      <c r="BM184" s="2" t="s">
        <v>79</v>
      </c>
      <c r="BN184" s="2" t="s">
        <v>79</v>
      </c>
      <c r="BO184" s="2" t="s">
        <v>79</v>
      </c>
      <c r="BP184" s="2" t="s">
        <v>79</v>
      </c>
      <c r="BQ184" s="2" t="s">
        <v>79</v>
      </c>
      <c r="BR184" s="2" t="s">
        <v>79</v>
      </c>
      <c r="BS184" s="2" t="s">
        <v>79</v>
      </c>
      <c r="BT184" s="2" t="s">
        <v>79</v>
      </c>
      <c r="BU184" s="2" t="s">
        <v>79</v>
      </c>
      <c r="BV184" s="2" t="s">
        <v>79</v>
      </c>
      <c r="BW184" s="2" t="s">
        <v>79</v>
      </c>
      <c r="BX184" s="2" t="s">
        <v>79</v>
      </c>
      <c r="BY184" s="2" t="s">
        <v>79</v>
      </c>
      <c r="BZ184" s="2" t="s">
        <v>79</v>
      </c>
      <c r="CA184" s="2" t="s">
        <v>79</v>
      </c>
      <c r="CB184">
        <f>TTEST(AS184:AW184,AI184:AM184,2,2)</f>
        <v>0.73892424568339787</v>
      </c>
      <c r="CC184">
        <f>TTEST(AD184:AH184,AI184:AM184,2,2)</f>
        <v>0.79063659047422696</v>
      </c>
      <c r="CD184">
        <f>TTEST(AN184:AR184,AI184:AM184,2,2)</f>
        <v>0.79992499946048568</v>
      </c>
      <c r="CE184">
        <f>TTEST(AX184:BB184,AI184:AM184,2,2)</f>
        <v>0.37035955111336466</v>
      </c>
      <c r="CF184">
        <v>212</v>
      </c>
      <c r="CG184">
        <v>236</v>
      </c>
      <c r="CH184">
        <v>218</v>
      </c>
      <c r="CI184">
        <v>144</v>
      </c>
      <c r="CJ184">
        <f>0.05*CF184/464</f>
        <v>2.2844827586206901E-2</v>
      </c>
      <c r="CK184">
        <f>0.05*CG184/464</f>
        <v>2.5431034482758623E-2</v>
      </c>
      <c r="CL184">
        <f>0.05*CH184/464</f>
        <v>2.3491379310344829E-2</v>
      </c>
      <c r="CM184">
        <f>0.05*CI184/464</f>
        <v>1.5517241379310345E-2</v>
      </c>
      <c r="CN184" t="str">
        <f>IF(CB184&lt;CJ184,"yes","no")</f>
        <v>no</v>
      </c>
      <c r="CO184" t="str">
        <f>IF(CC184&lt;CK184,"yes","no")</f>
        <v>no</v>
      </c>
      <c r="CP184" t="str">
        <f>IF(CD184&lt;CL184,"yes","no")</f>
        <v>no</v>
      </c>
      <c r="CQ184" t="str">
        <f>IF(CE184&lt;CM184,"yes","no")</f>
        <v>no</v>
      </c>
      <c r="CR184">
        <f>TTEST(AS184:AW184,AD184:AH184,2,2)</f>
        <v>0.578149420174217</v>
      </c>
      <c r="CS184">
        <f>TTEST(AS184:AW184,AN184:AR184,2,2)</f>
        <v>0.9169683501485737</v>
      </c>
      <c r="CT184">
        <f>TTEST(AS184:AW184,AX184:BB184,2,2)</f>
        <v>0.33474158139400162</v>
      </c>
      <c r="CU184">
        <v>293</v>
      </c>
      <c r="CV184">
        <v>268</v>
      </c>
      <c r="CW184">
        <v>183</v>
      </c>
      <c r="CX184">
        <f t="shared" si="6"/>
        <v>3.157327586206897E-2</v>
      </c>
      <c r="CY184">
        <f t="shared" si="7"/>
        <v>2.8879310344827588E-2</v>
      </c>
      <c r="CZ184">
        <f t="shared" si="8"/>
        <v>1.9719827586206898E-2</v>
      </c>
      <c r="DA184" t="str">
        <f>IF(CR184&lt;CX184,"yes","no")</f>
        <v>no</v>
      </c>
      <c r="DB184" t="str">
        <f>IF(CS184&lt;CY184,"yes","no")</f>
        <v>no</v>
      </c>
      <c r="DC184" t="str">
        <f>IF(CT184&lt;CZ184,"yes","no")</f>
        <v>no</v>
      </c>
    </row>
    <row r="185" spans="1:107" x14ac:dyDescent="0.2">
      <c r="A185" s="2" t="b">
        <v>0</v>
      </c>
      <c r="B185" s="2" t="s">
        <v>79</v>
      </c>
      <c r="C185" s="2" t="s">
        <v>80</v>
      </c>
      <c r="D185" s="2" t="s">
        <v>245</v>
      </c>
      <c r="E185" s="2" t="s">
        <v>246</v>
      </c>
      <c r="F185" s="2">
        <v>11</v>
      </c>
      <c r="G185" s="2">
        <v>4</v>
      </c>
      <c r="H185" s="2">
        <v>59.3</v>
      </c>
      <c r="I185" s="2">
        <v>8.34</v>
      </c>
      <c r="J185" s="2" t="s">
        <v>83</v>
      </c>
      <c r="K185" s="2" t="s">
        <v>247</v>
      </c>
      <c r="L185" s="2" t="s">
        <v>119</v>
      </c>
      <c r="M185" s="2" t="s">
        <v>248</v>
      </c>
      <c r="N185" s="2" t="s">
        <v>245</v>
      </c>
      <c r="O185" s="2">
        <v>23.524000000000001</v>
      </c>
      <c r="P185" s="2">
        <v>2.9470000000000001</v>
      </c>
      <c r="Q185" s="2">
        <v>10.93</v>
      </c>
      <c r="R185" s="2">
        <v>3.1E-2</v>
      </c>
      <c r="S185" s="2">
        <v>0.82799999999999996</v>
      </c>
      <c r="T185" s="2">
        <v>8.7999999999999995E-2</v>
      </c>
      <c r="U185" s="2">
        <v>0.29899999999999999</v>
      </c>
      <c r="V185" s="2">
        <v>0.13500000000000001</v>
      </c>
      <c r="W185" s="2">
        <v>0.438</v>
      </c>
      <c r="X185" s="2">
        <v>3.2130000000000001</v>
      </c>
      <c r="Y185" s="2">
        <v>3.4</v>
      </c>
      <c r="Z185" s="2">
        <v>207.4</v>
      </c>
      <c r="AA185" s="2">
        <v>218.1</v>
      </c>
      <c r="AB185" s="2">
        <v>17.600000000000001</v>
      </c>
      <c r="AC185" s="2">
        <v>53.6</v>
      </c>
      <c r="AD185" s="2">
        <v>23399961.1328125</v>
      </c>
      <c r="AE185" s="2">
        <v>37089445.980468802</v>
      </c>
      <c r="AF185" s="2">
        <v>11753864.267578101</v>
      </c>
      <c r="AG185" s="2">
        <v>34623513.521484397</v>
      </c>
      <c r="AH185" s="2">
        <v>12574302.0390625</v>
      </c>
      <c r="AI185" s="2">
        <v>14339710.6445313</v>
      </c>
      <c r="AJ185" s="2">
        <v>32518103.9755859</v>
      </c>
      <c r="AK185" s="2">
        <v>9728540.43212891</v>
      </c>
      <c r="AL185" s="2">
        <v>57672042.940917999</v>
      </c>
      <c r="AM185" s="2">
        <v>20395513.6958008</v>
      </c>
      <c r="AN185" s="2">
        <v>11105091.5771484</v>
      </c>
      <c r="AO185" s="2">
        <v>6012778.09057617</v>
      </c>
      <c r="AP185" s="2">
        <v>30531423.107421901</v>
      </c>
      <c r="AQ185" s="2">
        <v>37024358.893554702</v>
      </c>
      <c r="AR185" s="2">
        <v>33631098.075195298</v>
      </c>
      <c r="AS185" s="2">
        <v>5034157.2216796903</v>
      </c>
      <c r="AT185" s="2">
        <v>10094764.525390601</v>
      </c>
      <c r="AU185" s="2">
        <v>34391854.141113304</v>
      </c>
      <c r="AV185" s="2">
        <v>15035141.514160199</v>
      </c>
      <c r="AW185" s="2">
        <v>18085369.498535201</v>
      </c>
      <c r="AX185" s="2">
        <v>15435243.0703125</v>
      </c>
      <c r="AY185" s="2">
        <v>191225945.83984399</v>
      </c>
      <c r="AZ185" s="2">
        <v>18088405.434570301</v>
      </c>
      <c r="BA185" s="2">
        <v>14659115.767578101</v>
      </c>
      <c r="BB185" s="2">
        <v>22933995.798828099</v>
      </c>
      <c r="BC185" s="2" t="s">
        <v>79</v>
      </c>
      <c r="BD185" s="2" t="s">
        <v>79</v>
      </c>
      <c r="BE185" s="2" t="s">
        <v>79</v>
      </c>
      <c r="BF185" s="2" t="s">
        <v>79</v>
      </c>
      <c r="BG185" s="2" t="s">
        <v>91</v>
      </c>
      <c r="BH185" s="2" t="s">
        <v>79</v>
      </c>
      <c r="BI185" s="2" t="s">
        <v>79</v>
      </c>
      <c r="BJ185" s="2" t="s">
        <v>79</v>
      </c>
      <c r="BK185" s="2" t="s">
        <v>79</v>
      </c>
      <c r="BL185" s="2" t="s">
        <v>79</v>
      </c>
      <c r="BM185" s="2" t="s">
        <v>79</v>
      </c>
      <c r="BN185" s="2" t="s">
        <v>91</v>
      </c>
      <c r="BO185" s="2" t="s">
        <v>79</v>
      </c>
      <c r="BP185" s="2" t="s">
        <v>79</v>
      </c>
      <c r="BQ185" s="2" t="s">
        <v>79</v>
      </c>
      <c r="BR185" s="2" t="s">
        <v>79</v>
      </c>
      <c r="BS185" s="2" t="s">
        <v>79</v>
      </c>
      <c r="BT185" s="2" t="s">
        <v>79</v>
      </c>
      <c r="BU185" s="2" t="s">
        <v>79</v>
      </c>
      <c r="BV185" s="2" t="s">
        <v>79</v>
      </c>
      <c r="BW185" s="2" t="s">
        <v>79</v>
      </c>
      <c r="BX185" s="2" t="s">
        <v>79</v>
      </c>
      <c r="BY185" s="2" t="s">
        <v>79</v>
      </c>
      <c r="BZ185" s="2" t="s">
        <v>79</v>
      </c>
      <c r="CA185" s="2" t="s">
        <v>79</v>
      </c>
      <c r="CB185">
        <f>TTEST(AS185:AW185,AI185:AM185,2,2)</f>
        <v>0.32528084202803675</v>
      </c>
      <c r="CC185">
        <f>TTEST(AD185:AH185,AI185:AM185,2,2)</f>
        <v>0.77081254306319824</v>
      </c>
      <c r="CD185">
        <f>TTEST(AN185:AR185,AI185:AM185,2,2)</f>
        <v>0.76662588061415948</v>
      </c>
      <c r="CE185">
        <f>TTEST(AX185:BB185,AI185:AM185,2,2)</f>
        <v>0.49549959351290973</v>
      </c>
      <c r="CF185">
        <v>183</v>
      </c>
      <c r="CG185">
        <v>235</v>
      </c>
      <c r="CH185">
        <v>216</v>
      </c>
      <c r="CI185">
        <v>159</v>
      </c>
      <c r="CJ185">
        <f>0.05*CF185/464</f>
        <v>1.9719827586206898E-2</v>
      </c>
      <c r="CK185">
        <f>0.05*CG185/464</f>
        <v>2.5323275862068964E-2</v>
      </c>
      <c r="CL185">
        <f>0.05*CH185/464</f>
        <v>2.3275862068965519E-2</v>
      </c>
      <c r="CM185">
        <f>0.05*CI185/464</f>
        <v>1.7133620689655172E-2</v>
      </c>
      <c r="CN185" t="str">
        <f>IF(CB185&lt;CJ185,"yes","no")</f>
        <v>no</v>
      </c>
      <c r="CO185" t="str">
        <f>IF(CC185&lt;CK185,"yes","no")</f>
        <v>no</v>
      </c>
      <c r="CP185" t="str">
        <f>IF(CD185&lt;CL185,"yes","no")</f>
        <v>no</v>
      </c>
      <c r="CQ185" t="str">
        <f>IF(CE185&lt;CM185,"yes","no")</f>
        <v>no</v>
      </c>
      <c r="CR185">
        <f>TTEST(AS185:AW185,AD185:AH185,2,2)</f>
        <v>0.34211499142729462</v>
      </c>
      <c r="CS185">
        <f>TTEST(AS185:AW185,AN185:AR185,2,2)</f>
        <v>0.40065975584210256</v>
      </c>
      <c r="CT185">
        <f>TTEST(AS185:AW185,AX185:BB185,2,2)</f>
        <v>0.33551172608665458</v>
      </c>
      <c r="CU185">
        <v>286</v>
      </c>
      <c r="CV185">
        <v>220</v>
      </c>
      <c r="CW185">
        <v>184</v>
      </c>
      <c r="CX185">
        <f t="shared" si="6"/>
        <v>3.0818965517241382E-2</v>
      </c>
      <c r="CY185">
        <f t="shared" si="7"/>
        <v>2.3706896551724137E-2</v>
      </c>
      <c r="CZ185">
        <f t="shared" si="8"/>
        <v>1.9827586206896553E-2</v>
      </c>
      <c r="DA185" t="str">
        <f>IF(CR185&lt;CX185,"yes","no")</f>
        <v>no</v>
      </c>
      <c r="DB185" t="str">
        <f>IF(CS185&lt;CY185,"yes","no")</f>
        <v>no</v>
      </c>
      <c r="DC185" t="str">
        <f>IF(CT185&lt;CZ185,"yes","no")</f>
        <v>no</v>
      </c>
    </row>
    <row r="186" spans="1:107" x14ac:dyDescent="0.2">
      <c r="A186" s="2" t="b">
        <v>0</v>
      </c>
      <c r="B186" s="2" t="s">
        <v>79</v>
      </c>
      <c r="C186" s="2" t="s">
        <v>80</v>
      </c>
      <c r="D186" s="2" t="s">
        <v>489</v>
      </c>
      <c r="E186" s="2" t="s">
        <v>490</v>
      </c>
      <c r="F186" s="2">
        <v>3</v>
      </c>
      <c r="G186" s="2">
        <v>2</v>
      </c>
      <c r="H186" s="2">
        <v>57.6</v>
      </c>
      <c r="I186" s="2">
        <v>6.61</v>
      </c>
      <c r="J186" s="2" t="s">
        <v>228</v>
      </c>
      <c r="K186" s="2" t="s">
        <v>247</v>
      </c>
      <c r="L186" s="2" t="s">
        <v>303</v>
      </c>
      <c r="M186" s="2" t="s">
        <v>491</v>
      </c>
      <c r="N186" s="2" t="s">
        <v>489</v>
      </c>
      <c r="O186" s="2">
        <v>39.604999999999997</v>
      </c>
      <c r="P186" s="2">
        <v>5.883</v>
      </c>
      <c r="Q186" s="2">
        <v>42.417999999999999</v>
      </c>
      <c r="R186" s="2">
        <v>2.5999999999999999E-2</v>
      </c>
      <c r="S186" s="2">
        <v>0.94599999999999995</v>
      </c>
      <c r="T186" s="2">
        <v>0.156</v>
      </c>
      <c r="U186" s="2">
        <v>1.103</v>
      </c>
      <c r="V186" s="2">
        <v>0.158</v>
      </c>
      <c r="W186" s="2">
        <v>1.012</v>
      </c>
      <c r="X186" s="2">
        <v>6.3150000000000004</v>
      </c>
      <c r="Y186" s="2">
        <v>4.7</v>
      </c>
      <c r="Z186" s="2">
        <v>177.3</v>
      </c>
      <c r="AA186" s="2">
        <v>142.9</v>
      </c>
      <c r="AB186" s="2">
        <v>24.6</v>
      </c>
      <c r="AC186" s="2">
        <v>150.5</v>
      </c>
      <c r="AD186" s="2">
        <v>514541.65625</v>
      </c>
      <c r="AE186" s="2">
        <v>343075.53125</v>
      </c>
      <c r="AF186" s="2" t="s">
        <v>83</v>
      </c>
      <c r="AG186" s="2">
        <v>230191.90625</v>
      </c>
      <c r="AH186" s="2" t="s">
        <v>83</v>
      </c>
      <c r="AI186" s="2">
        <v>304147.65625</v>
      </c>
      <c r="AJ186" s="2">
        <v>8110.71435546875</v>
      </c>
      <c r="AK186" s="2">
        <v>386622.40625</v>
      </c>
      <c r="AL186" s="2">
        <v>425313.28125</v>
      </c>
      <c r="AM186" s="2">
        <v>254108.556640625</v>
      </c>
      <c r="AN186" s="2">
        <v>154215.453125</v>
      </c>
      <c r="AO186" s="2">
        <v>131318.21875</v>
      </c>
      <c r="AP186" s="2">
        <v>543179.5625</v>
      </c>
      <c r="AQ186" s="2" t="s">
        <v>83</v>
      </c>
      <c r="AR186" s="2">
        <v>345148.15625</v>
      </c>
      <c r="AS186" s="2" t="s">
        <v>83</v>
      </c>
      <c r="AT186" s="2">
        <v>439413.6875</v>
      </c>
      <c r="AU186" s="2">
        <v>509998.5546875</v>
      </c>
      <c r="AV186" s="2">
        <v>210860.240234375</v>
      </c>
      <c r="AW186" s="2">
        <v>308499.25</v>
      </c>
      <c r="AX186" s="2">
        <v>412564.427734375</v>
      </c>
      <c r="AY186" s="2">
        <v>8989885.5625</v>
      </c>
      <c r="AZ186" s="2">
        <v>457174.1875</v>
      </c>
      <c r="BA186" s="2">
        <v>601485.83203125</v>
      </c>
      <c r="BB186" s="2">
        <v>1138251.08984375</v>
      </c>
      <c r="BC186" s="2" t="s">
        <v>79</v>
      </c>
      <c r="BD186" s="2" t="s">
        <v>79</v>
      </c>
      <c r="BE186" s="2" t="s">
        <v>79</v>
      </c>
      <c r="BF186" s="2" t="s">
        <v>79</v>
      </c>
      <c r="BG186" s="2" t="s">
        <v>79</v>
      </c>
      <c r="BH186" s="2" t="s">
        <v>79</v>
      </c>
      <c r="BI186" s="2" t="s">
        <v>79</v>
      </c>
      <c r="BJ186" s="2" t="s">
        <v>79</v>
      </c>
      <c r="BK186" s="2" t="s">
        <v>79</v>
      </c>
      <c r="BL186" s="2" t="s">
        <v>79</v>
      </c>
      <c r="BM186" s="2" t="s">
        <v>79</v>
      </c>
      <c r="BN186" s="2" t="s">
        <v>79</v>
      </c>
      <c r="BO186" s="2" t="s">
        <v>79</v>
      </c>
      <c r="BP186" s="2" t="s">
        <v>98</v>
      </c>
      <c r="BQ186" s="2" t="s">
        <v>91</v>
      </c>
      <c r="BR186" s="2" t="s">
        <v>79</v>
      </c>
      <c r="BS186" s="2" t="s">
        <v>79</v>
      </c>
      <c r="BT186" s="2" t="s">
        <v>79</v>
      </c>
      <c r="BU186" s="2" t="s">
        <v>79</v>
      </c>
      <c r="BV186" s="2" t="s">
        <v>79</v>
      </c>
      <c r="BW186" s="2" t="s">
        <v>79</v>
      </c>
      <c r="BX186" s="2" t="s">
        <v>79</v>
      </c>
      <c r="BY186" s="2" t="s">
        <v>79</v>
      </c>
      <c r="BZ186" s="2" t="s">
        <v>79</v>
      </c>
      <c r="CA186" s="2" t="s">
        <v>79</v>
      </c>
      <c r="CB186">
        <f>TTEST(AS186:AW186,AI186:AM186,2,2)</f>
        <v>0.39825083827767999</v>
      </c>
      <c r="CC186">
        <f>TTEST(AD186:AH186,AI186:AM186,2,2)</f>
        <v>0.47795378493285368</v>
      </c>
      <c r="CD186">
        <f>TTEST(AN186:AR186,AI186:AM186,2,2)</f>
        <v>0.88476277275828519</v>
      </c>
      <c r="CE186">
        <f>TTEST(AX186:BB186,AI186:AM186,2,2)</f>
        <v>0.25682239656251027</v>
      </c>
      <c r="CF186">
        <v>187</v>
      </c>
      <c r="CG186">
        <v>224</v>
      </c>
      <c r="CH186">
        <v>225</v>
      </c>
      <c r="CI186">
        <v>138</v>
      </c>
      <c r="CJ186">
        <f>0.05*CF186/464</f>
        <v>2.0150862068965516E-2</v>
      </c>
      <c r="CK186">
        <f>0.05*CG186/464</f>
        <v>2.4137931034482762E-2</v>
      </c>
      <c r="CL186">
        <f>0.05*CH186/464</f>
        <v>2.4245689655172414E-2</v>
      </c>
      <c r="CM186">
        <f>0.05*CI186/464</f>
        <v>1.4870689655172414E-2</v>
      </c>
      <c r="CN186" t="str">
        <f>IF(CB186&lt;CJ186,"yes","no")</f>
        <v>no</v>
      </c>
      <c r="CO186" t="str">
        <f>IF(CC186&lt;CK186,"yes","no")</f>
        <v>no</v>
      </c>
      <c r="CP186" t="str">
        <f>IF(CD186&lt;CL186,"yes","no")</f>
        <v>no</v>
      </c>
      <c r="CQ186" t="str">
        <f>IF(CE186&lt;CM186,"yes","no")</f>
        <v>no</v>
      </c>
      <c r="CR186">
        <f>TTEST(AS186:AW186,AD186:AH186,2,2)</f>
        <v>0.96682377954692367</v>
      </c>
      <c r="CS186">
        <f>TTEST(AS186:AW186,AN186:AR186,2,2)</f>
        <v>0.55174963541103539</v>
      </c>
      <c r="CT186">
        <f>TTEST(AS186:AW186,AX186:BB186,2,2)</f>
        <v>0.33764650997050427</v>
      </c>
      <c r="CU186">
        <v>304</v>
      </c>
      <c r="CV186">
        <v>232</v>
      </c>
      <c r="CW186">
        <v>185</v>
      </c>
      <c r="CX186">
        <f t="shared" si="6"/>
        <v>3.2758620689655175E-2</v>
      </c>
      <c r="CY186">
        <f t="shared" si="7"/>
        <v>2.5000000000000001E-2</v>
      </c>
      <c r="CZ186">
        <f t="shared" si="8"/>
        <v>1.9935344827586209E-2</v>
      </c>
      <c r="DA186" t="str">
        <f>IF(CR186&lt;CX186,"yes","no")</f>
        <v>no</v>
      </c>
      <c r="DB186" t="str">
        <f>IF(CS186&lt;CY186,"yes","no")</f>
        <v>no</v>
      </c>
      <c r="DC186" t="str">
        <f>IF(CT186&lt;CZ186,"yes","no")</f>
        <v>no</v>
      </c>
    </row>
    <row r="187" spans="1:107" x14ac:dyDescent="0.2">
      <c r="A187" s="2" t="b">
        <v>0</v>
      </c>
      <c r="B187" s="2" t="s">
        <v>79</v>
      </c>
      <c r="C187" s="2" t="s">
        <v>80</v>
      </c>
      <c r="D187" s="2" t="s">
        <v>1000</v>
      </c>
      <c r="E187" s="2" t="s">
        <v>1001</v>
      </c>
      <c r="F187" s="2">
        <v>3</v>
      </c>
      <c r="G187" s="2">
        <v>1</v>
      </c>
      <c r="H187" s="2">
        <v>28.2</v>
      </c>
      <c r="I187" s="2">
        <v>4.8899999999999997</v>
      </c>
      <c r="J187" s="2" t="s">
        <v>1002</v>
      </c>
      <c r="K187" s="2" t="s">
        <v>540</v>
      </c>
      <c r="L187" s="2" t="s">
        <v>146</v>
      </c>
      <c r="M187" s="2" t="s">
        <v>1003</v>
      </c>
      <c r="N187" s="2" t="s">
        <v>1004</v>
      </c>
      <c r="O187" s="2">
        <v>40.143999999999998</v>
      </c>
      <c r="P187" s="2">
        <v>4.4850000000000003</v>
      </c>
      <c r="Q187" s="2">
        <v>22.483000000000001</v>
      </c>
      <c r="R187" s="2">
        <v>1.7999999999999999E-2</v>
      </c>
      <c r="S187" s="2">
        <v>0.77</v>
      </c>
      <c r="T187" s="2">
        <v>7.5999999999999998E-2</v>
      </c>
      <c r="U187" s="2">
        <v>0.39600000000000002</v>
      </c>
      <c r="V187" s="2">
        <v>0.108</v>
      </c>
      <c r="W187" s="2">
        <v>0.54800000000000004</v>
      </c>
      <c r="X187" s="2">
        <v>5.3280000000000003</v>
      </c>
      <c r="Y187" s="2">
        <v>4.0999999999999996</v>
      </c>
      <c r="Z187" s="2">
        <v>227.5</v>
      </c>
      <c r="AA187" s="2">
        <v>159.30000000000001</v>
      </c>
      <c r="AB187" s="2">
        <v>17.2</v>
      </c>
      <c r="AC187" s="2">
        <v>91.9</v>
      </c>
      <c r="AD187" s="2">
        <v>6384112.5</v>
      </c>
      <c r="AE187" s="2">
        <v>10798561</v>
      </c>
      <c r="AF187" s="2">
        <v>2454929.75</v>
      </c>
      <c r="AG187" s="2">
        <v>6998517.5</v>
      </c>
      <c r="AH187" s="2">
        <v>1682311.875</v>
      </c>
      <c r="AI187" s="2">
        <v>3174742.21875</v>
      </c>
      <c r="AJ187" s="2">
        <v>9366607</v>
      </c>
      <c r="AK187" s="2">
        <v>3903373.25</v>
      </c>
      <c r="AL187" s="2">
        <v>9439562.84765625</v>
      </c>
      <c r="AM187" s="2">
        <v>5146708.5</v>
      </c>
      <c r="AN187" s="2">
        <v>3878504.4296875</v>
      </c>
      <c r="AO187" s="2">
        <v>2707096.953125</v>
      </c>
      <c r="AP187" s="2">
        <v>5129372.8203125</v>
      </c>
      <c r="AQ187" s="2">
        <v>3218679.8828125</v>
      </c>
      <c r="AR187" s="2">
        <v>6193691.9296875</v>
      </c>
      <c r="AS187" s="2">
        <v>979643</v>
      </c>
      <c r="AT187" s="2">
        <v>2973395.453125</v>
      </c>
      <c r="AU187" s="2">
        <v>7839289.10546875</v>
      </c>
      <c r="AV187" s="2">
        <v>3396752.546875</v>
      </c>
      <c r="AW187" s="2">
        <v>4396699.34375</v>
      </c>
      <c r="AX187" s="2">
        <v>1940832.5</v>
      </c>
      <c r="AY187" s="2">
        <v>78435224</v>
      </c>
      <c r="AZ187" s="2">
        <v>2603159</v>
      </c>
      <c r="BA187" s="2">
        <v>6232483</v>
      </c>
      <c r="BB187" s="2">
        <v>6336751</v>
      </c>
      <c r="BC187" s="2" t="s">
        <v>91</v>
      </c>
      <c r="BD187" s="2" t="s">
        <v>91</v>
      </c>
      <c r="BE187" s="2" t="s">
        <v>91</v>
      </c>
      <c r="BF187" s="2" t="s">
        <v>91</v>
      </c>
      <c r="BG187" s="2" t="s">
        <v>91</v>
      </c>
      <c r="BH187" s="2" t="s">
        <v>91</v>
      </c>
      <c r="BI187" s="2" t="s">
        <v>91</v>
      </c>
      <c r="BJ187" s="2" t="s">
        <v>91</v>
      </c>
      <c r="BK187" s="2" t="s">
        <v>91</v>
      </c>
      <c r="BL187" s="2" t="s">
        <v>91</v>
      </c>
      <c r="BM187" s="2" t="s">
        <v>91</v>
      </c>
      <c r="BN187" s="2" t="s">
        <v>79</v>
      </c>
      <c r="BO187" s="2" t="s">
        <v>79</v>
      </c>
      <c r="BP187" s="2" t="s">
        <v>79</v>
      </c>
      <c r="BQ187" s="2" t="s">
        <v>79</v>
      </c>
      <c r="BR187" s="2" t="s">
        <v>91</v>
      </c>
      <c r="BS187" s="2" t="s">
        <v>91</v>
      </c>
      <c r="BT187" s="2" t="s">
        <v>91</v>
      </c>
      <c r="BU187" s="2" t="s">
        <v>91</v>
      </c>
      <c r="BV187" s="2" t="s">
        <v>79</v>
      </c>
      <c r="BW187" s="2" t="s">
        <v>91</v>
      </c>
      <c r="BX187" s="2" t="s">
        <v>91</v>
      </c>
      <c r="BY187" s="2" t="s">
        <v>91</v>
      </c>
      <c r="BZ187" s="2" t="s">
        <v>91</v>
      </c>
      <c r="CA187" s="2" t="s">
        <v>91</v>
      </c>
      <c r="CB187">
        <f>TTEST(AS187:AW187,AI187:AM187,2,2)</f>
        <v>0.22792629719710106</v>
      </c>
      <c r="CC187">
        <f>TTEST(AD187:AH187,AI187:AM187,2,2)</f>
        <v>0.80552087805335126</v>
      </c>
      <c r="CD187">
        <f>TTEST(AN187:AR187,AI187:AM187,2,2)</f>
        <v>0.21938200706296521</v>
      </c>
      <c r="CE187">
        <f>TTEST(AX187:BB187,AI187:AM187,2,2)</f>
        <v>0.41228723627368646</v>
      </c>
      <c r="CF187">
        <v>168</v>
      </c>
      <c r="CG187">
        <v>237</v>
      </c>
      <c r="CH187">
        <v>147</v>
      </c>
      <c r="CI187">
        <v>149</v>
      </c>
      <c r="CJ187">
        <f>0.05*CF187/464</f>
        <v>1.810344827586207E-2</v>
      </c>
      <c r="CK187">
        <f>0.05*CG187/464</f>
        <v>2.5538793103448278E-2</v>
      </c>
      <c r="CL187">
        <f>0.05*CH187/464</f>
        <v>1.5840517241379311E-2</v>
      </c>
      <c r="CM187">
        <f>0.05*CI187/464</f>
        <v>1.6056034482758622E-2</v>
      </c>
      <c r="CN187" t="str">
        <f>IF(CB187&lt;CJ187,"yes","no")</f>
        <v>no</v>
      </c>
      <c r="CO187" t="str">
        <f>IF(CC187&lt;CK187,"yes","no")</f>
        <v>no</v>
      </c>
      <c r="CP187" t="str">
        <f>IF(CD187&lt;CL187,"yes","no")</f>
        <v>no</v>
      </c>
      <c r="CQ187" t="str">
        <f>IF(CE187&lt;CM187,"yes","no")</f>
        <v>no</v>
      </c>
      <c r="CR187">
        <f>TTEST(AS187:AW187,AD187:AH187,2,2)</f>
        <v>0.40857742224432381</v>
      </c>
      <c r="CS187">
        <f>TTEST(AS187:AW187,AN187:AR187,2,2)</f>
        <v>0.81778651723244278</v>
      </c>
      <c r="CT187">
        <f>TTEST(AS187:AW187,AX187:BB187,2,2)</f>
        <v>0.33779135854859171</v>
      </c>
      <c r="CU187">
        <v>289</v>
      </c>
      <c r="CV187">
        <v>252</v>
      </c>
      <c r="CW187">
        <v>186</v>
      </c>
      <c r="CX187">
        <f t="shared" si="6"/>
        <v>3.1142241379310348E-2</v>
      </c>
      <c r="CY187">
        <f t="shared" si="7"/>
        <v>2.7155172413793106E-2</v>
      </c>
      <c r="CZ187">
        <f t="shared" si="8"/>
        <v>2.0043103448275864E-2</v>
      </c>
      <c r="DA187" t="str">
        <f>IF(CR187&lt;CX187,"yes","no")</f>
        <v>no</v>
      </c>
      <c r="DB187" t="str">
        <f>IF(CS187&lt;CY187,"yes","no")</f>
        <v>no</v>
      </c>
      <c r="DC187" t="str">
        <f>IF(CT187&lt;CZ187,"yes","no")</f>
        <v>no</v>
      </c>
    </row>
    <row r="188" spans="1:107" x14ac:dyDescent="0.2">
      <c r="A188" s="2" t="b">
        <v>0</v>
      </c>
      <c r="B188" s="2" t="s">
        <v>79</v>
      </c>
      <c r="C188" s="2" t="s">
        <v>80</v>
      </c>
      <c r="D188" s="2" t="s">
        <v>922</v>
      </c>
      <c r="E188" s="2" t="s">
        <v>923</v>
      </c>
      <c r="F188" s="2">
        <v>4</v>
      </c>
      <c r="G188" s="2">
        <v>4</v>
      </c>
      <c r="H188" s="2">
        <v>66.099999999999994</v>
      </c>
      <c r="I188" s="2">
        <v>8.25</v>
      </c>
      <c r="J188" s="2" t="s">
        <v>135</v>
      </c>
      <c r="K188" s="2" t="s">
        <v>83</v>
      </c>
      <c r="L188" s="2" t="s">
        <v>643</v>
      </c>
      <c r="M188" s="2" t="s">
        <v>924</v>
      </c>
      <c r="N188" s="2" t="s">
        <v>922</v>
      </c>
      <c r="O188" s="2">
        <v>8.6389999999999993</v>
      </c>
      <c r="P188" s="2">
        <v>0.48499999999999999</v>
      </c>
      <c r="Q188" s="2">
        <v>2.5419999999999998</v>
      </c>
      <c r="R188" s="2">
        <v>0.19900000000000001</v>
      </c>
      <c r="S188" s="2">
        <v>1.633</v>
      </c>
      <c r="T188" s="2">
        <v>0.151</v>
      </c>
      <c r="U188" s="2">
        <v>0.74299999999999999</v>
      </c>
      <c r="V188" s="2">
        <v>7.1999999999999995E-2</v>
      </c>
      <c r="W188" s="2">
        <v>0.33700000000000002</v>
      </c>
      <c r="X188" s="2">
        <v>4.5579999999999998</v>
      </c>
      <c r="Y188" s="2">
        <v>31.5</v>
      </c>
      <c r="Z188" s="2">
        <v>77.7</v>
      </c>
      <c r="AA188" s="2">
        <v>331.5</v>
      </c>
      <c r="AB188" s="2">
        <v>4.2</v>
      </c>
      <c r="AC188" s="2">
        <v>55</v>
      </c>
      <c r="AD188" s="2">
        <v>481851.8515625</v>
      </c>
      <c r="AE188" s="2" t="s">
        <v>83</v>
      </c>
      <c r="AF188" s="2">
        <v>484108.4375</v>
      </c>
      <c r="AG188" s="2">
        <v>2186448.609375</v>
      </c>
      <c r="AH188" s="2">
        <v>101336.296875</v>
      </c>
      <c r="AI188" s="2">
        <v>20998.4287109375</v>
      </c>
      <c r="AJ188" s="2">
        <v>20992.671875</v>
      </c>
      <c r="AK188" s="2">
        <v>20635.1413574219</v>
      </c>
      <c r="AL188" s="2">
        <v>279722.63208007801</v>
      </c>
      <c r="AM188" s="2">
        <v>56244.709472656301</v>
      </c>
      <c r="AN188" s="2">
        <v>46584.0400390625</v>
      </c>
      <c r="AO188" s="2">
        <v>82923.701660156294</v>
      </c>
      <c r="AP188" s="2">
        <v>120333.40332031299</v>
      </c>
      <c r="AQ188" s="2">
        <v>67703.3134765625</v>
      </c>
      <c r="AR188" s="2">
        <v>185802.078125</v>
      </c>
      <c r="AS188" s="2">
        <v>7679.455078125</v>
      </c>
      <c r="AT188" s="2">
        <v>13866.0224609375</v>
      </c>
      <c r="AU188" s="2" t="s">
        <v>83</v>
      </c>
      <c r="AV188" s="2">
        <v>44752.7177734375</v>
      </c>
      <c r="AW188" s="2" t="s">
        <v>83</v>
      </c>
      <c r="AX188" s="2">
        <v>44414.87109375</v>
      </c>
      <c r="AY188" s="2">
        <v>148995.466796875</v>
      </c>
      <c r="AZ188" s="2" t="s">
        <v>83</v>
      </c>
      <c r="BA188" s="2">
        <v>13055.4228515625</v>
      </c>
      <c r="BB188" s="2">
        <v>37065.69140625</v>
      </c>
      <c r="BC188" s="2" t="s">
        <v>79</v>
      </c>
      <c r="BD188" s="2" t="s">
        <v>98</v>
      </c>
      <c r="BE188" s="2" t="s">
        <v>91</v>
      </c>
      <c r="BF188" s="2" t="s">
        <v>79</v>
      </c>
      <c r="BG188" s="2" t="s">
        <v>91</v>
      </c>
      <c r="BH188" s="2" t="s">
        <v>91</v>
      </c>
      <c r="BI188" s="2" t="s">
        <v>91</v>
      </c>
      <c r="BJ188" s="2" t="s">
        <v>91</v>
      </c>
      <c r="BK188" s="2" t="s">
        <v>79</v>
      </c>
      <c r="BL188" s="2" t="s">
        <v>91</v>
      </c>
      <c r="BM188" s="2" t="s">
        <v>91</v>
      </c>
      <c r="BN188" s="2" t="s">
        <v>91</v>
      </c>
      <c r="BO188" s="2" t="s">
        <v>91</v>
      </c>
      <c r="BP188" s="2" t="s">
        <v>91</v>
      </c>
      <c r="BQ188" s="2" t="s">
        <v>79</v>
      </c>
      <c r="BR188" s="2" t="s">
        <v>91</v>
      </c>
      <c r="BS188" s="2" t="s">
        <v>91</v>
      </c>
      <c r="BT188" s="2" t="s">
        <v>98</v>
      </c>
      <c r="BU188" s="2" t="s">
        <v>91</v>
      </c>
      <c r="BV188" s="2" t="s">
        <v>98</v>
      </c>
      <c r="BW188" s="2" t="s">
        <v>91</v>
      </c>
      <c r="BX188" s="2" t="s">
        <v>91</v>
      </c>
      <c r="BY188" s="2" t="s">
        <v>98</v>
      </c>
      <c r="BZ188" s="2" t="s">
        <v>91</v>
      </c>
      <c r="CA188" s="2" t="s">
        <v>91</v>
      </c>
      <c r="CB188">
        <f>TTEST(AS188:AW188,AI188:AM188,2,2)</f>
        <v>0.42807748494661424</v>
      </c>
      <c r="CC188">
        <f>TTEST(AD188:AH188,AI188:AM188,2,2)</f>
        <v>0.11937454291389492</v>
      </c>
      <c r="CD188">
        <f>TTEST(AN188:AR188,AI188:AM188,2,2)</f>
        <v>0.71842424592008958</v>
      </c>
      <c r="CE188">
        <f>TTEST(AX188:BB188,AI188:AM188,2,2)</f>
        <v>0.77379449222909047</v>
      </c>
      <c r="CF188">
        <v>190</v>
      </c>
      <c r="CG188">
        <v>197</v>
      </c>
      <c r="CH188">
        <v>208</v>
      </c>
      <c r="CI188">
        <v>189</v>
      </c>
      <c r="CJ188">
        <f>0.05*CF188/464</f>
        <v>2.0474137931034482E-2</v>
      </c>
      <c r="CK188">
        <f>0.05*CG188/464</f>
        <v>2.1228448275862073E-2</v>
      </c>
      <c r="CL188">
        <f>0.05*CH188/464</f>
        <v>2.2413793103448276E-2</v>
      </c>
      <c r="CM188">
        <f>0.05*CI188/464</f>
        <v>2.036637931034483E-2</v>
      </c>
      <c r="CN188" t="str">
        <f>IF(CB188&lt;CJ188,"yes","no")</f>
        <v>no</v>
      </c>
      <c r="CO188" t="str">
        <f>IF(CC188&lt;CK188,"yes","no")</f>
        <v>no</v>
      </c>
      <c r="CP188" t="str">
        <f>IF(CD188&lt;CL188,"yes","no")</f>
        <v>no</v>
      </c>
      <c r="CQ188" t="str">
        <f>IF(CE188&lt;CM188,"yes","no")</f>
        <v>no</v>
      </c>
      <c r="CR188">
        <f>TTEST(AS188:AW188,AD188:AH188,2,2)</f>
        <v>0.21111841262706341</v>
      </c>
      <c r="CS188">
        <f>TTEST(AS188:AW188,AN188:AR188,2,2)</f>
        <v>5.8330997106305058E-2</v>
      </c>
      <c r="CT188">
        <f>TTEST(AS188:AW188,AX188:BB188,2,2)</f>
        <v>0.34150497270175051</v>
      </c>
      <c r="CU188">
        <v>274</v>
      </c>
      <c r="CV188">
        <v>169</v>
      </c>
      <c r="CW188">
        <v>187</v>
      </c>
      <c r="CX188">
        <f t="shared" si="6"/>
        <v>2.9525862068965521E-2</v>
      </c>
      <c r="CY188">
        <f t="shared" si="7"/>
        <v>1.8211206896551726E-2</v>
      </c>
      <c r="CZ188">
        <f t="shared" si="8"/>
        <v>2.0150862068965516E-2</v>
      </c>
      <c r="DA188" t="str">
        <f>IF(CR188&lt;CX188,"yes","no")</f>
        <v>no</v>
      </c>
      <c r="DB188" t="str">
        <f>IF(CS188&lt;CY188,"yes","no")</f>
        <v>no</v>
      </c>
      <c r="DC188" t="str">
        <f>IF(CT188&lt;CZ188,"yes","no")</f>
        <v>no</v>
      </c>
    </row>
    <row r="189" spans="1:107" x14ac:dyDescent="0.2">
      <c r="A189" s="2" t="b">
        <v>0</v>
      </c>
      <c r="B189" s="2" t="s">
        <v>79</v>
      </c>
      <c r="C189" s="2" t="s">
        <v>80</v>
      </c>
      <c r="D189" s="2" t="s">
        <v>951</v>
      </c>
      <c r="E189" s="2" t="s">
        <v>952</v>
      </c>
      <c r="F189" s="2">
        <v>2</v>
      </c>
      <c r="G189" s="2">
        <v>2</v>
      </c>
      <c r="H189" s="2">
        <v>38.799999999999997</v>
      </c>
      <c r="I189" s="2">
        <v>6</v>
      </c>
      <c r="J189" s="2" t="s">
        <v>83</v>
      </c>
      <c r="K189" s="2" t="s">
        <v>953</v>
      </c>
      <c r="L189" s="2" t="s">
        <v>85</v>
      </c>
      <c r="M189" s="2" t="s">
        <v>83</v>
      </c>
      <c r="N189" s="2" t="s">
        <v>954</v>
      </c>
      <c r="O189" s="2">
        <v>1.9410000000000001</v>
      </c>
      <c r="P189" s="2">
        <v>0.42</v>
      </c>
      <c r="Q189" s="2">
        <v>1.4490000000000001</v>
      </c>
      <c r="R189" s="2">
        <v>2.8220000000000001</v>
      </c>
      <c r="S189" s="2">
        <v>5.5570000000000004</v>
      </c>
      <c r="T189" s="2">
        <v>1.2490000000000001</v>
      </c>
      <c r="U189" s="2">
        <v>3.9670000000000001</v>
      </c>
      <c r="V189" s="2">
        <v>0.23599999999999999</v>
      </c>
      <c r="W189" s="2">
        <v>0.75700000000000001</v>
      </c>
      <c r="X189" s="2">
        <v>3.2130000000000001</v>
      </c>
      <c r="Y189" s="2">
        <v>96.7</v>
      </c>
      <c r="Z189" s="2">
        <v>32.5</v>
      </c>
      <c r="AA189" s="2">
        <v>187.9</v>
      </c>
      <c r="AB189" s="2">
        <v>40.6</v>
      </c>
      <c r="AC189" s="2">
        <v>142.19999999999999</v>
      </c>
      <c r="AD189" s="2">
        <v>375173.90625</v>
      </c>
      <c r="AE189" s="2">
        <v>269199.53125</v>
      </c>
      <c r="AF189" s="2">
        <v>258749.484375</v>
      </c>
      <c r="AG189" s="2">
        <v>299697.1875</v>
      </c>
      <c r="AH189" s="2">
        <v>229152.875</v>
      </c>
      <c r="AI189" s="2">
        <v>2371.09692382813</v>
      </c>
      <c r="AJ189" s="2" t="s">
        <v>83</v>
      </c>
      <c r="AK189" s="2" t="s">
        <v>83</v>
      </c>
      <c r="AL189" s="2">
        <v>2671.36279296875</v>
      </c>
      <c r="AM189" s="2" t="s">
        <v>83</v>
      </c>
      <c r="AN189" s="2">
        <v>9111.1162109375</v>
      </c>
      <c r="AO189" s="2">
        <v>8610.908203125</v>
      </c>
      <c r="AP189" s="2">
        <v>15080.13671875</v>
      </c>
      <c r="AQ189" s="2">
        <v>6888.08056640625</v>
      </c>
      <c r="AR189" s="2" t="s">
        <v>83</v>
      </c>
      <c r="AS189" s="2" t="s">
        <v>83</v>
      </c>
      <c r="AT189" s="2" t="s">
        <v>83</v>
      </c>
      <c r="AU189" s="2">
        <v>22006.8671875</v>
      </c>
      <c r="AV189" s="2">
        <v>12062.5302734375</v>
      </c>
      <c r="AW189" s="2">
        <v>19866.869140625</v>
      </c>
      <c r="AX189" s="2">
        <v>20990.037109375</v>
      </c>
      <c r="AY189" s="2">
        <v>26368.65234375</v>
      </c>
      <c r="AZ189" s="2">
        <v>24705.123046875</v>
      </c>
      <c r="BA189" s="2">
        <v>13346.1904296875</v>
      </c>
      <c r="BB189" s="2">
        <v>23337.8984375</v>
      </c>
      <c r="BC189" s="2" t="s">
        <v>79</v>
      </c>
      <c r="BD189" s="2" t="s">
        <v>79</v>
      </c>
      <c r="BE189" s="2" t="s">
        <v>79</v>
      </c>
      <c r="BF189" s="2" t="s">
        <v>79</v>
      </c>
      <c r="BG189" s="2" t="s">
        <v>79</v>
      </c>
      <c r="BH189" s="2" t="s">
        <v>91</v>
      </c>
      <c r="BI189" s="2" t="s">
        <v>98</v>
      </c>
      <c r="BJ189" s="2" t="s">
        <v>98</v>
      </c>
      <c r="BK189" s="2" t="s">
        <v>91</v>
      </c>
      <c r="BL189" s="2" t="s">
        <v>98</v>
      </c>
      <c r="BM189" s="2" t="s">
        <v>91</v>
      </c>
      <c r="BN189" s="2" t="s">
        <v>91</v>
      </c>
      <c r="BO189" s="2" t="s">
        <v>91</v>
      </c>
      <c r="BP189" s="2" t="s">
        <v>91</v>
      </c>
      <c r="BQ189" s="2" t="s">
        <v>98</v>
      </c>
      <c r="BR189" s="2" t="s">
        <v>98</v>
      </c>
      <c r="BS189" s="2" t="s">
        <v>79</v>
      </c>
      <c r="BT189" s="2" t="s">
        <v>91</v>
      </c>
      <c r="BU189" s="2" t="s">
        <v>79</v>
      </c>
      <c r="BV189" s="2" t="s">
        <v>91</v>
      </c>
      <c r="BW189" s="2" t="s">
        <v>91</v>
      </c>
      <c r="BX189" s="2" t="s">
        <v>91</v>
      </c>
      <c r="BY189" s="2" t="s">
        <v>91</v>
      </c>
      <c r="BZ189" s="2" t="s">
        <v>91</v>
      </c>
      <c r="CA189" s="2" t="s">
        <v>91</v>
      </c>
      <c r="CB189">
        <f>TTEST(AS189:AW189,AI189:AM189,2,2)</f>
        <v>2.8744122473996613E-2</v>
      </c>
      <c r="CC189">
        <f>TTEST(AD189:AH189,AI189:AM189,2,2)</f>
        <v>1.0371007805998857E-3</v>
      </c>
      <c r="CD189">
        <f>TTEST(AN189:AR189,AI189:AM189,2,2)</f>
        <v>5.0623550219549958E-2</v>
      </c>
      <c r="CE189">
        <f>TTEST(AX189:BB189,AI189:AM189,2,2)</f>
        <v>3.9559197722679983E-3</v>
      </c>
      <c r="CF189">
        <v>143</v>
      </c>
      <c r="CG189">
        <v>134</v>
      </c>
      <c r="CH189">
        <v>121</v>
      </c>
      <c r="CI189">
        <v>73</v>
      </c>
      <c r="CJ189">
        <f>0.05*CF189/464</f>
        <v>1.5409482758620691E-2</v>
      </c>
      <c r="CK189">
        <f>0.05*CG189/464</f>
        <v>1.4439655172413794E-2</v>
      </c>
      <c r="CL189">
        <f>0.05*CH189/464</f>
        <v>1.3038793103448278E-2</v>
      </c>
      <c r="CM189">
        <f>0.05*CI189/464</f>
        <v>7.8663793103448277E-3</v>
      </c>
      <c r="CN189" t="str">
        <f>IF(CB189&lt;CJ189,"yes","no")</f>
        <v>no</v>
      </c>
      <c r="CO189" t="str">
        <f>IF(CC189&lt;CK189,"yes","no")</f>
        <v>yes</v>
      </c>
      <c r="CP189" t="str">
        <f>IF(CD189&lt;CL189,"yes","no")</f>
        <v>no</v>
      </c>
      <c r="CQ189" t="str">
        <f>IF(CE189&lt;CM189,"yes","no")</f>
        <v>yes</v>
      </c>
      <c r="CR189">
        <f>TTEST(AS189:AW189,AD189:AH189,2,2)</f>
        <v>1.940419322760262E-4</v>
      </c>
      <c r="CS189">
        <f>TTEST(AS189:AW189,AN189:AR189,2,2)</f>
        <v>5.8219932861813241E-2</v>
      </c>
      <c r="CT189">
        <f>TTEST(AS189:AW189,AX189:BB189,2,2)</f>
        <v>0.35397723959174743</v>
      </c>
      <c r="CU189">
        <v>141</v>
      </c>
      <c r="CV189">
        <v>168</v>
      </c>
      <c r="CW189">
        <v>188</v>
      </c>
      <c r="CX189">
        <f t="shared" si="6"/>
        <v>1.519396551724138E-2</v>
      </c>
      <c r="CY189">
        <f t="shared" si="7"/>
        <v>1.810344827586207E-2</v>
      </c>
      <c r="CZ189">
        <f t="shared" si="8"/>
        <v>2.0258620689655175E-2</v>
      </c>
      <c r="DA189" t="str">
        <f>IF(CR189&lt;CX189,"yes","no")</f>
        <v>yes</v>
      </c>
      <c r="DB189" t="str">
        <f>IF(CS189&lt;CY189,"yes","no")</f>
        <v>no</v>
      </c>
      <c r="DC189" t="str">
        <f>IF(CT189&lt;CZ189,"yes","no")</f>
        <v>no</v>
      </c>
    </row>
    <row r="190" spans="1:107" x14ac:dyDescent="0.2">
      <c r="A190" s="2" t="b">
        <v>0</v>
      </c>
      <c r="B190" s="2" t="s">
        <v>79</v>
      </c>
      <c r="C190" s="2" t="s">
        <v>80</v>
      </c>
      <c r="D190" s="2" t="s">
        <v>241</v>
      </c>
      <c r="E190" s="2" t="s">
        <v>242</v>
      </c>
      <c r="F190" s="2">
        <v>9</v>
      </c>
      <c r="G190" s="2">
        <v>5</v>
      </c>
      <c r="H190" s="2">
        <v>61.8</v>
      </c>
      <c r="I190" s="2">
        <v>7.8</v>
      </c>
      <c r="J190" s="2" t="s">
        <v>228</v>
      </c>
      <c r="K190" s="2" t="s">
        <v>145</v>
      </c>
      <c r="L190" s="2" t="s">
        <v>170</v>
      </c>
      <c r="M190" s="2" t="s">
        <v>243</v>
      </c>
      <c r="N190" s="2" t="s">
        <v>244</v>
      </c>
      <c r="O190" s="2">
        <v>33.045000000000002</v>
      </c>
      <c r="P190" s="2">
        <v>3.7909999999999999</v>
      </c>
      <c r="Q190" s="2">
        <v>19.132000000000001</v>
      </c>
      <c r="R190" s="2">
        <v>2.5000000000000001E-2</v>
      </c>
      <c r="S190" s="2">
        <v>0.76900000000000002</v>
      </c>
      <c r="T190" s="2">
        <v>8.6999999999999994E-2</v>
      </c>
      <c r="U190" s="2">
        <v>0.442</v>
      </c>
      <c r="V190" s="2">
        <v>0.114</v>
      </c>
      <c r="W190" s="2">
        <v>0.53100000000000003</v>
      </c>
      <c r="X190" s="2">
        <v>4.9690000000000003</v>
      </c>
      <c r="Y190" s="2">
        <v>5</v>
      </c>
      <c r="Z190" s="2">
        <v>181.2</v>
      </c>
      <c r="AA190" s="2">
        <v>229.5</v>
      </c>
      <c r="AB190" s="2">
        <v>20.8</v>
      </c>
      <c r="AC190" s="2">
        <v>63.4</v>
      </c>
      <c r="AD190" s="2">
        <v>2043849.37255859</v>
      </c>
      <c r="AE190" s="2">
        <v>3411381.703125</v>
      </c>
      <c r="AF190" s="2">
        <v>1425589.2792968799</v>
      </c>
      <c r="AG190" s="2">
        <v>1666586.7590332001</v>
      </c>
      <c r="AH190" s="2">
        <v>455099.150390625</v>
      </c>
      <c r="AI190" s="2">
        <v>1236067.2104492199</v>
      </c>
      <c r="AJ190" s="2">
        <v>2674633.4580078102</v>
      </c>
      <c r="AK190" s="2">
        <v>1025634.42382813</v>
      </c>
      <c r="AL190" s="2">
        <v>13960932.1953125</v>
      </c>
      <c r="AM190" s="2">
        <v>966363.07934570301</v>
      </c>
      <c r="AN190" s="2">
        <v>720880.55566406297</v>
      </c>
      <c r="AO190" s="2">
        <v>483527.84375</v>
      </c>
      <c r="AP190" s="2">
        <v>2166707.2348632799</v>
      </c>
      <c r="AQ190" s="2">
        <v>1642954.1831054699</v>
      </c>
      <c r="AR190" s="2">
        <v>1967259.77416992</v>
      </c>
      <c r="AS190" s="2">
        <v>282328.96875</v>
      </c>
      <c r="AT190" s="2">
        <v>661853.4140625</v>
      </c>
      <c r="AU190" s="2">
        <v>2518535.70776367</v>
      </c>
      <c r="AV190" s="2">
        <v>986205.537109375</v>
      </c>
      <c r="AW190" s="2">
        <v>1246416.52514648</v>
      </c>
      <c r="AX190" s="2">
        <v>1002532.015625</v>
      </c>
      <c r="AY190" s="2">
        <v>6957772.8730468797</v>
      </c>
      <c r="AZ190" s="2">
        <v>800090.08203125</v>
      </c>
      <c r="BA190" s="2">
        <v>1032663.421875</v>
      </c>
      <c r="BB190" s="2">
        <v>1920554.04296875</v>
      </c>
      <c r="BC190" s="2" t="s">
        <v>79</v>
      </c>
      <c r="BD190" s="2" t="s">
        <v>79</v>
      </c>
      <c r="BE190" s="2" t="s">
        <v>79</v>
      </c>
      <c r="BF190" s="2" t="s">
        <v>79</v>
      </c>
      <c r="BG190" s="2" t="s">
        <v>79</v>
      </c>
      <c r="BH190" s="2" t="s">
        <v>79</v>
      </c>
      <c r="BI190" s="2" t="s">
        <v>79</v>
      </c>
      <c r="BJ190" s="2" t="s">
        <v>79</v>
      </c>
      <c r="BK190" s="2" t="s">
        <v>79</v>
      </c>
      <c r="BL190" s="2" t="s">
        <v>79</v>
      </c>
      <c r="BM190" s="2" t="s">
        <v>79</v>
      </c>
      <c r="BN190" s="2" t="s">
        <v>79</v>
      </c>
      <c r="BO190" s="2" t="s">
        <v>79</v>
      </c>
      <c r="BP190" s="2" t="s">
        <v>79</v>
      </c>
      <c r="BQ190" s="2" t="s">
        <v>79</v>
      </c>
      <c r="BR190" s="2" t="s">
        <v>79</v>
      </c>
      <c r="BS190" s="2" t="s">
        <v>79</v>
      </c>
      <c r="BT190" s="2" t="s">
        <v>79</v>
      </c>
      <c r="BU190" s="2" t="s">
        <v>79</v>
      </c>
      <c r="BV190" s="2" t="s">
        <v>79</v>
      </c>
      <c r="BW190" s="2" t="s">
        <v>79</v>
      </c>
      <c r="BX190" s="2" t="s">
        <v>79</v>
      </c>
      <c r="BY190" s="2" t="s">
        <v>79</v>
      </c>
      <c r="BZ190" s="2" t="s">
        <v>79</v>
      </c>
      <c r="CA190" s="2" t="s">
        <v>79</v>
      </c>
      <c r="CB190">
        <f>TTEST(AS190:AW190,AI190:AM190,2,2)</f>
        <v>0.29789693207660839</v>
      </c>
      <c r="CC190">
        <f>TTEST(AD190:AH190,AI190:AM190,2,2)</f>
        <v>0.421169234918085</v>
      </c>
      <c r="CD190">
        <f>TTEST(AN190:AR190,AI190:AM190,2,2)</f>
        <v>0.33992937449644639</v>
      </c>
      <c r="CE190">
        <f>TTEST(AX190:BB190,AI190:AM190,2,2)</f>
        <v>0.57316622187802535</v>
      </c>
      <c r="CF190">
        <v>179</v>
      </c>
      <c r="CG190">
        <v>221</v>
      </c>
      <c r="CH190">
        <v>161</v>
      </c>
      <c r="CI190">
        <v>167</v>
      </c>
      <c r="CJ190">
        <f>0.05*CF190/464</f>
        <v>1.928879310344828E-2</v>
      </c>
      <c r="CK190">
        <f>0.05*CG190/464</f>
        <v>2.3814655172413796E-2</v>
      </c>
      <c r="CL190">
        <f>0.05*CH190/464</f>
        <v>1.7349137931034483E-2</v>
      </c>
      <c r="CM190">
        <f>0.05*CI190/464</f>
        <v>1.7995689655172412E-2</v>
      </c>
      <c r="CN190" t="str">
        <f>IF(CB190&lt;CJ190,"yes","no")</f>
        <v>no</v>
      </c>
      <c r="CO190" t="str">
        <f>IF(CC190&lt;CK190,"yes","no")</f>
        <v>no</v>
      </c>
      <c r="CP190" t="str">
        <f>IF(CD190&lt;CL190,"yes","no")</f>
        <v>no</v>
      </c>
      <c r="CQ190" t="str">
        <f>IF(CE190&lt;CM190,"yes","no")</f>
        <v>no</v>
      </c>
      <c r="CR190">
        <f>TTEST(AS190:AW190,AD190:AH190,2,2)</f>
        <v>0.31224675962875392</v>
      </c>
      <c r="CS190">
        <f>TTEST(AS190:AW190,AN190:AR190,2,2)</f>
        <v>0.62656681805743131</v>
      </c>
      <c r="CT190">
        <f>TTEST(AS190:AW190,AX190:BB190,2,2)</f>
        <v>0.35652774413180593</v>
      </c>
      <c r="CU190">
        <v>283</v>
      </c>
      <c r="CV190">
        <v>239</v>
      </c>
      <c r="CW190">
        <v>189</v>
      </c>
      <c r="CX190">
        <f t="shared" si="6"/>
        <v>3.0495689655172416E-2</v>
      </c>
      <c r="CY190">
        <f t="shared" si="7"/>
        <v>2.5754310344827589E-2</v>
      </c>
      <c r="CZ190">
        <f t="shared" si="8"/>
        <v>2.036637931034483E-2</v>
      </c>
      <c r="DA190" t="str">
        <f>IF(CR190&lt;CX190,"yes","no")</f>
        <v>no</v>
      </c>
      <c r="DB190" t="str">
        <f>IF(CS190&lt;CY190,"yes","no")</f>
        <v>no</v>
      </c>
      <c r="DC190" t="str">
        <f>IF(CT190&lt;CZ190,"yes","no")</f>
        <v>no</v>
      </c>
    </row>
    <row r="191" spans="1:107" x14ac:dyDescent="0.2">
      <c r="A191" s="2" t="b">
        <v>0</v>
      </c>
      <c r="B191" s="2" t="s">
        <v>79</v>
      </c>
      <c r="C191" s="2" t="s">
        <v>80</v>
      </c>
      <c r="D191" s="2" t="s">
        <v>1576</v>
      </c>
      <c r="E191" s="2" t="s">
        <v>1577</v>
      </c>
      <c r="F191" s="2">
        <v>1</v>
      </c>
      <c r="G191" s="2">
        <v>1</v>
      </c>
      <c r="H191" s="2">
        <v>105.5</v>
      </c>
      <c r="I191" s="2">
        <v>6.62</v>
      </c>
      <c r="J191" s="2" t="s">
        <v>661</v>
      </c>
      <c r="K191" s="2" t="s">
        <v>607</v>
      </c>
      <c r="L191" s="2" t="s">
        <v>115</v>
      </c>
      <c r="M191" s="2" t="s">
        <v>1578</v>
      </c>
      <c r="N191" s="2" t="s">
        <v>1576</v>
      </c>
      <c r="O191" s="2">
        <v>7.2130000000000001</v>
      </c>
      <c r="P191" s="2">
        <v>2.911</v>
      </c>
      <c r="Q191" s="2">
        <v>8.8889999999999993</v>
      </c>
      <c r="R191" s="2">
        <v>7.5999999999999998E-2</v>
      </c>
      <c r="S191" s="2">
        <v>0.56899999999999995</v>
      </c>
      <c r="T191" s="2">
        <v>0.23</v>
      </c>
      <c r="U191" s="2">
        <v>0.70199999999999996</v>
      </c>
      <c r="V191" s="2">
        <v>0.36499999999999999</v>
      </c>
      <c r="W191" s="2">
        <v>1.1639999999999999</v>
      </c>
      <c r="X191" s="2">
        <v>3.24</v>
      </c>
      <c r="Y191" s="2">
        <v>14.4</v>
      </c>
      <c r="Z191" s="2">
        <v>181.7</v>
      </c>
      <c r="AA191" s="2">
        <v>121.1</v>
      </c>
      <c r="AB191" s="2">
        <v>41.8</v>
      </c>
      <c r="AC191" s="2">
        <v>141</v>
      </c>
      <c r="AD191" s="2">
        <v>1070331.125</v>
      </c>
      <c r="AE191" s="2">
        <v>1027109.1875</v>
      </c>
      <c r="AF191" s="2">
        <v>721902.25</v>
      </c>
      <c r="AG191" s="2">
        <v>914646.625</v>
      </c>
      <c r="AH191" s="2">
        <v>1082502.875</v>
      </c>
      <c r="AI191" s="2">
        <v>226882.2890625</v>
      </c>
      <c r="AJ191" s="2">
        <v>245309.296875</v>
      </c>
      <c r="AK191" s="2">
        <v>204096.453125</v>
      </c>
      <c r="AL191" s="2">
        <v>423683.734375</v>
      </c>
      <c r="AM191" s="2">
        <v>248779.2734375</v>
      </c>
      <c r="AN191" s="2">
        <v>128338.7734375</v>
      </c>
      <c r="AO191" s="2">
        <v>121912.35546875</v>
      </c>
      <c r="AP191" s="2">
        <v>185919.5078125</v>
      </c>
      <c r="AQ191" s="2">
        <v>100229.3515625</v>
      </c>
      <c r="AR191" s="2">
        <v>186052.88671875</v>
      </c>
      <c r="AS191" s="2">
        <v>378915.45703125</v>
      </c>
      <c r="AT191" s="2">
        <v>584766.6328125</v>
      </c>
      <c r="AU191" s="2">
        <v>350191.9375</v>
      </c>
      <c r="AV191" s="2">
        <v>415156.48828125</v>
      </c>
      <c r="AW191" s="2">
        <v>475420.0625</v>
      </c>
      <c r="AX191" s="2">
        <v>413679.373046875</v>
      </c>
      <c r="AY191" s="2">
        <v>592075.318359375</v>
      </c>
      <c r="AZ191" s="2">
        <v>569102.240234375</v>
      </c>
      <c r="BA191" s="2">
        <v>455881.66503906302</v>
      </c>
      <c r="BB191" s="2">
        <v>441438.892578125</v>
      </c>
      <c r="BC191" s="2" t="s">
        <v>91</v>
      </c>
      <c r="BD191" s="2" t="s">
        <v>91</v>
      </c>
      <c r="BE191" s="2" t="s">
        <v>91</v>
      </c>
      <c r="BF191" s="2" t="s">
        <v>91</v>
      </c>
      <c r="BG191" s="2" t="s">
        <v>91</v>
      </c>
      <c r="BH191" s="2" t="s">
        <v>91</v>
      </c>
      <c r="BI191" s="2" t="s">
        <v>91</v>
      </c>
      <c r="BJ191" s="2" t="s">
        <v>91</v>
      </c>
      <c r="BK191" s="2" t="s">
        <v>91</v>
      </c>
      <c r="BL191" s="2" t="s">
        <v>91</v>
      </c>
      <c r="BM191" s="2" t="s">
        <v>79</v>
      </c>
      <c r="BN191" s="2" t="s">
        <v>91</v>
      </c>
      <c r="BO191" s="2" t="s">
        <v>91</v>
      </c>
      <c r="BP191" s="2" t="s">
        <v>91</v>
      </c>
      <c r="BQ191" s="2" t="s">
        <v>91</v>
      </c>
      <c r="BR191" s="2" t="s">
        <v>79</v>
      </c>
      <c r="BS191" s="2" t="s">
        <v>91</v>
      </c>
      <c r="BT191" s="2" t="s">
        <v>91</v>
      </c>
      <c r="BU191" s="2" t="s">
        <v>79</v>
      </c>
      <c r="BV191" s="2" t="s">
        <v>91</v>
      </c>
      <c r="BW191" s="2" t="s">
        <v>91</v>
      </c>
      <c r="BX191" s="2" t="s">
        <v>91</v>
      </c>
      <c r="BY191" s="2" t="s">
        <v>91</v>
      </c>
      <c r="BZ191" s="2" t="s">
        <v>91</v>
      </c>
      <c r="CA191" s="2" t="s">
        <v>79</v>
      </c>
      <c r="CB191">
        <f>TTEST(AS191:AW191,AI191:AM191,2,2)</f>
        <v>1.7322059453975212E-2</v>
      </c>
      <c r="CC191">
        <f>TTEST(AD191:AH191,AI191:AM191,2,2)</f>
        <v>1.9998371099256356E-5</v>
      </c>
      <c r="CD191">
        <f>TTEST(AN191:AR191,AI191:AM191,2,2)</f>
        <v>1.9586244967828025E-2</v>
      </c>
      <c r="CE191">
        <f>TTEST(AX191:BB191,AI191:AM191,2,2)</f>
        <v>2.9320833438103728E-3</v>
      </c>
      <c r="CF191">
        <v>136</v>
      </c>
      <c r="CG191">
        <v>87</v>
      </c>
      <c r="CH191">
        <v>107</v>
      </c>
      <c r="CI191">
        <v>66</v>
      </c>
      <c r="CJ191">
        <f>0.05*CF191/464</f>
        <v>1.4655172413793105E-2</v>
      </c>
      <c r="CK191">
        <f>0.05*CG191/464</f>
        <v>9.3750000000000014E-3</v>
      </c>
      <c r="CL191">
        <f>0.05*CH191/464</f>
        <v>1.1530172413793104E-2</v>
      </c>
      <c r="CM191">
        <f>0.05*CI191/464</f>
        <v>7.1120689655172417E-3</v>
      </c>
      <c r="CN191" t="str">
        <f>IF(CB191&lt;CJ191,"yes","no")</f>
        <v>no</v>
      </c>
      <c r="CO191" t="str">
        <f>IF(CC191&lt;CK191,"yes","no")</f>
        <v>yes</v>
      </c>
      <c r="CP191" t="str">
        <f>IF(CD191&lt;CL191,"yes","no")</f>
        <v>no</v>
      </c>
      <c r="CQ191" t="str">
        <f>IF(CE191&lt;CM191,"yes","no")</f>
        <v>yes</v>
      </c>
      <c r="CR191">
        <f>TTEST(AS191:AW191,AD191:AH191,2,2)</f>
        <v>1.679741652627915E-4</v>
      </c>
      <c r="CS191">
        <f>TTEST(AS191:AW191,AN191:AR191,2,2)</f>
        <v>1.7610544045418243E-4</v>
      </c>
      <c r="CT191">
        <f>TTEST(AS191:AW191,AX191:BB191,2,2)</f>
        <v>0.35896994423261097</v>
      </c>
      <c r="CU191">
        <v>138</v>
      </c>
      <c r="CV191">
        <v>57</v>
      </c>
      <c r="CW191">
        <v>190</v>
      </c>
      <c r="CX191">
        <f t="shared" si="6"/>
        <v>1.4870689655172414E-2</v>
      </c>
      <c r="CY191">
        <f t="shared" si="7"/>
        <v>6.142241379310345E-3</v>
      </c>
      <c r="CZ191">
        <f t="shared" si="8"/>
        <v>2.0474137931034482E-2</v>
      </c>
      <c r="DA191" t="str">
        <f>IF(CR191&lt;CX191,"yes","no")</f>
        <v>yes</v>
      </c>
      <c r="DB191" t="str">
        <f>IF(CS191&lt;CY191,"yes","no")</f>
        <v>yes</v>
      </c>
      <c r="DC191" t="str">
        <f>IF(CT191&lt;CZ191,"yes","no")</f>
        <v>no</v>
      </c>
    </row>
    <row r="192" spans="1:107" x14ac:dyDescent="0.2">
      <c r="A192" s="2" t="b">
        <v>0</v>
      </c>
      <c r="B192" s="2" t="s">
        <v>79</v>
      </c>
      <c r="C192" s="2" t="s">
        <v>80</v>
      </c>
      <c r="D192" s="2" t="s">
        <v>826</v>
      </c>
      <c r="E192" s="2" t="s">
        <v>827</v>
      </c>
      <c r="F192" s="2">
        <v>2</v>
      </c>
      <c r="G192" s="2">
        <v>2</v>
      </c>
      <c r="H192" s="2">
        <v>11.9</v>
      </c>
      <c r="I192" s="2">
        <v>7.28</v>
      </c>
      <c r="J192" s="2" t="s">
        <v>254</v>
      </c>
      <c r="K192" s="2" t="s">
        <v>319</v>
      </c>
      <c r="L192" s="2" t="s">
        <v>83</v>
      </c>
      <c r="M192" s="2" t="s">
        <v>83</v>
      </c>
      <c r="N192" s="2" t="s">
        <v>826</v>
      </c>
      <c r="O192" s="2">
        <v>2.8109999999999999</v>
      </c>
      <c r="P192" s="2">
        <v>1.258</v>
      </c>
      <c r="Q192" s="2">
        <v>3.8050000000000002</v>
      </c>
      <c r="R192" s="2">
        <v>0.88900000000000001</v>
      </c>
      <c r="S192" s="2">
        <v>2.0030000000000001</v>
      </c>
      <c r="T192" s="2">
        <v>1.0409999999999999</v>
      </c>
      <c r="U192" s="2">
        <v>3.0419999999999998</v>
      </c>
      <c r="V192" s="2">
        <v>0.47399999999999998</v>
      </c>
      <c r="W192" s="2">
        <v>1.41</v>
      </c>
      <c r="X192" s="2">
        <v>2.8090000000000002</v>
      </c>
      <c r="Y192" s="2">
        <v>46.6</v>
      </c>
      <c r="Z192" s="2">
        <v>56.7</v>
      </c>
      <c r="AA192" s="2">
        <v>136.69999999999999</v>
      </c>
      <c r="AB192" s="2">
        <v>66.400000000000006</v>
      </c>
      <c r="AC192" s="2">
        <v>193.7</v>
      </c>
      <c r="AD192" s="2">
        <v>2083587.09765625</v>
      </c>
      <c r="AE192" s="2">
        <v>1457636.59375</v>
      </c>
      <c r="AF192" s="2">
        <v>1400733.9375</v>
      </c>
      <c r="AG192" s="2">
        <v>2636400.34375</v>
      </c>
      <c r="AH192" s="2">
        <v>2255311.94140625</v>
      </c>
      <c r="AI192" s="2">
        <v>48216.230712890603</v>
      </c>
      <c r="AJ192" s="2">
        <v>55378.593505859397</v>
      </c>
      <c r="AK192" s="2">
        <v>34506.020019531301</v>
      </c>
      <c r="AL192" s="2">
        <v>63110.21875</v>
      </c>
      <c r="AM192" s="2">
        <v>47397.988769531301</v>
      </c>
      <c r="AN192" s="2">
        <v>84835.4267578125</v>
      </c>
      <c r="AO192" s="2">
        <v>89010.935546875</v>
      </c>
      <c r="AP192" s="2">
        <v>99851.7490234375</v>
      </c>
      <c r="AQ192" s="2">
        <v>67255.966796875</v>
      </c>
      <c r="AR192" s="2">
        <v>153727.8359375</v>
      </c>
      <c r="AS192" s="2">
        <v>289443.55566406302</v>
      </c>
      <c r="AT192" s="2">
        <v>487100.884765625</v>
      </c>
      <c r="AU192" s="2">
        <v>367544.064453125</v>
      </c>
      <c r="AV192" s="2">
        <v>386407.32910156302</v>
      </c>
      <c r="AW192" s="2">
        <v>418090.921875</v>
      </c>
      <c r="AX192" s="2">
        <v>695235.33203125</v>
      </c>
      <c r="AY192" s="2">
        <v>703547.078125</v>
      </c>
      <c r="AZ192" s="2">
        <v>432521.53125</v>
      </c>
      <c r="BA192" s="2">
        <v>301362.2578125</v>
      </c>
      <c r="BB192" s="2">
        <v>282058.21875</v>
      </c>
      <c r="BC192" s="2" t="s">
        <v>79</v>
      </c>
      <c r="BD192" s="2" t="s">
        <v>79</v>
      </c>
      <c r="BE192" s="2" t="s">
        <v>79</v>
      </c>
      <c r="BF192" s="2" t="s">
        <v>79</v>
      </c>
      <c r="BG192" s="2" t="s">
        <v>79</v>
      </c>
      <c r="BH192" s="2" t="s">
        <v>79</v>
      </c>
      <c r="BI192" s="2" t="s">
        <v>79</v>
      </c>
      <c r="BJ192" s="2" t="s">
        <v>79</v>
      </c>
      <c r="BK192" s="2" t="s">
        <v>79</v>
      </c>
      <c r="BL192" s="2" t="s">
        <v>91</v>
      </c>
      <c r="BM192" s="2" t="s">
        <v>79</v>
      </c>
      <c r="BN192" s="2" t="s">
        <v>79</v>
      </c>
      <c r="BO192" s="2" t="s">
        <v>79</v>
      </c>
      <c r="BP192" s="2" t="s">
        <v>79</v>
      </c>
      <c r="BQ192" s="2" t="s">
        <v>79</v>
      </c>
      <c r="BR192" s="2" t="s">
        <v>79</v>
      </c>
      <c r="BS192" s="2" t="s">
        <v>79</v>
      </c>
      <c r="BT192" s="2" t="s">
        <v>79</v>
      </c>
      <c r="BU192" s="2" t="s">
        <v>79</v>
      </c>
      <c r="BV192" s="2" t="s">
        <v>79</v>
      </c>
      <c r="BW192" s="2" t="s">
        <v>79</v>
      </c>
      <c r="BX192" s="2" t="s">
        <v>79</v>
      </c>
      <c r="BY192" s="2" t="s">
        <v>79</v>
      </c>
      <c r="BZ192" s="2" t="s">
        <v>79</v>
      </c>
      <c r="CA192" s="2" t="s">
        <v>79</v>
      </c>
      <c r="CB192">
        <f>TTEST(AS192:AW192,AI192:AM192,2,2)</f>
        <v>6.2418155447879064E-6</v>
      </c>
      <c r="CC192">
        <f>TTEST(AD192:AH192,AI192:AM192,2,2)</f>
        <v>4.0592656607432061E-5</v>
      </c>
      <c r="CD192">
        <f>TTEST(AN192:AR192,AI192:AM192,2,2)</f>
        <v>1.276508145979028E-2</v>
      </c>
      <c r="CE192">
        <f>TTEST(AX192:BB192,AI192:AM192,2,2)</f>
        <v>1.5449949677397549E-3</v>
      </c>
      <c r="CF192">
        <v>21</v>
      </c>
      <c r="CG192">
        <v>98</v>
      </c>
      <c r="CH192">
        <v>99</v>
      </c>
      <c r="CI192">
        <v>59</v>
      </c>
      <c r="CJ192">
        <f>0.05*CF192/464</f>
        <v>2.2629310344827588E-3</v>
      </c>
      <c r="CK192">
        <f>0.05*CG192/464</f>
        <v>1.0560344827586207E-2</v>
      </c>
      <c r="CL192">
        <f>0.05*CH192/464</f>
        <v>1.0668103448275863E-2</v>
      </c>
      <c r="CM192">
        <f>0.05*CI192/464</f>
        <v>6.3577586206896557E-3</v>
      </c>
      <c r="CN192" t="str">
        <f>IF(CB192&lt;CJ192,"yes","no")</f>
        <v>yes</v>
      </c>
      <c r="CO192" t="str">
        <f>IF(CC192&lt;CK192,"yes","no")</f>
        <v>yes</v>
      </c>
      <c r="CP192" t="str">
        <f>IF(CD192&lt;CL192,"yes","no")</f>
        <v>no</v>
      </c>
      <c r="CQ192" t="str">
        <f>IF(CE192&lt;CM192,"yes","no")</f>
        <v>yes</v>
      </c>
      <c r="CR192">
        <f>TTEST(AS192:AW192,AD192:AH192,2,2)</f>
        <v>1.7138569900347698E-4</v>
      </c>
      <c r="CS192">
        <f>TTEST(AS192:AW192,AN192:AR192,2,2)</f>
        <v>3.6542479061706798E-5</v>
      </c>
      <c r="CT192">
        <f>TTEST(AS192:AW192,AX192:BB192,2,2)</f>
        <v>0.36736611704195526</v>
      </c>
      <c r="CU192">
        <v>139</v>
      </c>
      <c r="CV192">
        <v>25</v>
      </c>
      <c r="CW192">
        <v>191</v>
      </c>
      <c r="CX192">
        <f t="shared" si="6"/>
        <v>1.4978448275862069E-2</v>
      </c>
      <c r="CY192">
        <f t="shared" si="7"/>
        <v>2.6939655172413795E-3</v>
      </c>
      <c r="CZ192">
        <f t="shared" si="8"/>
        <v>2.0581896551724141E-2</v>
      </c>
      <c r="DA192" t="str">
        <f>IF(CR192&lt;CX192,"yes","no")</f>
        <v>yes</v>
      </c>
      <c r="DB192" t="str">
        <f>IF(CS192&lt;CY192,"yes","no")</f>
        <v>yes</v>
      </c>
      <c r="DC192" t="str">
        <f>IF(CT192&lt;CZ192,"yes","no")</f>
        <v>no</v>
      </c>
    </row>
    <row r="193" spans="1:107" x14ac:dyDescent="0.2">
      <c r="A193" s="2" t="b">
        <v>0</v>
      </c>
      <c r="B193" s="2" t="s">
        <v>79</v>
      </c>
      <c r="C193" s="2" t="s">
        <v>80</v>
      </c>
      <c r="D193" s="2" t="s">
        <v>883</v>
      </c>
      <c r="E193" s="2" t="s">
        <v>884</v>
      </c>
      <c r="F193" s="2">
        <v>2</v>
      </c>
      <c r="G193" s="2">
        <v>2</v>
      </c>
      <c r="H193" s="2">
        <v>21.8</v>
      </c>
      <c r="I193" s="2">
        <v>5.59</v>
      </c>
      <c r="J193" s="2" t="s">
        <v>885</v>
      </c>
      <c r="K193" s="2" t="s">
        <v>319</v>
      </c>
      <c r="L193" s="2" t="s">
        <v>119</v>
      </c>
      <c r="M193" s="2" t="s">
        <v>886</v>
      </c>
      <c r="N193" s="2" t="s">
        <v>883</v>
      </c>
      <c r="O193" s="2">
        <v>3.5649999999999999</v>
      </c>
      <c r="P193" s="2">
        <v>0.373</v>
      </c>
      <c r="Q193" s="2">
        <v>2.1960000000000002</v>
      </c>
      <c r="R193" s="2">
        <v>0.23100000000000001</v>
      </c>
      <c r="S193" s="2">
        <v>0.81699999999999995</v>
      </c>
      <c r="T193" s="2">
        <v>9.5000000000000001E-2</v>
      </c>
      <c r="U193" s="2">
        <v>0.28100000000000003</v>
      </c>
      <c r="V193" s="2">
        <v>0.104</v>
      </c>
      <c r="W193" s="2">
        <v>0.375</v>
      </c>
      <c r="X193" s="2">
        <v>5.423</v>
      </c>
      <c r="Y193" s="2">
        <v>44</v>
      </c>
      <c r="Z193" s="2">
        <v>221.9</v>
      </c>
      <c r="AA193" s="2">
        <v>162.1</v>
      </c>
      <c r="AB193" s="2">
        <v>14.5</v>
      </c>
      <c r="AC193" s="2">
        <v>57.6</v>
      </c>
      <c r="AD193" s="2">
        <v>768680.15625</v>
      </c>
      <c r="AE193" s="2" t="s">
        <v>83</v>
      </c>
      <c r="AF193" s="2">
        <v>1028835.3125</v>
      </c>
      <c r="AG193" s="2">
        <v>2341792.265625</v>
      </c>
      <c r="AH193" s="2">
        <v>185693.6953125</v>
      </c>
      <c r="AI193" s="2">
        <v>76251.68359375</v>
      </c>
      <c r="AJ193" s="2">
        <v>85582.7421875</v>
      </c>
      <c r="AK193" s="2">
        <v>80572.251953125</v>
      </c>
      <c r="AL193" s="2">
        <v>337491.17285156302</v>
      </c>
      <c r="AM193" s="2">
        <v>74671.126953125</v>
      </c>
      <c r="AN193" s="2">
        <v>9599.0390625</v>
      </c>
      <c r="AO193" s="2">
        <v>49904.479003906301</v>
      </c>
      <c r="AP193" s="2">
        <v>88051.892578125</v>
      </c>
      <c r="AQ193" s="2">
        <v>69116.2021484375</v>
      </c>
      <c r="AR193" s="2">
        <v>128584.4140625</v>
      </c>
      <c r="AS193" s="2">
        <v>37576.705078125</v>
      </c>
      <c r="AT193" s="2">
        <v>77334.052734375</v>
      </c>
      <c r="AU193" s="2">
        <v>92902.044921875</v>
      </c>
      <c r="AV193" s="2">
        <v>42379.22265625</v>
      </c>
      <c r="AW193" s="2">
        <v>44277.037109375</v>
      </c>
      <c r="AX193" s="2">
        <v>80839.984375</v>
      </c>
      <c r="AY193" s="2">
        <v>345179.09375</v>
      </c>
      <c r="AZ193" s="2">
        <v>39793</v>
      </c>
      <c r="BA193" s="2">
        <v>58079.15625</v>
      </c>
      <c r="BB193" s="2">
        <v>47169.85546875</v>
      </c>
      <c r="BC193" s="2" t="s">
        <v>79</v>
      </c>
      <c r="BD193" s="2" t="s">
        <v>98</v>
      </c>
      <c r="BE193" s="2" t="s">
        <v>79</v>
      </c>
      <c r="BF193" s="2" t="s">
        <v>79</v>
      </c>
      <c r="BG193" s="2" t="s">
        <v>91</v>
      </c>
      <c r="BH193" s="2" t="s">
        <v>91</v>
      </c>
      <c r="BI193" s="2" t="s">
        <v>79</v>
      </c>
      <c r="BJ193" s="2" t="s">
        <v>91</v>
      </c>
      <c r="BK193" s="2" t="s">
        <v>79</v>
      </c>
      <c r="BL193" s="2" t="s">
        <v>91</v>
      </c>
      <c r="BM193" s="2" t="s">
        <v>91</v>
      </c>
      <c r="BN193" s="2" t="s">
        <v>91</v>
      </c>
      <c r="BO193" s="2" t="s">
        <v>79</v>
      </c>
      <c r="BP193" s="2" t="s">
        <v>91</v>
      </c>
      <c r="BQ193" s="2" t="s">
        <v>79</v>
      </c>
      <c r="BR193" s="2" t="s">
        <v>91</v>
      </c>
      <c r="BS193" s="2" t="s">
        <v>91</v>
      </c>
      <c r="BT193" s="2" t="s">
        <v>91</v>
      </c>
      <c r="BU193" s="2" t="s">
        <v>91</v>
      </c>
      <c r="BV193" s="2" t="s">
        <v>91</v>
      </c>
      <c r="BW193" s="2" t="s">
        <v>91</v>
      </c>
      <c r="BX193" s="2" t="s">
        <v>79</v>
      </c>
      <c r="BY193" s="2" t="s">
        <v>91</v>
      </c>
      <c r="BZ193" s="2" t="s">
        <v>91</v>
      </c>
      <c r="CA193" s="2" t="s">
        <v>79</v>
      </c>
      <c r="CB193">
        <f>TTEST(AS193:AW193,AI193:AM193,2,2)</f>
        <v>0.21005081014733135</v>
      </c>
      <c r="CC193">
        <f>TTEST(AD193:AH193,AI193:AM193,2,2)</f>
        <v>5.1119518514070449E-2</v>
      </c>
      <c r="CD193">
        <f>TTEST(AN193:AR193,AI193:AM193,2,2)</f>
        <v>0.29595992583788744</v>
      </c>
      <c r="CE193">
        <f>TTEST(AX193:BB193,AI193:AM193,2,2)</f>
        <v>0.8353939151609906</v>
      </c>
      <c r="CF193">
        <v>167</v>
      </c>
      <c r="CG193">
        <v>179</v>
      </c>
      <c r="CH193">
        <v>154</v>
      </c>
      <c r="CI193">
        <v>195</v>
      </c>
      <c r="CJ193">
        <f>0.05*CF193/464</f>
        <v>1.7995689655172412E-2</v>
      </c>
      <c r="CK193">
        <f>0.05*CG193/464</f>
        <v>1.928879310344828E-2</v>
      </c>
      <c r="CL193">
        <f>0.05*CH193/464</f>
        <v>1.6594827586206898E-2</v>
      </c>
      <c r="CM193">
        <f>0.05*CI193/464</f>
        <v>2.1012931034482759E-2</v>
      </c>
      <c r="CN193" t="str">
        <f>IF(CB193&lt;CJ193,"yes","no")</f>
        <v>no</v>
      </c>
      <c r="CO193" t="str">
        <f>IF(CC193&lt;CK193,"yes","no")</f>
        <v>no</v>
      </c>
      <c r="CP193" t="str">
        <f>IF(CD193&lt;CL193,"yes","no")</f>
        <v>no</v>
      </c>
      <c r="CQ193" t="str">
        <f>IF(CE193&lt;CM193,"yes","no")</f>
        <v>no</v>
      </c>
      <c r="CR193">
        <f>TTEST(AS193:AW193,AD193:AH193,2,2)</f>
        <v>3.7918516842144104E-2</v>
      </c>
      <c r="CS193">
        <f>TTEST(AS193:AW193,AN193:AR193,2,2)</f>
        <v>0.66547364656225805</v>
      </c>
      <c r="CT193">
        <f>TTEST(AS193:AW193,AX193:BB193,2,2)</f>
        <v>0.37738400985205534</v>
      </c>
      <c r="CU193">
        <v>220</v>
      </c>
      <c r="CV193">
        <v>242</v>
      </c>
      <c r="CW193">
        <v>192</v>
      </c>
      <c r="CX193">
        <f t="shared" si="6"/>
        <v>2.3706896551724137E-2</v>
      </c>
      <c r="CY193">
        <f t="shared" si="7"/>
        <v>2.6077586206896555E-2</v>
      </c>
      <c r="CZ193">
        <f t="shared" si="8"/>
        <v>2.0689655172413796E-2</v>
      </c>
      <c r="DA193" t="str">
        <f>IF(CR193&lt;CX193,"yes","no")</f>
        <v>no</v>
      </c>
      <c r="DB193" t="str">
        <f>IF(CS193&lt;CY193,"yes","no")</f>
        <v>no</v>
      </c>
      <c r="DC193" t="str">
        <f>IF(CT193&lt;CZ193,"yes","no")</f>
        <v>no</v>
      </c>
    </row>
    <row r="194" spans="1:107" x14ac:dyDescent="0.2">
      <c r="A194" s="2" t="b">
        <v>0</v>
      </c>
      <c r="B194" s="2" t="s">
        <v>79</v>
      </c>
      <c r="C194" s="2" t="s">
        <v>80</v>
      </c>
      <c r="D194" s="2" t="s">
        <v>209</v>
      </c>
      <c r="E194" s="2" t="s">
        <v>210</v>
      </c>
      <c r="F194" s="2">
        <v>23</v>
      </c>
      <c r="G194" s="2">
        <v>23</v>
      </c>
      <c r="H194" s="2">
        <v>189.4</v>
      </c>
      <c r="I194" s="2">
        <v>6.62</v>
      </c>
      <c r="J194" s="2" t="s">
        <v>195</v>
      </c>
      <c r="K194" s="2" t="s">
        <v>84</v>
      </c>
      <c r="L194" s="2" t="s">
        <v>85</v>
      </c>
      <c r="M194" s="2" t="s">
        <v>211</v>
      </c>
      <c r="N194" s="2" t="s">
        <v>209</v>
      </c>
      <c r="O194" s="2">
        <v>2.2069999999999999</v>
      </c>
      <c r="P194" s="2">
        <v>1.093</v>
      </c>
      <c r="Q194" s="2">
        <v>1.329</v>
      </c>
      <c r="R194" s="2">
        <v>0.61899999999999999</v>
      </c>
      <c r="S194" s="2">
        <v>1.5629999999999999</v>
      </c>
      <c r="T194" s="2">
        <v>8.5999999999999993E-2</v>
      </c>
      <c r="U194" s="2">
        <v>0.41399999999999998</v>
      </c>
      <c r="V194" s="2">
        <v>8.7999999999999995E-2</v>
      </c>
      <c r="W194" s="2">
        <v>0.33300000000000002</v>
      </c>
      <c r="X194" s="2">
        <v>4.3609999999999998</v>
      </c>
      <c r="Y194" s="2">
        <v>29.8</v>
      </c>
      <c r="Z194" s="2">
        <v>203.5</v>
      </c>
      <c r="AA194" s="2">
        <v>161.6</v>
      </c>
      <c r="AB194" s="2">
        <v>19.899999999999999</v>
      </c>
      <c r="AC194" s="2">
        <v>85.1</v>
      </c>
      <c r="AD194" s="2">
        <v>10554105.5234375</v>
      </c>
      <c r="AE194" s="2">
        <v>9455059.7558593806</v>
      </c>
      <c r="AF194" s="2">
        <v>7240829.38671875</v>
      </c>
      <c r="AG194" s="2">
        <v>10388218.1210938</v>
      </c>
      <c r="AH194" s="2">
        <v>8575677.0859375</v>
      </c>
      <c r="AI194" s="2">
        <v>1031235.34765625</v>
      </c>
      <c r="AJ194" s="2">
        <v>2150848.75</v>
      </c>
      <c r="AK194" s="2">
        <v>991441.228515625</v>
      </c>
      <c r="AL194" s="2">
        <v>1837994.5048828099</v>
      </c>
      <c r="AM194" s="2">
        <v>1529003.15625</v>
      </c>
      <c r="AN194" s="2">
        <v>768404.15576171898</v>
      </c>
      <c r="AO194" s="2">
        <v>725719.89941406297</v>
      </c>
      <c r="AP194" s="2">
        <v>2097001.4777832001</v>
      </c>
      <c r="AQ194" s="2">
        <v>1068657.1013183601</v>
      </c>
      <c r="AR194" s="2">
        <v>1793930.9970703099</v>
      </c>
      <c r="AS194" s="2">
        <v>485366.015625</v>
      </c>
      <c r="AT194" s="2">
        <v>937239.6875</v>
      </c>
      <c r="AU194" s="2">
        <v>2982706.5</v>
      </c>
      <c r="AV194" s="2">
        <v>871989.603515625</v>
      </c>
      <c r="AW194" s="2">
        <v>1162252.69140625</v>
      </c>
      <c r="AX194" s="2">
        <v>615504.32910156297</v>
      </c>
      <c r="AY194" s="2">
        <v>18654820.660156298</v>
      </c>
      <c r="AZ194" s="2">
        <v>1084494.625</v>
      </c>
      <c r="BA194" s="2">
        <v>1281604.0439453099</v>
      </c>
      <c r="BB194" s="2">
        <v>1242548.4042968799</v>
      </c>
      <c r="BC194" s="2" t="s">
        <v>79</v>
      </c>
      <c r="BD194" s="2" t="s">
        <v>79</v>
      </c>
      <c r="BE194" s="2" t="s">
        <v>79</v>
      </c>
      <c r="BF194" s="2" t="s">
        <v>79</v>
      </c>
      <c r="BG194" s="2" t="s">
        <v>79</v>
      </c>
      <c r="BH194" s="2" t="s">
        <v>91</v>
      </c>
      <c r="BI194" s="2" t="s">
        <v>91</v>
      </c>
      <c r="BJ194" s="2" t="s">
        <v>91</v>
      </c>
      <c r="BK194" s="2" t="s">
        <v>91</v>
      </c>
      <c r="BL194" s="2" t="s">
        <v>91</v>
      </c>
      <c r="BM194" s="2" t="s">
        <v>79</v>
      </c>
      <c r="BN194" s="2" t="s">
        <v>91</v>
      </c>
      <c r="BO194" s="2" t="s">
        <v>79</v>
      </c>
      <c r="BP194" s="2" t="s">
        <v>91</v>
      </c>
      <c r="BQ194" s="2" t="s">
        <v>79</v>
      </c>
      <c r="BR194" s="2" t="s">
        <v>91</v>
      </c>
      <c r="BS194" s="2" t="s">
        <v>91</v>
      </c>
      <c r="BT194" s="2" t="s">
        <v>91</v>
      </c>
      <c r="BU194" s="2" t="s">
        <v>91</v>
      </c>
      <c r="BV194" s="2" t="s">
        <v>91</v>
      </c>
      <c r="BW194" s="2" t="s">
        <v>91</v>
      </c>
      <c r="BX194" s="2" t="s">
        <v>91</v>
      </c>
      <c r="BY194" s="2" t="s">
        <v>91</v>
      </c>
      <c r="BZ194" s="2" t="s">
        <v>91</v>
      </c>
      <c r="CA194" s="2" t="s">
        <v>91</v>
      </c>
      <c r="CB194">
        <f>TTEST(AS194:AW194,AI194:AM194,2,2)</f>
        <v>0.66646500442707435</v>
      </c>
      <c r="CC194">
        <f>TTEST(AD194:AH194,AI194:AM194,2,2)</f>
        <v>2.3863853314443509E-6</v>
      </c>
      <c r="CD194">
        <f>TTEST(AN194:AR194,AI194:AM194,2,2)</f>
        <v>0.56043928360239514</v>
      </c>
      <c r="CE194">
        <f>TTEST(AX194:BB194,AI194:AM194,2,2)</f>
        <v>0.41000975705609122</v>
      </c>
      <c r="CF194">
        <v>206</v>
      </c>
      <c r="CG194">
        <v>66</v>
      </c>
      <c r="CH194">
        <v>192</v>
      </c>
      <c r="CI194">
        <v>148</v>
      </c>
      <c r="CJ194">
        <f>0.05*CF194/464</f>
        <v>2.2198275862068968E-2</v>
      </c>
      <c r="CK194">
        <f>0.05*CG194/464</f>
        <v>7.1120689655172417E-3</v>
      </c>
      <c r="CL194">
        <f>0.05*CH194/464</f>
        <v>2.0689655172413796E-2</v>
      </c>
      <c r="CM194">
        <f>0.05*CI194/464</f>
        <v>1.5948275862068966E-2</v>
      </c>
      <c r="CN194" t="str">
        <f>IF(CB194&lt;CJ194,"yes","no")</f>
        <v>no</v>
      </c>
      <c r="CO194" t="str">
        <f>IF(CC194&lt;CK194,"yes","no")</f>
        <v>yes</v>
      </c>
      <c r="CP194" t="str">
        <f>IF(CD194&lt;CL194,"yes","no")</f>
        <v>no</v>
      </c>
      <c r="CQ194" t="str">
        <f>IF(CE194&lt;CM194,"yes","no")</f>
        <v>no</v>
      </c>
      <c r="CR194">
        <f>TTEST(AS194:AW194,AD194:AH194,2,2)</f>
        <v>5.6588395549012965E-6</v>
      </c>
      <c r="CS194">
        <f>TTEST(AS194:AW194,AN194:AR194,2,2)</f>
        <v>0.99577447160064203</v>
      </c>
      <c r="CT194">
        <f>TTEST(AS194:AW194,AX194:BB194,2,2)</f>
        <v>0.38130052288756056</v>
      </c>
      <c r="CU194">
        <v>85</v>
      </c>
      <c r="CV194">
        <v>276</v>
      </c>
      <c r="CW194">
        <v>193</v>
      </c>
      <c r="CX194">
        <f t="shared" si="6"/>
        <v>9.1594827586206889E-3</v>
      </c>
      <c r="CY194">
        <f t="shared" si="7"/>
        <v>2.9741379310344828E-2</v>
      </c>
      <c r="CZ194">
        <f t="shared" si="8"/>
        <v>2.0797413793103448E-2</v>
      </c>
      <c r="DA194" t="str">
        <f>IF(CR194&lt;CX194,"yes","no")</f>
        <v>yes</v>
      </c>
      <c r="DB194" t="str">
        <f>IF(CS194&lt;CY194,"yes","no")</f>
        <v>no</v>
      </c>
      <c r="DC194" t="str">
        <f>IF(CT194&lt;CZ194,"yes","no")</f>
        <v>no</v>
      </c>
    </row>
    <row r="195" spans="1:107" x14ac:dyDescent="0.2">
      <c r="A195" s="2" t="b">
        <v>0</v>
      </c>
      <c r="B195" s="2" t="s">
        <v>79</v>
      </c>
      <c r="C195" s="2" t="s">
        <v>80</v>
      </c>
      <c r="D195" s="2" t="s">
        <v>269</v>
      </c>
      <c r="E195" s="2" t="s">
        <v>270</v>
      </c>
      <c r="F195" s="2">
        <v>17</v>
      </c>
      <c r="G195" s="2">
        <v>3</v>
      </c>
      <c r="H195" s="2">
        <v>48.1</v>
      </c>
      <c r="I195" s="2">
        <v>5.0199999999999996</v>
      </c>
      <c r="J195" s="2" t="s">
        <v>83</v>
      </c>
      <c r="K195" s="2" t="s">
        <v>271</v>
      </c>
      <c r="L195" s="2" t="s">
        <v>119</v>
      </c>
      <c r="M195" s="2" t="s">
        <v>83</v>
      </c>
      <c r="N195" s="2" t="s">
        <v>272</v>
      </c>
      <c r="O195" s="2">
        <v>53.887999999999998</v>
      </c>
      <c r="P195" s="2">
        <v>3.996</v>
      </c>
      <c r="Q195" s="2">
        <v>15.212999999999999</v>
      </c>
      <c r="R195" s="2">
        <v>1.2E-2</v>
      </c>
      <c r="S195" s="2">
        <v>0.71699999999999997</v>
      </c>
      <c r="T195" s="2">
        <v>4.7E-2</v>
      </c>
      <c r="U195" s="2">
        <v>0.27400000000000002</v>
      </c>
      <c r="V195" s="2">
        <v>6.6000000000000003E-2</v>
      </c>
      <c r="W195" s="2">
        <v>0.40200000000000002</v>
      </c>
      <c r="X195" s="2">
        <v>4.4189999999999996</v>
      </c>
      <c r="Y195" s="2">
        <v>10.5</v>
      </c>
      <c r="Z195" s="2">
        <v>239.8</v>
      </c>
      <c r="AA195" s="2">
        <v>168.4</v>
      </c>
      <c r="AB195" s="2">
        <v>18.600000000000001</v>
      </c>
      <c r="AC195" s="2">
        <v>62.6</v>
      </c>
      <c r="AD195" s="2">
        <v>5993106.15625</v>
      </c>
      <c r="AE195" s="2">
        <v>7538086.8046875</v>
      </c>
      <c r="AF195" s="2">
        <v>5974520.4287109403</v>
      </c>
      <c r="AG195" s="2">
        <v>2091791.3339843799</v>
      </c>
      <c r="AH195" s="2">
        <v>642008.33984375</v>
      </c>
      <c r="AI195" s="2">
        <v>1752751.18188477</v>
      </c>
      <c r="AJ195" s="2">
        <v>2912773.4589843801</v>
      </c>
      <c r="AK195" s="2">
        <v>2060096.7309570301</v>
      </c>
      <c r="AL195" s="2">
        <v>14692505.4726563</v>
      </c>
      <c r="AM195" s="2">
        <v>1475081.0346679699</v>
      </c>
      <c r="AN195" s="2">
        <v>771852.27941894496</v>
      </c>
      <c r="AO195" s="2">
        <v>578647.43847656297</v>
      </c>
      <c r="AP195" s="2">
        <v>3962291.65625</v>
      </c>
      <c r="AQ195" s="2">
        <v>1830542.8979492199</v>
      </c>
      <c r="AR195" s="2">
        <v>4994386.0034179697</v>
      </c>
      <c r="AS195" s="2">
        <v>399904.60107421898</v>
      </c>
      <c r="AT195" s="2">
        <v>1112882.4482421901</v>
      </c>
      <c r="AU195" s="2">
        <v>3979266.4736328102</v>
      </c>
      <c r="AV195" s="2">
        <v>1356057.0058593799</v>
      </c>
      <c r="AW195" s="2">
        <v>1491000.1752929699</v>
      </c>
      <c r="AX195" s="2">
        <v>1513986.8828125</v>
      </c>
      <c r="AY195" s="2">
        <v>8910791.1689453106</v>
      </c>
      <c r="AZ195" s="2">
        <v>1503832.5410156299</v>
      </c>
      <c r="BA195" s="2">
        <v>1218949.7685546901</v>
      </c>
      <c r="BB195" s="2">
        <v>2500210.76318359</v>
      </c>
      <c r="BC195" s="2" t="s">
        <v>91</v>
      </c>
      <c r="BD195" s="2" t="s">
        <v>91</v>
      </c>
      <c r="BE195" s="2" t="s">
        <v>98</v>
      </c>
      <c r="BF195" s="2" t="s">
        <v>91</v>
      </c>
      <c r="BG195" s="2" t="s">
        <v>91</v>
      </c>
      <c r="BH195" s="2" t="s">
        <v>91</v>
      </c>
      <c r="BI195" s="2" t="s">
        <v>91</v>
      </c>
      <c r="BJ195" s="2" t="s">
        <v>91</v>
      </c>
      <c r="BK195" s="2" t="s">
        <v>79</v>
      </c>
      <c r="BL195" s="2" t="s">
        <v>91</v>
      </c>
      <c r="BM195" s="2" t="s">
        <v>91</v>
      </c>
      <c r="BN195" s="2" t="s">
        <v>91</v>
      </c>
      <c r="BO195" s="2" t="s">
        <v>79</v>
      </c>
      <c r="BP195" s="2" t="s">
        <v>91</v>
      </c>
      <c r="BQ195" s="2" t="s">
        <v>79</v>
      </c>
      <c r="BR195" s="2" t="s">
        <v>91</v>
      </c>
      <c r="BS195" s="2" t="s">
        <v>91</v>
      </c>
      <c r="BT195" s="2" t="s">
        <v>79</v>
      </c>
      <c r="BU195" s="2" t="s">
        <v>91</v>
      </c>
      <c r="BV195" s="2" t="s">
        <v>91</v>
      </c>
      <c r="BW195" s="2" t="s">
        <v>91</v>
      </c>
      <c r="BX195" s="2" t="s">
        <v>79</v>
      </c>
      <c r="BY195" s="2" t="s">
        <v>91</v>
      </c>
      <c r="BZ195" s="2" t="s">
        <v>91</v>
      </c>
      <c r="CA195" s="2" t="s">
        <v>91</v>
      </c>
      <c r="CB195">
        <f>TTEST(AS195:AW195,AI195:AM195,2,2)</f>
        <v>0.29740100126852603</v>
      </c>
      <c r="CC195">
        <f>TTEST(AD195:AH195,AI195:AM195,2,2)</f>
        <v>0.96463121828934328</v>
      </c>
      <c r="CD195">
        <f>TTEST(AN195:AR195,AI195:AM195,2,2)</f>
        <v>0.44664045468515823</v>
      </c>
      <c r="CE195">
        <f>TTEST(AX195:BB195,AI195:AM195,2,2)</f>
        <v>0.63424760545159464</v>
      </c>
      <c r="CF195">
        <v>178</v>
      </c>
      <c r="CG195">
        <v>239</v>
      </c>
      <c r="CH195">
        <v>177</v>
      </c>
      <c r="CI195">
        <v>173</v>
      </c>
      <c r="CJ195">
        <f>0.05*CF195/464</f>
        <v>1.9181034482758621E-2</v>
      </c>
      <c r="CK195">
        <f>0.05*CG195/464</f>
        <v>2.5754310344827589E-2</v>
      </c>
      <c r="CL195">
        <f>0.05*CH195/464</f>
        <v>1.9073275862068965E-2</v>
      </c>
      <c r="CM195">
        <f>0.05*CI195/464</f>
        <v>1.8642241379310344E-2</v>
      </c>
      <c r="CN195" t="str">
        <f>IF(CB195&lt;CJ195,"yes","no")</f>
        <v>no</v>
      </c>
      <c r="CO195" t="str">
        <f>IF(CC195&lt;CK195,"yes","no")</f>
        <v>no</v>
      </c>
      <c r="CP195" t="str">
        <f>IF(CD195&lt;CL195,"yes","no")</f>
        <v>no</v>
      </c>
      <c r="CQ195" t="str">
        <f>IF(CE195&lt;CM195,"yes","no")</f>
        <v>no</v>
      </c>
      <c r="CR195">
        <f>TTEST(AS195:AW195,AD195:AH195,2,2)</f>
        <v>9.0338985382124773E-2</v>
      </c>
      <c r="CS195">
        <f>TTEST(AS195:AW195,AN195:AR195,2,2)</f>
        <v>0.4973979796400454</v>
      </c>
      <c r="CT195">
        <f>TTEST(AS195:AW195,AX195:BB195,2,2)</f>
        <v>0.38276836290191441</v>
      </c>
      <c r="CU195">
        <v>245</v>
      </c>
      <c r="CV195">
        <v>229</v>
      </c>
      <c r="CW195">
        <v>194</v>
      </c>
      <c r="CX195">
        <f t="shared" ref="CX195:CX258" si="9">0.05*CU195/464</f>
        <v>2.6400862068965518E-2</v>
      </c>
      <c r="CY195">
        <f t="shared" ref="CY195:CY258" si="10">0.05*CV195/464</f>
        <v>2.4676724137931035E-2</v>
      </c>
      <c r="CZ195">
        <f t="shared" ref="CZ195:CZ258" si="11">0.05*CW195/464</f>
        <v>2.0905172413793107E-2</v>
      </c>
      <c r="DA195" t="str">
        <f>IF(CR195&lt;CX195,"yes","no")</f>
        <v>no</v>
      </c>
      <c r="DB195" t="str">
        <f>IF(CS195&lt;CY195,"yes","no")</f>
        <v>no</v>
      </c>
      <c r="DC195" t="str">
        <f>IF(CT195&lt;CZ195,"yes","no")</f>
        <v>no</v>
      </c>
    </row>
    <row r="196" spans="1:107" x14ac:dyDescent="0.2">
      <c r="A196" s="2" t="b">
        <v>0</v>
      </c>
      <c r="B196" s="2" t="s">
        <v>79</v>
      </c>
      <c r="C196" s="2" t="s">
        <v>80</v>
      </c>
      <c r="D196" s="2" t="s">
        <v>546</v>
      </c>
      <c r="E196" s="2" t="s">
        <v>547</v>
      </c>
      <c r="F196" s="2">
        <v>9</v>
      </c>
      <c r="G196" s="2">
        <v>9</v>
      </c>
      <c r="H196" s="2">
        <v>82.3</v>
      </c>
      <c r="I196" s="2">
        <v>6.38</v>
      </c>
      <c r="J196" s="2" t="s">
        <v>548</v>
      </c>
      <c r="K196" s="2" t="s">
        <v>549</v>
      </c>
      <c r="L196" s="2" t="s">
        <v>119</v>
      </c>
      <c r="M196" s="2" t="s">
        <v>550</v>
      </c>
      <c r="N196" s="2" t="s">
        <v>546</v>
      </c>
      <c r="O196" s="2">
        <v>4.1050000000000004</v>
      </c>
      <c r="P196" s="2">
        <v>0.66400000000000003</v>
      </c>
      <c r="Q196" s="2">
        <v>1.7070000000000001</v>
      </c>
      <c r="R196" s="2">
        <v>0.372</v>
      </c>
      <c r="S196" s="2">
        <v>0.85399999999999998</v>
      </c>
      <c r="T196" s="2">
        <v>0.17100000000000001</v>
      </c>
      <c r="U196" s="2">
        <v>0.97499999999999998</v>
      </c>
      <c r="V196" s="2">
        <v>0.21099999999999999</v>
      </c>
      <c r="W196" s="2">
        <v>0.874</v>
      </c>
      <c r="X196" s="2">
        <v>6.2560000000000002</v>
      </c>
      <c r="Y196" s="2">
        <v>9.4</v>
      </c>
      <c r="Z196" s="2">
        <v>197.3</v>
      </c>
      <c r="AA196" s="2">
        <v>217.8</v>
      </c>
      <c r="AB196" s="2">
        <v>21</v>
      </c>
      <c r="AC196" s="2">
        <v>54.5</v>
      </c>
      <c r="AD196" s="2">
        <v>484764</v>
      </c>
      <c r="AE196" s="2">
        <v>395034.53125</v>
      </c>
      <c r="AF196" s="2">
        <v>347431.09375</v>
      </c>
      <c r="AG196" s="2">
        <v>52954.78125</v>
      </c>
      <c r="AH196" s="2">
        <v>55306.26171875</v>
      </c>
      <c r="AI196" s="2">
        <v>154222.181640625</v>
      </c>
      <c r="AJ196" s="2">
        <v>308358.13745117199</v>
      </c>
      <c r="AK196" s="2">
        <v>127491.51660156299</v>
      </c>
      <c r="AL196" s="2">
        <v>1083448.5732421901</v>
      </c>
      <c r="AM196" s="2">
        <v>139101.33496093799</v>
      </c>
      <c r="AN196" s="2">
        <v>103606.48535156299</v>
      </c>
      <c r="AO196" s="2">
        <v>75952.211425781294</v>
      </c>
      <c r="AP196" s="2">
        <v>298315.64550781302</v>
      </c>
      <c r="AQ196" s="2">
        <v>241421.52734375</v>
      </c>
      <c r="AR196" s="2">
        <v>235312.14550781299</v>
      </c>
      <c r="AS196" s="2">
        <v>14478.01953125</v>
      </c>
      <c r="AT196" s="2">
        <v>59987.205078125</v>
      </c>
      <c r="AU196" s="2">
        <v>520975.578125</v>
      </c>
      <c r="AV196" s="2">
        <v>239460.07519531299</v>
      </c>
      <c r="AW196" s="2">
        <v>143544.30859375</v>
      </c>
      <c r="AX196" s="2">
        <v>100974.75</v>
      </c>
      <c r="AY196" s="2">
        <v>3641508.18359375</v>
      </c>
      <c r="AZ196" s="2">
        <v>100284.228515625</v>
      </c>
      <c r="BA196" s="2">
        <v>214479.46386718799</v>
      </c>
      <c r="BB196" s="2">
        <v>109699.333984375</v>
      </c>
      <c r="BC196" s="2" t="s">
        <v>79</v>
      </c>
      <c r="BD196" s="2" t="s">
        <v>79</v>
      </c>
      <c r="BE196" s="2" t="s">
        <v>91</v>
      </c>
      <c r="BF196" s="2" t="s">
        <v>79</v>
      </c>
      <c r="BG196" s="2" t="s">
        <v>91</v>
      </c>
      <c r="BH196" s="2" t="s">
        <v>91</v>
      </c>
      <c r="BI196" s="2" t="s">
        <v>79</v>
      </c>
      <c r="BJ196" s="2" t="s">
        <v>91</v>
      </c>
      <c r="BK196" s="2" t="s">
        <v>79</v>
      </c>
      <c r="BL196" s="2" t="s">
        <v>91</v>
      </c>
      <c r="BM196" s="2" t="s">
        <v>79</v>
      </c>
      <c r="BN196" s="2" t="s">
        <v>91</v>
      </c>
      <c r="BO196" s="2" t="s">
        <v>79</v>
      </c>
      <c r="BP196" s="2" t="s">
        <v>79</v>
      </c>
      <c r="BQ196" s="2" t="s">
        <v>79</v>
      </c>
      <c r="BR196" s="2" t="s">
        <v>91</v>
      </c>
      <c r="BS196" s="2" t="s">
        <v>79</v>
      </c>
      <c r="BT196" s="2" t="s">
        <v>79</v>
      </c>
      <c r="BU196" s="2" t="s">
        <v>79</v>
      </c>
      <c r="BV196" s="2" t="s">
        <v>79</v>
      </c>
      <c r="BW196" s="2" t="s">
        <v>91</v>
      </c>
      <c r="BX196" s="2" t="s">
        <v>79</v>
      </c>
      <c r="BY196" s="2" t="s">
        <v>91</v>
      </c>
      <c r="BZ196" s="2" t="s">
        <v>79</v>
      </c>
      <c r="CA196" s="2" t="s">
        <v>91</v>
      </c>
      <c r="CB196">
        <f>TTEST(AS196:AW196,AI196:AM196,2,2)</f>
        <v>0.43729478332395055</v>
      </c>
      <c r="CC196">
        <f>TTEST(AD196:AH196,AI196:AM196,2,2)</f>
        <v>0.65238628246751396</v>
      </c>
      <c r="CD196">
        <f>TTEST(AN196:AR196,AI196:AM196,2,2)</f>
        <v>0.38843047066160741</v>
      </c>
      <c r="CE196">
        <f>TTEST(AX196:BB196,AI196:AM196,2,2)</f>
        <v>0.5347055103259386</v>
      </c>
      <c r="CF196">
        <v>191</v>
      </c>
      <c r="CG196">
        <v>230</v>
      </c>
      <c r="CH196">
        <v>170</v>
      </c>
      <c r="CI196">
        <v>162</v>
      </c>
      <c r="CJ196">
        <f>0.05*CF196/464</f>
        <v>2.0581896551724141E-2</v>
      </c>
      <c r="CK196">
        <f>0.05*CG196/464</f>
        <v>2.4784482758620691E-2</v>
      </c>
      <c r="CL196">
        <f>0.05*CH196/464</f>
        <v>1.8318965517241378E-2</v>
      </c>
      <c r="CM196">
        <f>0.05*CI196/464</f>
        <v>1.7456896551724138E-2</v>
      </c>
      <c r="CN196" t="str">
        <f>IF(CB196&lt;CJ196,"yes","no")</f>
        <v>no</v>
      </c>
      <c r="CO196" t="str">
        <f>IF(CC196&lt;CK196,"yes","no")</f>
        <v>no</v>
      </c>
      <c r="CP196" t="str">
        <f>IF(CD196&lt;CL196,"yes","no")</f>
        <v>no</v>
      </c>
      <c r="CQ196" t="str">
        <f>IF(CE196&lt;CM196,"yes","no")</f>
        <v>no</v>
      </c>
      <c r="CR196">
        <f>TTEST(AS196:AW196,AD196:AH196,2,2)</f>
        <v>0.58934891171024129</v>
      </c>
      <c r="CS196">
        <f>TTEST(AS196:AW196,AN196:AR196,2,2)</f>
        <v>0.96301441991359416</v>
      </c>
      <c r="CT196">
        <f>TTEST(AS196:AW196,AX196:BB196,2,2)</f>
        <v>0.3941088346763213</v>
      </c>
      <c r="CU196">
        <v>294</v>
      </c>
      <c r="CV196">
        <v>274</v>
      </c>
      <c r="CW196">
        <v>195</v>
      </c>
      <c r="CX196">
        <f t="shared" si="9"/>
        <v>3.1681034482758622E-2</v>
      </c>
      <c r="CY196">
        <f t="shared" si="10"/>
        <v>2.9525862068965521E-2</v>
      </c>
      <c r="CZ196">
        <f t="shared" si="11"/>
        <v>2.1012931034482759E-2</v>
      </c>
      <c r="DA196" t="str">
        <f>IF(CR196&lt;CX196,"yes","no")</f>
        <v>no</v>
      </c>
      <c r="DB196" t="str">
        <f>IF(CS196&lt;CY196,"yes","no")</f>
        <v>no</v>
      </c>
      <c r="DC196" t="str">
        <f>IF(CT196&lt;CZ196,"yes","no")</f>
        <v>no</v>
      </c>
    </row>
    <row r="197" spans="1:107" x14ac:dyDescent="0.2">
      <c r="A197" s="2" t="b">
        <v>0</v>
      </c>
      <c r="B197" s="2" t="s">
        <v>79</v>
      </c>
      <c r="C197" s="2" t="s">
        <v>80</v>
      </c>
      <c r="D197" s="2" t="s">
        <v>823</v>
      </c>
      <c r="E197" s="2" t="s">
        <v>824</v>
      </c>
      <c r="F197" s="2">
        <v>4</v>
      </c>
      <c r="G197" s="2">
        <v>4</v>
      </c>
      <c r="H197" s="2">
        <v>50.9</v>
      </c>
      <c r="I197" s="2">
        <v>8.69</v>
      </c>
      <c r="J197" s="2" t="s">
        <v>135</v>
      </c>
      <c r="K197" s="2" t="s">
        <v>83</v>
      </c>
      <c r="L197" s="2" t="s">
        <v>119</v>
      </c>
      <c r="M197" s="2" t="s">
        <v>83</v>
      </c>
      <c r="N197" s="2" t="s">
        <v>825</v>
      </c>
      <c r="O197" s="2">
        <v>2.59</v>
      </c>
      <c r="P197" s="2">
        <v>0.33300000000000002</v>
      </c>
      <c r="Q197" s="2">
        <v>0.72</v>
      </c>
      <c r="R197" s="2">
        <v>0.71599999999999997</v>
      </c>
      <c r="S197" s="2">
        <v>1.5629999999999999</v>
      </c>
      <c r="T197" s="2">
        <v>0.19600000000000001</v>
      </c>
      <c r="U197" s="2">
        <v>0.4</v>
      </c>
      <c r="V197" s="2">
        <v>6.7000000000000004E-2</v>
      </c>
      <c r="W197" s="2">
        <v>0.13600000000000001</v>
      </c>
      <c r="X197" s="2">
        <v>1.7689999999999999</v>
      </c>
      <c r="Y197" s="2">
        <v>109.6</v>
      </c>
      <c r="Z197" s="2">
        <v>180.6</v>
      </c>
      <c r="AA197" s="2">
        <v>180.3</v>
      </c>
      <c r="AB197" s="2">
        <v>9.6</v>
      </c>
      <c r="AC197" s="2">
        <v>19.899999999999999</v>
      </c>
      <c r="AD197" s="2">
        <v>673213.71875</v>
      </c>
      <c r="AE197" s="2">
        <v>20887.220703125</v>
      </c>
      <c r="AF197" s="2">
        <v>785006.39453125</v>
      </c>
      <c r="AG197" s="2">
        <v>2845297.6035156301</v>
      </c>
      <c r="AH197" s="2">
        <v>21226.943359375</v>
      </c>
      <c r="AI197" s="2">
        <v>6391.3835449218795</v>
      </c>
      <c r="AJ197" s="2">
        <v>3572.42797851563</v>
      </c>
      <c r="AK197" s="2">
        <v>21319.303222656301</v>
      </c>
      <c r="AL197" s="2">
        <v>57161.22265625</v>
      </c>
      <c r="AM197" s="2">
        <v>16072.9670410156</v>
      </c>
      <c r="AN197" s="2">
        <v>10557.9296875</v>
      </c>
      <c r="AO197" s="2">
        <v>26952.9306640625</v>
      </c>
      <c r="AP197" s="2">
        <v>19375.7822265625</v>
      </c>
      <c r="AQ197" s="2">
        <v>21137.0029296875</v>
      </c>
      <c r="AR197" s="2">
        <v>115690.124511719</v>
      </c>
      <c r="AS197" s="2">
        <v>7173.32421875</v>
      </c>
      <c r="AT197" s="2">
        <v>15244.501464843799</v>
      </c>
      <c r="AU197" s="2">
        <v>4208.28125</v>
      </c>
      <c r="AV197" s="2">
        <v>29996.9375</v>
      </c>
      <c r="AW197" s="2">
        <v>6177.3984375</v>
      </c>
      <c r="AX197" s="2">
        <v>4066.69116210938</v>
      </c>
      <c r="AY197" s="2" t="s">
        <v>83</v>
      </c>
      <c r="AZ197" s="2" t="s">
        <v>83</v>
      </c>
      <c r="BA197" s="2" t="s">
        <v>83</v>
      </c>
      <c r="BB197" s="2">
        <v>6470.09130859375</v>
      </c>
      <c r="BC197" s="2" t="s">
        <v>79</v>
      </c>
      <c r="BD197" s="2" t="s">
        <v>91</v>
      </c>
      <c r="BE197" s="2" t="s">
        <v>79</v>
      </c>
      <c r="BF197" s="2" t="s">
        <v>79</v>
      </c>
      <c r="BG197" s="2" t="s">
        <v>91</v>
      </c>
      <c r="BH197" s="2" t="s">
        <v>91</v>
      </c>
      <c r="BI197" s="2" t="s">
        <v>91</v>
      </c>
      <c r="BJ197" s="2" t="s">
        <v>91</v>
      </c>
      <c r="BK197" s="2" t="s">
        <v>91</v>
      </c>
      <c r="BL197" s="2" t="s">
        <v>91</v>
      </c>
      <c r="BM197" s="2" t="s">
        <v>91</v>
      </c>
      <c r="BN197" s="2" t="s">
        <v>91</v>
      </c>
      <c r="BO197" s="2" t="s">
        <v>91</v>
      </c>
      <c r="BP197" s="2" t="s">
        <v>91</v>
      </c>
      <c r="BQ197" s="2" t="s">
        <v>79</v>
      </c>
      <c r="BR197" s="2" t="s">
        <v>91</v>
      </c>
      <c r="BS197" s="2" t="s">
        <v>91</v>
      </c>
      <c r="BT197" s="2" t="s">
        <v>91</v>
      </c>
      <c r="BU197" s="2" t="s">
        <v>91</v>
      </c>
      <c r="BV197" s="2" t="s">
        <v>91</v>
      </c>
      <c r="BW197" s="2" t="s">
        <v>91</v>
      </c>
      <c r="BX197" s="2" t="s">
        <v>98</v>
      </c>
      <c r="BY197" s="2" t="s">
        <v>98</v>
      </c>
      <c r="BZ197" s="2" t="s">
        <v>98</v>
      </c>
      <c r="CA197" s="2" t="s">
        <v>91</v>
      </c>
      <c r="CB197">
        <f>TTEST(AS197:AW197,AI197:AM197,2,2)</f>
        <v>0.45893099227298328</v>
      </c>
      <c r="CC197">
        <f>TTEST(AD197:AH197,AI197:AM197,2,2)</f>
        <v>0.1409492964945315</v>
      </c>
      <c r="CD197">
        <f>TTEST(AN197:AR197,AI197:AM197,2,2)</f>
        <v>0.4341530332360356</v>
      </c>
      <c r="CE197">
        <f>TTEST(AX197:BB197,AI197:AM197,2,2)</f>
        <v>0.37614641866537918</v>
      </c>
      <c r="CF197">
        <v>196</v>
      </c>
      <c r="CG197">
        <v>201</v>
      </c>
      <c r="CH197">
        <v>175</v>
      </c>
      <c r="CI197">
        <v>146</v>
      </c>
      <c r="CJ197">
        <f>0.05*CF197/464</f>
        <v>2.1120689655172414E-2</v>
      </c>
      <c r="CK197">
        <f>0.05*CG197/464</f>
        <v>2.1659482758620691E-2</v>
      </c>
      <c r="CL197">
        <f>0.05*CH197/464</f>
        <v>1.8857758620689655E-2</v>
      </c>
      <c r="CM197">
        <f>0.05*CI197/464</f>
        <v>1.5732758620689655E-2</v>
      </c>
      <c r="CN197" t="str">
        <f>IF(CB197&lt;CJ197,"yes","no")</f>
        <v>no</v>
      </c>
      <c r="CO197" t="str">
        <f>IF(CC197&lt;CK197,"yes","no")</f>
        <v>no</v>
      </c>
      <c r="CP197" t="str">
        <f>IF(CD197&lt;CL197,"yes","no")</f>
        <v>no</v>
      </c>
      <c r="CQ197" t="str">
        <f>IF(CE197&lt;CM197,"yes","no")</f>
        <v>no</v>
      </c>
      <c r="CR197">
        <f>TTEST(AS197:AW197,AD197:AH197,2,2)</f>
        <v>0.13754042568917579</v>
      </c>
      <c r="CS197">
        <f>TTEST(AS197:AW197,AN197:AR197,2,2)</f>
        <v>0.22657611634098176</v>
      </c>
      <c r="CT197">
        <f>TTEST(AS197:AW197,AX197:BB197,2,2)</f>
        <v>0.40217881502397862</v>
      </c>
      <c r="CU197">
        <v>262</v>
      </c>
      <c r="CV197">
        <v>203</v>
      </c>
      <c r="CW197">
        <v>196</v>
      </c>
      <c r="CX197">
        <f t="shared" si="9"/>
        <v>2.823275862068966E-2</v>
      </c>
      <c r="CY197">
        <f t="shared" si="10"/>
        <v>2.1875000000000002E-2</v>
      </c>
      <c r="CZ197">
        <f t="shared" si="11"/>
        <v>2.1120689655172414E-2</v>
      </c>
      <c r="DA197" t="str">
        <f>IF(CR197&lt;CX197,"yes","no")</f>
        <v>no</v>
      </c>
      <c r="DB197" t="str">
        <f>IF(CS197&lt;CY197,"yes","no")</f>
        <v>no</v>
      </c>
      <c r="DC197" t="str">
        <f>IF(CT197&lt;CZ197,"yes","no")</f>
        <v>no</v>
      </c>
    </row>
    <row r="198" spans="1:107" x14ac:dyDescent="0.2">
      <c r="A198" s="2" t="b">
        <v>0</v>
      </c>
      <c r="B198" s="2" t="s">
        <v>79</v>
      </c>
      <c r="C198" s="2" t="s">
        <v>80</v>
      </c>
      <c r="D198" s="2" t="s">
        <v>252</v>
      </c>
      <c r="E198" s="2" t="s">
        <v>253</v>
      </c>
      <c r="F198" s="2">
        <v>13</v>
      </c>
      <c r="G198" s="2">
        <v>1</v>
      </c>
      <c r="H198" s="2">
        <v>46.4</v>
      </c>
      <c r="I198" s="2">
        <v>5.44</v>
      </c>
      <c r="J198" s="2" t="s">
        <v>254</v>
      </c>
      <c r="K198" s="2" t="s">
        <v>84</v>
      </c>
      <c r="L198" s="2" t="s">
        <v>85</v>
      </c>
      <c r="M198" s="2" t="s">
        <v>83</v>
      </c>
      <c r="N198" s="2" t="s">
        <v>255</v>
      </c>
      <c r="O198" s="2">
        <v>3.2410000000000001</v>
      </c>
      <c r="P198" s="2">
        <v>0.26</v>
      </c>
      <c r="Q198" s="2">
        <v>0.628</v>
      </c>
      <c r="R198" s="2">
        <v>0.27</v>
      </c>
      <c r="S198" s="2" t="s">
        <v>83</v>
      </c>
      <c r="T198" s="2" t="s">
        <v>83</v>
      </c>
      <c r="U198" s="2">
        <v>59.701000000000001</v>
      </c>
      <c r="V198" s="2">
        <v>0.16</v>
      </c>
      <c r="W198" s="2">
        <v>0.41199999999999998</v>
      </c>
      <c r="X198" s="2">
        <v>2.081</v>
      </c>
      <c r="Y198" s="2">
        <v>73.3</v>
      </c>
      <c r="Z198" s="2">
        <v>14.1</v>
      </c>
      <c r="AA198" s="2">
        <v>375</v>
      </c>
      <c r="AB198" s="2">
        <v>14.2</v>
      </c>
      <c r="AC198" s="2">
        <v>23.5</v>
      </c>
      <c r="AD198" s="2">
        <v>3080161.16015625</v>
      </c>
      <c r="AE198" s="2">
        <v>2456755.171875</v>
      </c>
      <c r="AF198" s="2">
        <v>2270712.6640625</v>
      </c>
      <c r="AG198" s="2">
        <v>3348360.73828125</v>
      </c>
      <c r="AH198" s="2">
        <v>3371486.4296875</v>
      </c>
      <c r="AI198" s="2" t="s">
        <v>83</v>
      </c>
      <c r="AJ198" s="2" t="s">
        <v>83</v>
      </c>
      <c r="AK198" s="2" t="s">
        <v>83</v>
      </c>
      <c r="AL198" s="2">
        <v>15395.5888671875</v>
      </c>
      <c r="AM198" s="2" t="s">
        <v>83</v>
      </c>
      <c r="AN198" s="2">
        <v>207623.50292968799</v>
      </c>
      <c r="AO198" s="2">
        <v>345062.544921875</v>
      </c>
      <c r="AP198" s="2">
        <v>271065.369140625</v>
      </c>
      <c r="AQ198" s="2">
        <v>342684.39794921898</v>
      </c>
      <c r="AR198" s="2">
        <v>349845.90234375</v>
      </c>
      <c r="AS198" s="2">
        <v>72657.6142578125</v>
      </c>
      <c r="AT198" s="2">
        <v>106559.025390625</v>
      </c>
      <c r="AU198" s="2">
        <v>84540.58984375</v>
      </c>
      <c r="AV198" s="2">
        <v>67973.47265625</v>
      </c>
      <c r="AW198" s="2">
        <v>85928.5048828125</v>
      </c>
      <c r="AX198" s="2">
        <v>41918.5166015625</v>
      </c>
      <c r="AY198" s="2">
        <v>36486.5625</v>
      </c>
      <c r="AZ198" s="2">
        <v>68629.900390625</v>
      </c>
      <c r="BA198" s="2">
        <v>1572419.5908203099</v>
      </c>
      <c r="BB198" s="2">
        <v>37826.430175781301</v>
      </c>
      <c r="BC198" s="2" t="s">
        <v>98</v>
      </c>
      <c r="BD198" s="2" t="s">
        <v>98</v>
      </c>
      <c r="BE198" s="2" t="s">
        <v>98</v>
      </c>
      <c r="BF198" s="2" t="s">
        <v>79</v>
      </c>
      <c r="BG198" s="2" t="s">
        <v>98</v>
      </c>
      <c r="BH198" s="2" t="s">
        <v>98</v>
      </c>
      <c r="BI198" s="2" t="s">
        <v>98</v>
      </c>
      <c r="BJ198" s="2" t="s">
        <v>98</v>
      </c>
      <c r="BK198" s="2" t="s">
        <v>98</v>
      </c>
      <c r="BL198" s="2" t="s">
        <v>98</v>
      </c>
      <c r="BM198" s="2" t="s">
        <v>98</v>
      </c>
      <c r="BN198" s="2" t="s">
        <v>98</v>
      </c>
      <c r="BO198" s="2" t="s">
        <v>98</v>
      </c>
      <c r="BP198" s="2" t="s">
        <v>98</v>
      </c>
      <c r="BQ198" s="2" t="s">
        <v>98</v>
      </c>
      <c r="BR198" s="2" t="s">
        <v>98</v>
      </c>
      <c r="BS198" s="2" t="s">
        <v>98</v>
      </c>
      <c r="BT198" s="2" t="s">
        <v>98</v>
      </c>
      <c r="BU198" s="2" t="s">
        <v>98</v>
      </c>
      <c r="BV198" s="2" t="s">
        <v>98</v>
      </c>
      <c r="BW198" s="2" t="s">
        <v>98</v>
      </c>
      <c r="BX198" s="2" t="s">
        <v>98</v>
      </c>
      <c r="BY198" s="2" t="s">
        <v>98</v>
      </c>
      <c r="BZ198" s="2" t="s">
        <v>98</v>
      </c>
      <c r="CA198" s="2" t="s">
        <v>98</v>
      </c>
      <c r="CB198" t="e">
        <f>TTEST(AS198:AW198,AI198:AM198,2,2)</f>
        <v>#DIV/0!</v>
      </c>
      <c r="CC198" t="e">
        <f>TTEST(AD198:AH198,AI198:AM198,2,2)</f>
        <v>#DIV/0!</v>
      </c>
      <c r="CD198" t="e">
        <f>TTEST(AN198:AR198,AI198:AM198,2,2)</f>
        <v>#DIV/0!</v>
      </c>
      <c r="CE198" t="e">
        <f>TTEST(AX198:BB198,AI198:AM198,2,2)</f>
        <v>#DIV/0!</v>
      </c>
      <c r="CF198">
        <v>240</v>
      </c>
      <c r="CG198">
        <v>254</v>
      </c>
      <c r="CH198">
        <v>258</v>
      </c>
      <c r="CI198">
        <v>202</v>
      </c>
      <c r="CJ198">
        <f>0.05*CF198/464</f>
        <v>2.5862068965517241E-2</v>
      </c>
      <c r="CK198">
        <f>0.05*CG198/464</f>
        <v>2.7370689655172416E-2</v>
      </c>
      <c r="CL198">
        <f>0.05*CH198/464</f>
        <v>2.7801724137931035E-2</v>
      </c>
      <c r="CM198">
        <f>0.05*CI198/464</f>
        <v>2.1767241379310347E-2</v>
      </c>
      <c r="CN198" t="e">
        <f>IF(CB198&lt;CJ198,"yes","no")</f>
        <v>#DIV/0!</v>
      </c>
      <c r="CO198" t="e">
        <f>IF(CC198&lt;CK198,"yes","no")</f>
        <v>#DIV/0!</v>
      </c>
      <c r="CP198" t="e">
        <f>IF(CD198&lt;CL198,"yes","no")</f>
        <v>#DIV/0!</v>
      </c>
      <c r="CQ198" t="e">
        <f>IF(CE198&lt;CM198,"yes","no")</f>
        <v>#DIV/0!</v>
      </c>
      <c r="CR198">
        <f>TTEST(AS198:AW198,AD198:AH198,2,2)</f>
        <v>1.7517469715731822E-6</v>
      </c>
      <c r="CS198">
        <f>TTEST(AS198:AW198,AN198:AR198,2,2)</f>
        <v>6.0861313371859331E-5</v>
      </c>
      <c r="CT198">
        <f>TTEST(AS198:AW198,AX198:BB198,2,2)</f>
        <v>0.40585942413953457</v>
      </c>
      <c r="CU198">
        <v>62</v>
      </c>
      <c r="CV198">
        <v>34</v>
      </c>
      <c r="CW198">
        <v>197</v>
      </c>
      <c r="CX198">
        <f t="shared" si="9"/>
        <v>6.681034482758621E-3</v>
      </c>
      <c r="CY198">
        <f t="shared" si="10"/>
        <v>3.6637931034482762E-3</v>
      </c>
      <c r="CZ198">
        <f t="shared" si="11"/>
        <v>2.1228448275862073E-2</v>
      </c>
      <c r="DA198" t="str">
        <f>IF(CR198&lt;CX198,"yes","no")</f>
        <v>yes</v>
      </c>
      <c r="DB198" t="str">
        <f>IF(CS198&lt;CY198,"yes","no")</f>
        <v>yes</v>
      </c>
      <c r="DC198" t="str">
        <f>IF(CT198&lt;CZ198,"yes","no")</f>
        <v>no</v>
      </c>
    </row>
    <row r="199" spans="1:107" x14ac:dyDescent="0.2">
      <c r="A199" s="2" t="b">
        <v>0</v>
      </c>
      <c r="B199" s="2" t="s">
        <v>79</v>
      </c>
      <c r="C199" s="2" t="s">
        <v>80</v>
      </c>
      <c r="D199" s="2" t="s">
        <v>685</v>
      </c>
      <c r="E199" s="2" t="s">
        <v>686</v>
      </c>
      <c r="F199" s="2">
        <v>5</v>
      </c>
      <c r="G199" s="2">
        <v>5</v>
      </c>
      <c r="H199" s="2">
        <v>87.6</v>
      </c>
      <c r="I199" s="2">
        <v>5.99</v>
      </c>
      <c r="J199" s="2" t="s">
        <v>687</v>
      </c>
      <c r="K199" s="2" t="s">
        <v>688</v>
      </c>
      <c r="L199" s="2" t="s">
        <v>146</v>
      </c>
      <c r="M199" s="2" t="s">
        <v>689</v>
      </c>
      <c r="N199" s="2" t="s">
        <v>685</v>
      </c>
      <c r="O199" s="2">
        <v>12.641999999999999</v>
      </c>
      <c r="P199" s="2">
        <v>0.46400000000000002</v>
      </c>
      <c r="Q199" s="2">
        <v>1.0049999999999999</v>
      </c>
      <c r="R199" s="2">
        <v>0.24399999999999999</v>
      </c>
      <c r="S199" s="2">
        <v>3.4729999999999999</v>
      </c>
      <c r="T199" s="2">
        <v>0.19500000000000001</v>
      </c>
      <c r="U199" s="2">
        <v>0.20699999999999999</v>
      </c>
      <c r="V199" s="2">
        <v>5.8000000000000003E-2</v>
      </c>
      <c r="W199" s="2">
        <v>6.2E-2</v>
      </c>
      <c r="X199" s="2">
        <v>2.2789999999999999</v>
      </c>
      <c r="Y199" s="2">
        <v>53.1</v>
      </c>
      <c r="Z199" s="2">
        <v>76.5</v>
      </c>
      <c r="AA199" s="2">
        <v>312</v>
      </c>
      <c r="AB199" s="2">
        <v>18.2</v>
      </c>
      <c r="AC199" s="2">
        <v>40.200000000000003</v>
      </c>
      <c r="AD199" s="2">
        <v>811770.9921875</v>
      </c>
      <c r="AE199" s="2">
        <v>699835.0625</v>
      </c>
      <c r="AF199" s="2">
        <v>534027.6796875</v>
      </c>
      <c r="AG199" s="2">
        <v>705802.7734375</v>
      </c>
      <c r="AH199" s="2">
        <v>503504.08203125</v>
      </c>
      <c r="AI199" s="2" t="s">
        <v>83</v>
      </c>
      <c r="AJ199" s="2" t="s">
        <v>83</v>
      </c>
      <c r="AK199" s="2" t="s">
        <v>83</v>
      </c>
      <c r="AL199" s="2">
        <v>28540.40234375</v>
      </c>
      <c r="AM199" s="2">
        <v>13606.607421875</v>
      </c>
      <c r="AN199" s="2">
        <v>52441.006347656301</v>
      </c>
      <c r="AO199" s="2">
        <v>70349.7763671875</v>
      </c>
      <c r="AP199" s="2" t="s">
        <v>83</v>
      </c>
      <c r="AQ199" s="2">
        <v>57323.37109375</v>
      </c>
      <c r="AR199" s="2">
        <v>100515.53027343799</v>
      </c>
      <c r="AS199" s="2">
        <v>13035.4970703125</v>
      </c>
      <c r="AT199" s="2">
        <v>116428.4140625</v>
      </c>
      <c r="AU199" s="2">
        <v>14915.8974609375</v>
      </c>
      <c r="AV199" s="2">
        <v>30460.9716796875</v>
      </c>
      <c r="AW199" s="2">
        <v>56686.970703125</v>
      </c>
      <c r="AX199" s="2">
        <v>8872.248046875</v>
      </c>
      <c r="AY199" s="2">
        <v>38173.4248046875</v>
      </c>
      <c r="AZ199" s="2">
        <v>29794.8291015625</v>
      </c>
      <c r="BA199" s="2" t="s">
        <v>83</v>
      </c>
      <c r="BB199" s="2">
        <v>29452.6318359375</v>
      </c>
      <c r="BC199" s="2" t="s">
        <v>79</v>
      </c>
      <c r="BD199" s="2" t="s">
        <v>79</v>
      </c>
      <c r="BE199" s="2" t="s">
        <v>79</v>
      </c>
      <c r="BF199" s="2" t="s">
        <v>79</v>
      </c>
      <c r="BG199" s="2" t="s">
        <v>79</v>
      </c>
      <c r="BH199" s="2" t="s">
        <v>98</v>
      </c>
      <c r="BI199" s="2" t="s">
        <v>98</v>
      </c>
      <c r="BJ199" s="2" t="s">
        <v>98</v>
      </c>
      <c r="BK199" s="2" t="s">
        <v>91</v>
      </c>
      <c r="BL199" s="2" t="s">
        <v>91</v>
      </c>
      <c r="BM199" s="2" t="s">
        <v>91</v>
      </c>
      <c r="BN199" s="2" t="s">
        <v>91</v>
      </c>
      <c r="BO199" s="2" t="s">
        <v>98</v>
      </c>
      <c r="BP199" s="2" t="s">
        <v>91</v>
      </c>
      <c r="BQ199" s="2" t="s">
        <v>91</v>
      </c>
      <c r="BR199" s="2" t="s">
        <v>91</v>
      </c>
      <c r="BS199" s="2" t="s">
        <v>91</v>
      </c>
      <c r="BT199" s="2" t="s">
        <v>91</v>
      </c>
      <c r="BU199" s="2" t="s">
        <v>91</v>
      </c>
      <c r="BV199" s="2" t="s">
        <v>91</v>
      </c>
      <c r="BW199" s="2" t="s">
        <v>91</v>
      </c>
      <c r="BX199" s="2" t="s">
        <v>91</v>
      </c>
      <c r="BY199" s="2" t="s">
        <v>91</v>
      </c>
      <c r="BZ199" s="2" t="s">
        <v>98</v>
      </c>
      <c r="CA199" s="2" t="s">
        <v>91</v>
      </c>
      <c r="CB199">
        <f>TTEST(AS199:AW199,AI199:AM199,2,2)</f>
        <v>0.47082838052874854</v>
      </c>
      <c r="CC199">
        <f>TTEST(AD199:AH199,AI199:AM199,2,2)</f>
        <v>1.2737070806396128E-3</v>
      </c>
      <c r="CD199">
        <f>TTEST(AN199:AR199,AI199:AM199,2,2)</f>
        <v>4.3442463418199483E-2</v>
      </c>
      <c r="CE199">
        <f>TTEST(AX199:BB199,AI199:AM199,2,2)</f>
        <v>0.62526308152110688</v>
      </c>
      <c r="CF199">
        <v>199</v>
      </c>
      <c r="CG199">
        <v>138</v>
      </c>
      <c r="CH199">
        <v>118</v>
      </c>
      <c r="CI199">
        <v>172</v>
      </c>
      <c r="CJ199">
        <f>0.05*CF199/464</f>
        <v>2.1443965517241381E-2</v>
      </c>
      <c r="CK199">
        <f>0.05*CG199/464</f>
        <v>1.4870689655172414E-2</v>
      </c>
      <c r="CL199">
        <f>0.05*CH199/464</f>
        <v>1.2715517241379311E-2</v>
      </c>
      <c r="CM199">
        <f>0.05*CI199/464</f>
        <v>1.8534482758620689E-2</v>
      </c>
      <c r="CN199" t="str">
        <f>IF(CB199&lt;CJ199,"yes","no")</f>
        <v>no</v>
      </c>
      <c r="CO199" t="str">
        <f>IF(CC199&lt;CK199,"yes","no")</f>
        <v>yes</v>
      </c>
      <c r="CP199" t="str">
        <f>IF(CD199&lt;CL199,"yes","no")</f>
        <v>no</v>
      </c>
      <c r="CQ199" t="str">
        <f>IF(CE199&lt;CM199,"yes","no")</f>
        <v>no</v>
      </c>
      <c r="CR199">
        <f>TTEST(AS199:AW199,AD199:AH199,2,2)</f>
        <v>8.8904700564761694E-6</v>
      </c>
      <c r="CS199">
        <f>TTEST(AS199:AW199,AN199:AR199,2,2)</f>
        <v>0.34853504439841726</v>
      </c>
      <c r="CT199">
        <f>TTEST(AS199:AW199,AX199:BB199,2,2)</f>
        <v>0.40843977281119714</v>
      </c>
      <c r="CU199">
        <v>95</v>
      </c>
      <c r="CV199">
        <v>216</v>
      </c>
      <c r="CW199">
        <v>198</v>
      </c>
      <c r="CX199">
        <f t="shared" si="9"/>
        <v>1.0237068965517241E-2</v>
      </c>
      <c r="CY199">
        <f t="shared" si="10"/>
        <v>2.3275862068965519E-2</v>
      </c>
      <c r="CZ199">
        <f t="shared" si="11"/>
        <v>2.1336206896551725E-2</v>
      </c>
      <c r="DA199" t="str">
        <f>IF(CR199&lt;CX199,"yes","no")</f>
        <v>yes</v>
      </c>
      <c r="DB199" t="str">
        <f>IF(CS199&lt;CY199,"yes","no")</f>
        <v>no</v>
      </c>
      <c r="DC199" t="str">
        <f>IF(CT199&lt;CZ199,"yes","no")</f>
        <v>no</v>
      </c>
    </row>
    <row r="200" spans="1:107" x14ac:dyDescent="0.2">
      <c r="A200" s="2" t="b">
        <v>0</v>
      </c>
      <c r="B200" s="2" t="s">
        <v>79</v>
      </c>
      <c r="C200" s="2" t="s">
        <v>80</v>
      </c>
      <c r="D200" s="2" t="s">
        <v>551</v>
      </c>
      <c r="E200" s="2" t="s">
        <v>552</v>
      </c>
      <c r="F200" s="2">
        <v>11</v>
      </c>
      <c r="G200" s="2">
        <v>11</v>
      </c>
      <c r="H200" s="2">
        <v>255</v>
      </c>
      <c r="I200" s="2">
        <v>6</v>
      </c>
      <c r="J200" s="2" t="s">
        <v>553</v>
      </c>
      <c r="K200" s="2" t="s">
        <v>95</v>
      </c>
      <c r="L200" s="2" t="s">
        <v>119</v>
      </c>
      <c r="M200" s="2" t="s">
        <v>554</v>
      </c>
      <c r="N200" s="2" t="s">
        <v>551</v>
      </c>
      <c r="O200" s="2">
        <v>13.343999999999999</v>
      </c>
      <c r="P200" s="2">
        <v>0.78800000000000003</v>
      </c>
      <c r="Q200" s="2">
        <v>3.952</v>
      </c>
      <c r="R200" s="2">
        <v>0.58699999999999997</v>
      </c>
      <c r="S200" s="2">
        <v>13.643000000000001</v>
      </c>
      <c r="T200" s="2">
        <v>0.73899999999999999</v>
      </c>
      <c r="U200" s="2">
        <v>3.5249999999999999</v>
      </c>
      <c r="V200" s="2">
        <v>0.111</v>
      </c>
      <c r="W200" s="2">
        <v>0.20799999999999999</v>
      </c>
      <c r="X200" s="2">
        <v>6.3879999999999999</v>
      </c>
      <c r="Y200" s="2">
        <v>35.4</v>
      </c>
      <c r="Z200" s="2">
        <v>34.299999999999997</v>
      </c>
      <c r="AA200" s="2">
        <v>351.3</v>
      </c>
      <c r="AB200" s="2">
        <v>29.7</v>
      </c>
      <c r="AC200" s="2">
        <v>49.3</v>
      </c>
      <c r="AD200" s="2">
        <v>1050430.9453125</v>
      </c>
      <c r="AE200" s="2">
        <v>698800.859375</v>
      </c>
      <c r="AF200" s="2">
        <v>651523.5390625</v>
      </c>
      <c r="AG200" s="2">
        <v>1331806.0546875</v>
      </c>
      <c r="AH200" s="2">
        <v>721142.24609375</v>
      </c>
      <c r="AI200" s="2" t="s">
        <v>83</v>
      </c>
      <c r="AJ200" s="2">
        <v>12425.639160156299</v>
      </c>
      <c r="AK200" s="2" t="s">
        <v>83</v>
      </c>
      <c r="AL200" s="2">
        <v>27678.007324218801</v>
      </c>
      <c r="AM200" s="2" t="s">
        <v>83</v>
      </c>
      <c r="AN200" s="2">
        <v>112555.865234375</v>
      </c>
      <c r="AO200" s="2">
        <v>128248.62011718799</v>
      </c>
      <c r="AP200" s="2">
        <v>178490.09619140599</v>
      </c>
      <c r="AQ200" s="2">
        <v>143406.66308593799</v>
      </c>
      <c r="AR200" s="2">
        <v>210601.732421875</v>
      </c>
      <c r="AS200" s="2">
        <v>129347.01660156299</v>
      </c>
      <c r="AT200" s="2">
        <v>87682.515625</v>
      </c>
      <c r="AU200" s="2">
        <v>87582.4541015625</v>
      </c>
      <c r="AV200" s="2">
        <v>76263.3974609375</v>
      </c>
      <c r="AW200" s="2">
        <v>102848.69433593799</v>
      </c>
      <c r="AX200" s="2">
        <v>317853.078125</v>
      </c>
      <c r="AY200" s="2">
        <v>370507.5078125</v>
      </c>
      <c r="AZ200" s="2">
        <v>34604.90234375</v>
      </c>
      <c r="BA200" s="2">
        <v>52788.333984375</v>
      </c>
      <c r="BB200" s="2">
        <v>16772.642578125</v>
      </c>
      <c r="BC200" s="2" t="s">
        <v>79</v>
      </c>
      <c r="BD200" s="2" t="s">
        <v>79</v>
      </c>
      <c r="BE200" s="2" t="s">
        <v>79</v>
      </c>
      <c r="BF200" s="2" t="s">
        <v>79</v>
      </c>
      <c r="BG200" s="2" t="s">
        <v>79</v>
      </c>
      <c r="BH200" s="2" t="s">
        <v>98</v>
      </c>
      <c r="BI200" s="2" t="s">
        <v>91</v>
      </c>
      <c r="BJ200" s="2" t="s">
        <v>98</v>
      </c>
      <c r="BK200" s="2" t="s">
        <v>91</v>
      </c>
      <c r="BL200" s="2" t="s">
        <v>98</v>
      </c>
      <c r="BM200" s="2" t="s">
        <v>79</v>
      </c>
      <c r="BN200" s="2" t="s">
        <v>79</v>
      </c>
      <c r="BO200" s="2" t="s">
        <v>79</v>
      </c>
      <c r="BP200" s="2" t="s">
        <v>79</v>
      </c>
      <c r="BQ200" s="2" t="s">
        <v>79</v>
      </c>
      <c r="BR200" s="2" t="s">
        <v>91</v>
      </c>
      <c r="BS200" s="2" t="s">
        <v>79</v>
      </c>
      <c r="BT200" s="2" t="s">
        <v>91</v>
      </c>
      <c r="BU200" s="2" t="s">
        <v>91</v>
      </c>
      <c r="BV200" s="2" t="s">
        <v>91</v>
      </c>
      <c r="BW200" s="2" t="s">
        <v>91</v>
      </c>
      <c r="BX200" s="2" t="s">
        <v>91</v>
      </c>
      <c r="BY200" s="2" t="s">
        <v>91</v>
      </c>
      <c r="BZ200" s="2" t="s">
        <v>91</v>
      </c>
      <c r="CA200" s="2" t="s">
        <v>91</v>
      </c>
      <c r="CB200">
        <f>TTEST(AS200:AW200,AI200:AM200,2,2)</f>
        <v>4.7628796435598437E-3</v>
      </c>
      <c r="CC200">
        <f>TTEST(AD200:AH200,AI200:AM200,2,2)</f>
        <v>1.0600291193792485E-2</v>
      </c>
      <c r="CD200">
        <f>TTEST(AN200:AR200,AI200:AM200,2,2)</f>
        <v>6.439559678913534E-3</v>
      </c>
      <c r="CE200">
        <f>TTEST(AX200:BB200,AI200:AM200,2,2)</f>
        <v>0.32886100969167947</v>
      </c>
      <c r="CF200">
        <v>124</v>
      </c>
      <c r="CG200">
        <v>162</v>
      </c>
      <c r="CH200">
        <v>91</v>
      </c>
      <c r="CI200">
        <v>142</v>
      </c>
      <c r="CJ200">
        <f>0.05*CF200/464</f>
        <v>1.3362068965517242E-2</v>
      </c>
      <c r="CK200">
        <f>0.05*CG200/464</f>
        <v>1.7456896551724138E-2</v>
      </c>
      <c r="CL200">
        <f>0.05*CH200/464</f>
        <v>9.8060344827586195E-3</v>
      </c>
      <c r="CM200">
        <f>0.05*CI200/464</f>
        <v>1.5301724137931036E-2</v>
      </c>
      <c r="CN200" t="str">
        <f>IF(CB200&lt;CJ200,"yes","no")</f>
        <v>yes</v>
      </c>
      <c r="CO200" t="str">
        <f>IF(CC200&lt;CK200,"yes","no")</f>
        <v>yes</v>
      </c>
      <c r="CP200" t="str">
        <f>IF(CD200&lt;CL200,"yes","no")</f>
        <v>yes</v>
      </c>
      <c r="CQ200" t="str">
        <f>IF(CE200&lt;CM200,"yes","no")</f>
        <v>no</v>
      </c>
      <c r="CR200">
        <f>TTEST(AS200:AW200,AD200:AH200,2,2)</f>
        <v>3.0615656593050762E-4</v>
      </c>
      <c r="CS200">
        <f>TTEST(AS200:AW200,AN200:AR200,2,2)</f>
        <v>1.9909711873409595E-2</v>
      </c>
      <c r="CT200">
        <f>TTEST(AS200:AW200,AX200:BB200,2,2)</f>
        <v>0.44578119627853796</v>
      </c>
      <c r="CU200">
        <v>149</v>
      </c>
      <c r="CV200">
        <v>149</v>
      </c>
      <c r="CW200">
        <v>199</v>
      </c>
      <c r="CX200">
        <f t="shared" si="9"/>
        <v>1.6056034482758622E-2</v>
      </c>
      <c r="CY200">
        <f t="shared" si="10"/>
        <v>1.6056034482758622E-2</v>
      </c>
      <c r="CZ200">
        <f t="shared" si="11"/>
        <v>2.1443965517241381E-2</v>
      </c>
      <c r="DA200" t="str">
        <f>IF(CR200&lt;CX200,"yes","no")</f>
        <v>yes</v>
      </c>
      <c r="DB200" t="str">
        <f>IF(CS200&lt;CY200,"yes","no")</f>
        <v>no</v>
      </c>
      <c r="DC200" t="str">
        <f>IF(CT200&lt;CZ200,"yes","no")</f>
        <v>no</v>
      </c>
    </row>
    <row r="201" spans="1:107" x14ac:dyDescent="0.2">
      <c r="A201" s="2" t="b">
        <v>0</v>
      </c>
      <c r="B201" s="2" t="s">
        <v>79</v>
      </c>
      <c r="C201" s="2" t="s">
        <v>80</v>
      </c>
      <c r="D201" s="2" t="s">
        <v>1095</v>
      </c>
      <c r="E201" s="2" t="s">
        <v>1096</v>
      </c>
      <c r="F201" s="2">
        <v>3</v>
      </c>
      <c r="G201" s="2">
        <v>3</v>
      </c>
      <c r="H201" s="2">
        <v>23.2</v>
      </c>
      <c r="I201" s="2">
        <v>7.06</v>
      </c>
      <c r="J201" s="2" t="s">
        <v>135</v>
      </c>
      <c r="K201" s="2" t="s">
        <v>319</v>
      </c>
      <c r="L201" s="2" t="s">
        <v>643</v>
      </c>
      <c r="M201" s="2" t="s">
        <v>83</v>
      </c>
      <c r="N201" s="2" t="s">
        <v>1095</v>
      </c>
      <c r="O201" s="2">
        <v>1.907</v>
      </c>
      <c r="P201" s="2">
        <v>0.246</v>
      </c>
      <c r="Q201" s="2">
        <v>1.163</v>
      </c>
      <c r="R201" s="2">
        <v>0.53300000000000003</v>
      </c>
      <c r="S201" s="2">
        <v>1.6339999999999999</v>
      </c>
      <c r="T201" s="2">
        <v>0.28799999999999998</v>
      </c>
      <c r="U201" s="2">
        <v>0.56599999999999995</v>
      </c>
      <c r="V201" s="2">
        <v>0.14199999999999999</v>
      </c>
      <c r="W201" s="2">
        <v>0.35599999999999998</v>
      </c>
      <c r="X201" s="2">
        <v>3.5760000000000001</v>
      </c>
      <c r="Y201" s="2">
        <v>82.7</v>
      </c>
      <c r="Z201" s="2">
        <v>57</v>
      </c>
      <c r="AA201" s="2">
        <v>286.39999999999998</v>
      </c>
      <c r="AB201" s="2">
        <v>16.899999999999999</v>
      </c>
      <c r="AC201" s="2">
        <v>57</v>
      </c>
      <c r="AD201" s="2">
        <v>322397.29296875</v>
      </c>
      <c r="AE201" s="2" t="s">
        <v>83</v>
      </c>
      <c r="AF201" s="2">
        <v>300771</v>
      </c>
      <c r="AG201" s="2">
        <v>1353596.9765625</v>
      </c>
      <c r="AH201" s="2" t="s">
        <v>83</v>
      </c>
      <c r="AI201" s="2" t="s">
        <v>83</v>
      </c>
      <c r="AJ201" s="2" t="s">
        <v>83</v>
      </c>
      <c r="AK201" s="2" t="s">
        <v>83</v>
      </c>
      <c r="AL201" s="2">
        <v>7121.166015625</v>
      </c>
      <c r="AM201" s="2" t="s">
        <v>83</v>
      </c>
      <c r="AN201" s="2" t="s">
        <v>83</v>
      </c>
      <c r="AO201" s="2">
        <v>12982.869628906299</v>
      </c>
      <c r="AP201" s="2" t="s">
        <v>83</v>
      </c>
      <c r="AQ201" s="2" t="s">
        <v>83</v>
      </c>
      <c r="AR201" s="2">
        <v>42795.916015625</v>
      </c>
      <c r="AS201" s="2">
        <v>9589.546875</v>
      </c>
      <c r="AT201" s="2">
        <v>15637.357421875</v>
      </c>
      <c r="AU201" s="2" t="s">
        <v>83</v>
      </c>
      <c r="AV201" s="2">
        <v>13213.7529296875</v>
      </c>
      <c r="AW201" s="2">
        <v>9265.6044921875</v>
      </c>
      <c r="AX201" s="2">
        <v>52457.08203125</v>
      </c>
      <c r="AY201" s="2">
        <v>12664.619140625</v>
      </c>
      <c r="AZ201" s="2">
        <v>7567.7431640625</v>
      </c>
      <c r="BA201" s="2">
        <v>12940.3583984375</v>
      </c>
      <c r="BB201" s="2">
        <v>11316.771484375</v>
      </c>
      <c r="BC201" s="2" t="s">
        <v>91</v>
      </c>
      <c r="BD201" s="2" t="s">
        <v>98</v>
      </c>
      <c r="BE201" s="2" t="s">
        <v>91</v>
      </c>
      <c r="BF201" s="2" t="s">
        <v>79</v>
      </c>
      <c r="BG201" s="2" t="s">
        <v>98</v>
      </c>
      <c r="BH201" s="2" t="s">
        <v>98</v>
      </c>
      <c r="BI201" s="2" t="s">
        <v>98</v>
      </c>
      <c r="BJ201" s="2" t="s">
        <v>98</v>
      </c>
      <c r="BK201" s="2" t="s">
        <v>91</v>
      </c>
      <c r="BL201" s="2" t="s">
        <v>98</v>
      </c>
      <c r="BM201" s="2" t="s">
        <v>98</v>
      </c>
      <c r="BN201" s="2" t="s">
        <v>91</v>
      </c>
      <c r="BO201" s="2" t="s">
        <v>98</v>
      </c>
      <c r="BP201" s="2" t="s">
        <v>98</v>
      </c>
      <c r="BQ201" s="2" t="s">
        <v>91</v>
      </c>
      <c r="BR201" s="2" t="s">
        <v>91</v>
      </c>
      <c r="BS201" s="2" t="s">
        <v>91</v>
      </c>
      <c r="BT201" s="2" t="s">
        <v>98</v>
      </c>
      <c r="BU201" s="2" t="s">
        <v>79</v>
      </c>
      <c r="BV201" s="2" t="s">
        <v>91</v>
      </c>
      <c r="BW201" s="2" t="s">
        <v>91</v>
      </c>
      <c r="BX201" s="2" t="s">
        <v>91</v>
      </c>
      <c r="BY201" s="2" t="s">
        <v>91</v>
      </c>
      <c r="BZ201" s="2" t="s">
        <v>91</v>
      </c>
      <c r="CA201" s="2" t="s">
        <v>91</v>
      </c>
      <c r="CB201" t="e">
        <f>TTEST(AS201:AW201,AI201:AM201,2,2)</f>
        <v>#DIV/0!</v>
      </c>
      <c r="CC201" t="e">
        <f>TTEST(AD201:AH201,AI201:AM201,2,2)</f>
        <v>#DIV/0!</v>
      </c>
      <c r="CD201" t="e">
        <f>TTEST(AN201:AR201,AI201:AM201,2,2)</f>
        <v>#DIV/0!</v>
      </c>
      <c r="CE201" t="e">
        <f>TTEST(AX201:BB201,AI201:AM201,2,2)</f>
        <v>#DIV/0!</v>
      </c>
      <c r="CF201">
        <v>295</v>
      </c>
      <c r="CG201">
        <v>309</v>
      </c>
      <c r="CH201">
        <v>313</v>
      </c>
      <c r="CI201">
        <v>264</v>
      </c>
      <c r="CJ201">
        <f>0.05*CF201/464</f>
        <v>3.1788793103448273E-2</v>
      </c>
      <c r="CK201">
        <f>0.05*CG201/464</f>
        <v>3.3297413793103449E-2</v>
      </c>
      <c r="CL201">
        <f>0.05*CH201/464</f>
        <v>3.372844827586207E-2</v>
      </c>
      <c r="CM201">
        <f>0.05*CI201/464</f>
        <v>2.8448275862068967E-2</v>
      </c>
      <c r="CN201" t="e">
        <f>IF(CB201&lt;CJ201,"yes","no")</f>
        <v>#DIV/0!</v>
      </c>
      <c r="CO201" t="e">
        <f>IF(CC201&lt;CK201,"yes","no")</f>
        <v>#DIV/0!</v>
      </c>
      <c r="CP201" t="e">
        <f>IF(CD201&lt;CL201,"yes","no")</f>
        <v>#DIV/0!</v>
      </c>
      <c r="CQ201" t="e">
        <f>IF(CE201&lt;CM201,"yes","no")</f>
        <v>#DIV/0!</v>
      </c>
      <c r="CR201">
        <f>TTEST(AS201:AW201,AD201:AH201,2,2)</f>
        <v>7.655047742120441E-2</v>
      </c>
      <c r="CS201">
        <f>TTEST(AS201:AW201,AN201:AR201,2,2)</f>
        <v>0.16509817869866428</v>
      </c>
      <c r="CT201">
        <f>TTEST(AS201:AW201,AX201:BB201,2,2)</f>
        <v>0.45931052020278229</v>
      </c>
      <c r="CU201">
        <v>241</v>
      </c>
      <c r="CV201">
        <v>195</v>
      </c>
      <c r="CW201">
        <v>200</v>
      </c>
      <c r="CX201">
        <f t="shared" si="9"/>
        <v>2.5969827586206896E-2</v>
      </c>
      <c r="CY201">
        <f t="shared" si="10"/>
        <v>2.1012931034482759E-2</v>
      </c>
      <c r="CZ201">
        <f t="shared" si="11"/>
        <v>2.1551724137931036E-2</v>
      </c>
      <c r="DA201" t="str">
        <f>IF(CR201&lt;CX201,"yes","no")</f>
        <v>no</v>
      </c>
      <c r="DB201" t="str">
        <f>IF(CS201&lt;CY201,"yes","no")</f>
        <v>no</v>
      </c>
      <c r="DC201" t="str">
        <f>IF(CT201&lt;CZ201,"yes","no")</f>
        <v>no</v>
      </c>
    </row>
    <row r="202" spans="1:107" x14ac:dyDescent="0.2">
      <c r="A202" s="2" t="b">
        <v>0</v>
      </c>
      <c r="B202" s="2" t="s">
        <v>79</v>
      </c>
      <c r="C202" s="2" t="s">
        <v>80</v>
      </c>
      <c r="D202" s="2" t="s">
        <v>353</v>
      </c>
      <c r="E202" s="2" t="s">
        <v>354</v>
      </c>
      <c r="F202" s="2">
        <v>13</v>
      </c>
      <c r="G202" s="2">
        <v>11</v>
      </c>
      <c r="H202" s="2">
        <v>70.8</v>
      </c>
      <c r="I202" s="2">
        <v>5.52</v>
      </c>
      <c r="J202" s="2" t="s">
        <v>355</v>
      </c>
      <c r="K202" s="2" t="s">
        <v>356</v>
      </c>
      <c r="L202" s="2" t="s">
        <v>357</v>
      </c>
      <c r="M202" s="2" t="s">
        <v>358</v>
      </c>
      <c r="N202" s="2" t="s">
        <v>359</v>
      </c>
      <c r="O202" s="2">
        <v>5.3659999999999997</v>
      </c>
      <c r="P202" s="2">
        <v>0.40200000000000002</v>
      </c>
      <c r="Q202" s="2">
        <v>0.98899999999999999</v>
      </c>
      <c r="R202" s="2">
        <v>0.20599999999999999</v>
      </c>
      <c r="S202" s="2">
        <v>1.0389999999999999</v>
      </c>
      <c r="T202" s="2">
        <v>0.106</v>
      </c>
      <c r="U202" s="2">
        <v>0.21</v>
      </c>
      <c r="V202" s="2">
        <v>7.1999999999999995E-2</v>
      </c>
      <c r="W202" s="2">
        <v>0.20100000000000001</v>
      </c>
      <c r="X202" s="2">
        <v>2.9319999999999999</v>
      </c>
      <c r="Y202" s="2">
        <v>70.599999999999994</v>
      </c>
      <c r="Z202" s="2">
        <v>22</v>
      </c>
      <c r="AA202" s="2">
        <v>357.2</v>
      </c>
      <c r="AB202" s="2">
        <v>14.9</v>
      </c>
      <c r="AC202" s="2">
        <v>35.4</v>
      </c>
      <c r="AD202" s="2">
        <v>2239900.4042968801</v>
      </c>
      <c r="AE202" s="2">
        <v>1511103.15625</v>
      </c>
      <c r="AF202" s="2">
        <v>1706470.8095703099</v>
      </c>
      <c r="AG202" s="2">
        <v>3007486.6503906301</v>
      </c>
      <c r="AH202" s="2">
        <v>1678271.0703125</v>
      </c>
      <c r="AI202" s="2">
        <v>16112.1650390625</v>
      </c>
      <c r="AJ202" s="2" t="s">
        <v>83</v>
      </c>
      <c r="AK202" s="2">
        <v>3846.98120117188</v>
      </c>
      <c r="AL202" s="2">
        <v>250086.92675781299</v>
      </c>
      <c r="AM202" s="2">
        <v>8304.6650390625</v>
      </c>
      <c r="AN202" s="2">
        <v>121749.298339844</v>
      </c>
      <c r="AO202" s="2">
        <v>150244.80566406299</v>
      </c>
      <c r="AP202" s="2">
        <v>300828.16796875</v>
      </c>
      <c r="AQ202" s="2">
        <v>157579.58544921901</v>
      </c>
      <c r="AR202" s="2">
        <v>274396.30859375</v>
      </c>
      <c r="AS202" s="2">
        <v>49929.5673828125</v>
      </c>
      <c r="AT202" s="2">
        <v>83705.0166015625</v>
      </c>
      <c r="AU202" s="2">
        <v>61175.251953125</v>
      </c>
      <c r="AV202" s="2">
        <v>59450.5126953125</v>
      </c>
      <c r="AW202" s="2">
        <v>71278.6298828125</v>
      </c>
      <c r="AX202" s="2">
        <v>48496.6943359375</v>
      </c>
      <c r="AY202" s="2">
        <v>93747.6923828125</v>
      </c>
      <c r="AZ202" s="2">
        <v>55254.875</v>
      </c>
      <c r="BA202" s="2" t="s">
        <v>83</v>
      </c>
      <c r="BB202" s="2">
        <v>13970.0556640625</v>
      </c>
      <c r="BC202" s="2" t="s">
        <v>79</v>
      </c>
      <c r="BD202" s="2" t="s">
        <v>79</v>
      </c>
      <c r="BE202" s="2" t="s">
        <v>79</v>
      </c>
      <c r="BF202" s="2" t="s">
        <v>79</v>
      </c>
      <c r="BG202" s="2" t="s">
        <v>79</v>
      </c>
      <c r="BH202" s="2" t="s">
        <v>91</v>
      </c>
      <c r="BI202" s="2" t="s">
        <v>98</v>
      </c>
      <c r="BJ202" s="2" t="s">
        <v>91</v>
      </c>
      <c r="BK202" s="2" t="s">
        <v>79</v>
      </c>
      <c r="BL202" s="2" t="s">
        <v>91</v>
      </c>
      <c r="BM202" s="2" t="s">
        <v>79</v>
      </c>
      <c r="BN202" s="2" t="s">
        <v>79</v>
      </c>
      <c r="BO202" s="2" t="s">
        <v>79</v>
      </c>
      <c r="BP202" s="2" t="s">
        <v>79</v>
      </c>
      <c r="BQ202" s="2" t="s">
        <v>79</v>
      </c>
      <c r="BR202" s="2" t="s">
        <v>91</v>
      </c>
      <c r="BS202" s="2" t="s">
        <v>91</v>
      </c>
      <c r="BT202" s="2" t="s">
        <v>91</v>
      </c>
      <c r="BU202" s="2" t="s">
        <v>91</v>
      </c>
      <c r="BV202" s="2" t="s">
        <v>91</v>
      </c>
      <c r="BW202" s="2" t="s">
        <v>91</v>
      </c>
      <c r="BX202" s="2" t="s">
        <v>91</v>
      </c>
      <c r="BY202" s="2" t="s">
        <v>91</v>
      </c>
      <c r="BZ202" s="2" t="s">
        <v>98</v>
      </c>
      <c r="CA202" s="2" t="s">
        <v>98</v>
      </c>
      <c r="CB202">
        <f>TTEST(AS202:AW202,AI202:AM202,2,2)</f>
        <v>0.93536022259881824</v>
      </c>
      <c r="CC202">
        <f>TTEST(AD202:AH202,AI202:AM202,2,2)</f>
        <v>4.3459567923507809E-4</v>
      </c>
      <c r="CD202">
        <f>TTEST(AN202:AR202,AI202:AM202,2,2)</f>
        <v>9.0308604169314938E-2</v>
      </c>
      <c r="CE202">
        <f>TTEST(AX202:BB202,AI202:AM202,2,2)</f>
        <v>0.79771011112409274</v>
      </c>
      <c r="CF202">
        <v>224</v>
      </c>
      <c r="CG202">
        <v>127</v>
      </c>
      <c r="CH202">
        <v>132</v>
      </c>
      <c r="CI202">
        <v>191</v>
      </c>
      <c r="CJ202">
        <f>0.05*CF202/464</f>
        <v>2.4137931034482762E-2</v>
      </c>
      <c r="CK202">
        <f>0.05*CG202/464</f>
        <v>1.3685344827586208E-2</v>
      </c>
      <c r="CL202">
        <f>0.05*CH202/464</f>
        <v>1.4224137931034483E-2</v>
      </c>
      <c r="CM202">
        <f>0.05*CI202/464</f>
        <v>2.0581896551724141E-2</v>
      </c>
      <c r="CN202" t="str">
        <f>IF(CB202&lt;CJ202,"yes","no")</f>
        <v>no</v>
      </c>
      <c r="CO202" t="str">
        <f>IF(CC202&lt;CK202,"yes","no")</f>
        <v>yes</v>
      </c>
      <c r="CP202" t="str">
        <f>IF(CD202&lt;CL202,"yes","no")</f>
        <v>no</v>
      </c>
      <c r="CQ202" t="str">
        <f>IF(CE202&lt;CM202,"yes","no")</f>
        <v>no</v>
      </c>
      <c r="CR202">
        <f>TTEST(AS202:AW202,AD202:AH202,2,2)</f>
        <v>9.4737650917561019E-5</v>
      </c>
      <c r="CS202">
        <f>TTEST(AS202:AW202,AN202:AR202,2,2)</f>
        <v>5.9204999805476284E-3</v>
      </c>
      <c r="CT202">
        <f>TTEST(AS202:AW202,AX202:BB202,2,2)</f>
        <v>0.46317689658984196</v>
      </c>
      <c r="CU202">
        <v>128</v>
      </c>
      <c r="CV202">
        <v>122</v>
      </c>
      <c r="CW202">
        <v>201</v>
      </c>
      <c r="CX202">
        <f t="shared" si="9"/>
        <v>1.3793103448275864E-2</v>
      </c>
      <c r="CY202">
        <f t="shared" si="10"/>
        <v>1.3146551724137933E-2</v>
      </c>
      <c r="CZ202">
        <f t="shared" si="11"/>
        <v>2.1659482758620691E-2</v>
      </c>
      <c r="DA202" t="str">
        <f>IF(CR202&lt;CX202,"yes","no")</f>
        <v>yes</v>
      </c>
      <c r="DB202" t="str">
        <f>IF(CS202&lt;CY202,"yes","no")</f>
        <v>yes</v>
      </c>
      <c r="DC202" t="str">
        <f>IF(CT202&lt;CZ202,"yes","no")</f>
        <v>no</v>
      </c>
    </row>
    <row r="203" spans="1:107" x14ac:dyDescent="0.2">
      <c r="A203" s="2" t="b">
        <v>0</v>
      </c>
      <c r="B203" s="2" t="s">
        <v>79</v>
      </c>
      <c r="C203" s="2" t="s">
        <v>80</v>
      </c>
      <c r="D203" s="2" t="s">
        <v>898</v>
      </c>
      <c r="E203" s="2" t="s">
        <v>899</v>
      </c>
      <c r="F203" s="2">
        <v>6</v>
      </c>
      <c r="G203" s="2">
        <v>6</v>
      </c>
      <c r="H203" s="2">
        <v>308.8</v>
      </c>
      <c r="I203" s="2">
        <v>5.57</v>
      </c>
      <c r="J203" s="2" t="s">
        <v>900</v>
      </c>
      <c r="K203" s="2" t="s">
        <v>114</v>
      </c>
      <c r="L203" s="2" t="s">
        <v>119</v>
      </c>
      <c r="M203" s="2" t="s">
        <v>83</v>
      </c>
      <c r="N203" s="2" t="s">
        <v>901</v>
      </c>
      <c r="O203" s="2">
        <v>27.158000000000001</v>
      </c>
      <c r="P203" s="2">
        <v>1.2529999999999999</v>
      </c>
      <c r="Q203" s="2">
        <v>1.9870000000000001</v>
      </c>
      <c r="R203" s="2">
        <v>0.115</v>
      </c>
      <c r="S203" s="2">
        <v>2.71</v>
      </c>
      <c r="T203" s="2">
        <v>0.158</v>
      </c>
      <c r="U203" s="2">
        <v>0.23300000000000001</v>
      </c>
      <c r="V203" s="2">
        <v>4.7E-2</v>
      </c>
      <c r="W203" s="2">
        <v>0.08</v>
      </c>
      <c r="X203" s="2">
        <v>1.506</v>
      </c>
      <c r="Y203" s="2">
        <v>11.9</v>
      </c>
      <c r="Z203" s="2">
        <v>28.6</v>
      </c>
      <c r="AA203" s="2">
        <v>444.8</v>
      </c>
      <c r="AB203" s="2">
        <v>6.1</v>
      </c>
      <c r="AC203" s="2">
        <v>8.6</v>
      </c>
      <c r="AD203" s="2">
        <v>298907.3671875</v>
      </c>
      <c r="AE203" s="2">
        <v>110987.8828125</v>
      </c>
      <c r="AF203" s="2">
        <v>410979.0625</v>
      </c>
      <c r="AG203" s="2">
        <v>280422.7890625</v>
      </c>
      <c r="AH203" s="2">
        <v>277106.361328125</v>
      </c>
      <c r="AI203" s="2" t="s">
        <v>83</v>
      </c>
      <c r="AJ203" s="2" t="s">
        <v>83</v>
      </c>
      <c r="AK203" s="2" t="s">
        <v>83</v>
      </c>
      <c r="AL203" s="2">
        <v>18713.477050781301</v>
      </c>
      <c r="AM203" s="2" t="s">
        <v>83</v>
      </c>
      <c r="AN203" s="2">
        <v>155785.796875</v>
      </c>
      <c r="AO203" s="2">
        <v>148022.58886718799</v>
      </c>
      <c r="AP203" s="2">
        <v>176206.33203125</v>
      </c>
      <c r="AQ203" s="2">
        <v>194442.35107421901</v>
      </c>
      <c r="AR203" s="2">
        <v>260265.24121093799</v>
      </c>
      <c r="AS203" s="2">
        <v>13220.251953125</v>
      </c>
      <c r="AT203" s="2">
        <v>75839.2001953125</v>
      </c>
      <c r="AU203" s="2">
        <v>17929.107910156301</v>
      </c>
      <c r="AV203" s="2">
        <v>17780.7724609375</v>
      </c>
      <c r="AW203" s="2">
        <v>48963.6689453125</v>
      </c>
      <c r="AX203" s="2">
        <v>13405.6455078125</v>
      </c>
      <c r="AY203" s="2">
        <v>11957.9453125</v>
      </c>
      <c r="AZ203" s="2">
        <v>57900.6435546875</v>
      </c>
      <c r="BA203" s="2" t="s">
        <v>83</v>
      </c>
      <c r="BB203" s="2">
        <v>5578.17431640625</v>
      </c>
      <c r="BC203" s="2" t="s">
        <v>79</v>
      </c>
      <c r="BD203" s="2" t="s">
        <v>79</v>
      </c>
      <c r="BE203" s="2" t="s">
        <v>79</v>
      </c>
      <c r="BF203" s="2" t="s">
        <v>79</v>
      </c>
      <c r="BG203" s="2" t="s">
        <v>79</v>
      </c>
      <c r="BH203" s="2" t="s">
        <v>98</v>
      </c>
      <c r="BI203" s="2" t="s">
        <v>98</v>
      </c>
      <c r="BJ203" s="2" t="s">
        <v>98</v>
      </c>
      <c r="BK203" s="2" t="s">
        <v>91</v>
      </c>
      <c r="BL203" s="2" t="s">
        <v>98</v>
      </c>
      <c r="BM203" s="2" t="s">
        <v>79</v>
      </c>
      <c r="BN203" s="2" t="s">
        <v>79</v>
      </c>
      <c r="BO203" s="2" t="s">
        <v>79</v>
      </c>
      <c r="BP203" s="2" t="s">
        <v>79</v>
      </c>
      <c r="BQ203" s="2" t="s">
        <v>79</v>
      </c>
      <c r="BR203" s="2" t="s">
        <v>91</v>
      </c>
      <c r="BS203" s="2" t="s">
        <v>79</v>
      </c>
      <c r="BT203" s="2" t="s">
        <v>79</v>
      </c>
      <c r="BU203" s="2" t="s">
        <v>91</v>
      </c>
      <c r="BV203" s="2" t="s">
        <v>91</v>
      </c>
      <c r="BW203" s="2" t="s">
        <v>91</v>
      </c>
      <c r="BX203" s="2" t="s">
        <v>91</v>
      </c>
      <c r="BY203" s="2" t="s">
        <v>91</v>
      </c>
      <c r="BZ203" s="2" t="s">
        <v>98</v>
      </c>
      <c r="CA203" s="2" t="s">
        <v>91</v>
      </c>
      <c r="CB203" t="e">
        <f>TTEST(AS203:AW203,AI203:AM203,2,2)</f>
        <v>#DIV/0!</v>
      </c>
      <c r="CC203" t="e">
        <f>TTEST(AD203:AH203,AI203:AM203,2,2)</f>
        <v>#DIV/0!</v>
      </c>
      <c r="CD203" t="e">
        <f>TTEST(AN203:AR203,AI203:AM203,2,2)</f>
        <v>#DIV/0!</v>
      </c>
      <c r="CE203" t="e">
        <f>TTEST(AX203:BB203,AI203:AM203,2,2)</f>
        <v>#DIV/0!</v>
      </c>
      <c r="CF203">
        <v>260</v>
      </c>
      <c r="CG203">
        <v>274</v>
      </c>
      <c r="CH203">
        <v>278</v>
      </c>
      <c r="CI203">
        <v>208</v>
      </c>
      <c r="CJ203">
        <f>0.05*CF203/464</f>
        <v>2.8017241379310345E-2</v>
      </c>
      <c r="CK203">
        <f>0.05*CG203/464</f>
        <v>2.9525862068965521E-2</v>
      </c>
      <c r="CL203">
        <f>0.05*CH203/464</f>
        <v>2.9956896551724139E-2</v>
      </c>
      <c r="CM203">
        <f>0.05*CI203/464</f>
        <v>2.2413793103448276E-2</v>
      </c>
      <c r="CN203" t="e">
        <f>IF(CB203&lt;CJ203,"yes","no")</f>
        <v>#DIV/0!</v>
      </c>
      <c r="CO203" t="e">
        <f>IF(CC203&lt;CK203,"yes","no")</f>
        <v>#DIV/0!</v>
      </c>
      <c r="CP203" t="e">
        <f>IF(CD203&lt;CL203,"yes","no")</f>
        <v>#DIV/0!</v>
      </c>
      <c r="CQ203" t="e">
        <f>IF(CE203&lt;CM203,"yes","no")</f>
        <v>#DIV/0!</v>
      </c>
      <c r="CR203">
        <f>TTEST(AS203:AW203,AD203:AH203,2,2)</f>
        <v>1.2373425639504877E-3</v>
      </c>
      <c r="CS203">
        <f>TTEST(AS203:AW203,AN203:AR203,2,2)</f>
        <v>1.876764946870382E-4</v>
      </c>
      <c r="CT203">
        <f>TTEST(AS203:AW203,AX203:BB203,2,2)</f>
        <v>0.49228600955302204</v>
      </c>
      <c r="CU203">
        <v>164</v>
      </c>
      <c r="CV203">
        <v>59</v>
      </c>
      <c r="CW203">
        <v>202</v>
      </c>
      <c r="CX203">
        <f t="shared" si="9"/>
        <v>1.7672413793103449E-2</v>
      </c>
      <c r="CY203">
        <f t="shared" si="10"/>
        <v>6.3577586206896557E-3</v>
      </c>
      <c r="CZ203">
        <f t="shared" si="11"/>
        <v>2.1767241379310347E-2</v>
      </c>
      <c r="DA203" t="str">
        <f>IF(CR203&lt;CX203,"yes","no")</f>
        <v>yes</v>
      </c>
      <c r="DB203" t="str">
        <f>IF(CS203&lt;CY203,"yes","no")</f>
        <v>yes</v>
      </c>
      <c r="DC203" t="str">
        <f>IF(CT203&lt;CZ203,"yes","no")</f>
        <v>no</v>
      </c>
    </row>
    <row r="204" spans="1:107" x14ac:dyDescent="0.2">
      <c r="A204" s="2" t="b">
        <v>0</v>
      </c>
      <c r="B204" s="2" t="s">
        <v>79</v>
      </c>
      <c r="C204" s="2" t="s">
        <v>80</v>
      </c>
      <c r="D204" s="2" t="s">
        <v>1186</v>
      </c>
      <c r="E204" s="2" t="s">
        <v>1187</v>
      </c>
      <c r="F204" s="2">
        <v>2</v>
      </c>
      <c r="G204" s="2">
        <v>2</v>
      </c>
      <c r="H204" s="2">
        <v>46.4</v>
      </c>
      <c r="I204" s="2">
        <v>7.21</v>
      </c>
      <c r="J204" s="2" t="s">
        <v>1068</v>
      </c>
      <c r="K204" s="2" t="s">
        <v>1188</v>
      </c>
      <c r="L204" s="2" t="s">
        <v>119</v>
      </c>
      <c r="M204" s="2" t="s">
        <v>1189</v>
      </c>
      <c r="N204" s="2" t="s">
        <v>1190</v>
      </c>
      <c r="O204" s="2">
        <v>1.5880000000000001</v>
      </c>
      <c r="P204" s="2">
        <v>0.43</v>
      </c>
      <c r="Q204" s="2">
        <v>1.2150000000000001</v>
      </c>
      <c r="R204" s="2">
        <v>0.33400000000000002</v>
      </c>
      <c r="S204" s="2">
        <v>0.875</v>
      </c>
      <c r="T204" s="2">
        <v>0.26500000000000001</v>
      </c>
      <c r="U204" s="2">
        <v>1.5129999999999999</v>
      </c>
      <c r="V204" s="2">
        <v>0.308</v>
      </c>
      <c r="W204" s="2">
        <v>1.38</v>
      </c>
      <c r="X204" s="2">
        <v>5.6710000000000003</v>
      </c>
      <c r="Y204" s="2">
        <v>106.7</v>
      </c>
      <c r="Z204" s="2">
        <v>259.7</v>
      </c>
      <c r="AA204" s="2">
        <v>43.8</v>
      </c>
      <c r="AB204" s="2">
        <v>13.5</v>
      </c>
      <c r="AC204" s="2">
        <v>76.400000000000006</v>
      </c>
      <c r="AD204" s="2">
        <v>787965.515625</v>
      </c>
      <c r="AE204" s="2">
        <v>462368.53125</v>
      </c>
      <c r="AF204" s="2">
        <v>562248.484375</v>
      </c>
      <c r="AG204" s="2">
        <v>1501798.375</v>
      </c>
      <c r="AH204" s="2">
        <v>465998.0625</v>
      </c>
      <c r="AI204" s="2">
        <v>34309.015625</v>
      </c>
      <c r="AJ204" s="2">
        <v>37125.3271484375</v>
      </c>
      <c r="AK204" s="2">
        <v>39508.067871093801</v>
      </c>
      <c r="AL204" s="2">
        <v>15878.0732421875</v>
      </c>
      <c r="AM204" s="2">
        <v>5011.51123046875</v>
      </c>
      <c r="AN204" s="2">
        <v>3481.05297851563</v>
      </c>
      <c r="AO204" s="2">
        <v>5103.4541015625</v>
      </c>
      <c r="AP204" s="2">
        <v>6273.681640625</v>
      </c>
      <c r="AQ204" s="2">
        <v>3820.40673828125</v>
      </c>
      <c r="AR204" s="2">
        <v>34283.47265625</v>
      </c>
      <c r="AS204" s="2" t="s">
        <v>83</v>
      </c>
      <c r="AT204" s="2">
        <v>12518.498046875</v>
      </c>
      <c r="AU204" s="2" t="s">
        <v>83</v>
      </c>
      <c r="AV204" s="2">
        <v>19008.125</v>
      </c>
      <c r="AW204" s="2">
        <v>13182.57421875</v>
      </c>
      <c r="AX204" s="2">
        <v>38879.4140625</v>
      </c>
      <c r="AY204" s="2" t="s">
        <v>83</v>
      </c>
      <c r="AZ204" s="2" t="s">
        <v>83</v>
      </c>
      <c r="BA204" s="2">
        <v>5808.4765625</v>
      </c>
      <c r="BB204" s="2">
        <v>21984.1171875</v>
      </c>
      <c r="BC204" s="2" t="s">
        <v>79</v>
      </c>
      <c r="BD204" s="2" t="s">
        <v>91</v>
      </c>
      <c r="BE204" s="2" t="s">
        <v>91</v>
      </c>
      <c r="BF204" s="2" t="s">
        <v>79</v>
      </c>
      <c r="BG204" s="2" t="s">
        <v>91</v>
      </c>
      <c r="BH204" s="2" t="s">
        <v>91</v>
      </c>
      <c r="BI204" s="2" t="s">
        <v>91</v>
      </c>
      <c r="BJ204" s="2" t="s">
        <v>91</v>
      </c>
      <c r="BK204" s="2" t="s">
        <v>91</v>
      </c>
      <c r="BL204" s="2" t="s">
        <v>91</v>
      </c>
      <c r="BM204" s="2" t="s">
        <v>91</v>
      </c>
      <c r="BN204" s="2" t="s">
        <v>91</v>
      </c>
      <c r="BO204" s="2" t="s">
        <v>91</v>
      </c>
      <c r="BP204" s="2" t="s">
        <v>91</v>
      </c>
      <c r="BQ204" s="2" t="s">
        <v>91</v>
      </c>
      <c r="BR204" s="2" t="s">
        <v>98</v>
      </c>
      <c r="BS204" s="2" t="s">
        <v>91</v>
      </c>
      <c r="BT204" s="2" t="s">
        <v>98</v>
      </c>
      <c r="BU204" s="2" t="s">
        <v>91</v>
      </c>
      <c r="BV204" s="2" t="s">
        <v>91</v>
      </c>
      <c r="BW204" s="2" t="s">
        <v>91</v>
      </c>
      <c r="BX204" s="2" t="s">
        <v>98</v>
      </c>
      <c r="BY204" s="2" t="s">
        <v>98</v>
      </c>
      <c r="BZ204" s="2" t="s">
        <v>91</v>
      </c>
      <c r="CA204" s="2" t="s">
        <v>91</v>
      </c>
      <c r="CB204">
        <f>TTEST(AS204:AW204,AI204:AM204,2,2)</f>
        <v>0.25715450826704717</v>
      </c>
      <c r="CC204">
        <f>TTEST(AD204:AH204,AI204:AM204,2,2)</f>
        <v>5.7993394750893868E-3</v>
      </c>
      <c r="CD204">
        <f>TTEST(AN204:AR204,AI204:AM204,2,2)</f>
        <v>0.11814748456549809</v>
      </c>
      <c r="CE204">
        <f>TTEST(AX204:BB204,AI204:AM204,2,2)</f>
        <v>0.72900557573296543</v>
      </c>
      <c r="CF204">
        <v>173</v>
      </c>
      <c r="CG204">
        <v>157</v>
      </c>
      <c r="CH204">
        <v>134</v>
      </c>
      <c r="CI204">
        <v>180</v>
      </c>
      <c r="CJ204">
        <f>0.05*CF204/464</f>
        <v>1.8642241379310344E-2</v>
      </c>
      <c r="CK204">
        <f>0.05*CG204/464</f>
        <v>1.6918103448275865E-2</v>
      </c>
      <c r="CL204">
        <f>0.05*CH204/464</f>
        <v>1.4439655172413794E-2</v>
      </c>
      <c r="CM204">
        <f>0.05*CI204/464</f>
        <v>1.9396551724137932E-2</v>
      </c>
      <c r="CN204" t="str">
        <f>IF(CB204&lt;CJ204,"yes","no")</f>
        <v>no</v>
      </c>
      <c r="CO204" t="str">
        <f>IF(CC204&lt;CK204,"yes","no")</f>
        <v>yes</v>
      </c>
      <c r="CP204" t="str">
        <f>IF(CD204&lt;CL204,"yes","no")</f>
        <v>no</v>
      </c>
      <c r="CQ204" t="str">
        <f>IF(CE204&lt;CM204,"yes","no")</f>
        <v>no</v>
      </c>
      <c r="CR204">
        <f>TTEST(AS204:AW204,AD204:AH204,2,2)</f>
        <v>2.9487910562114403E-2</v>
      </c>
      <c r="CS204">
        <f>TTEST(AS204:AW204,AN204:AR204,2,2)</f>
        <v>0.61227325100475838</v>
      </c>
      <c r="CT204">
        <f>TTEST(AS204:AW204,AX204:BB204,2,2)</f>
        <v>0.49521968846673681</v>
      </c>
      <c r="CU204">
        <v>215</v>
      </c>
      <c r="CV204">
        <v>236</v>
      </c>
      <c r="CW204">
        <v>203</v>
      </c>
      <c r="CX204">
        <f t="shared" si="9"/>
        <v>2.3168103448275863E-2</v>
      </c>
      <c r="CY204">
        <f t="shared" si="10"/>
        <v>2.5431034482758623E-2</v>
      </c>
      <c r="CZ204">
        <f t="shared" si="11"/>
        <v>2.1875000000000002E-2</v>
      </c>
      <c r="DA204" t="str">
        <f>IF(CR204&lt;CX204,"yes","no")</f>
        <v>no</v>
      </c>
      <c r="DB204" t="str">
        <f>IF(CS204&lt;CY204,"yes","no")</f>
        <v>no</v>
      </c>
      <c r="DC204" t="str">
        <f>IF(CT204&lt;CZ204,"yes","no")</f>
        <v>no</v>
      </c>
    </row>
    <row r="205" spans="1:107" x14ac:dyDescent="0.2">
      <c r="A205" s="2" t="b">
        <v>0</v>
      </c>
      <c r="B205" s="2" t="s">
        <v>79</v>
      </c>
      <c r="C205" s="2" t="s">
        <v>80</v>
      </c>
      <c r="D205" s="2" t="s">
        <v>752</v>
      </c>
      <c r="E205" s="2" t="s">
        <v>753</v>
      </c>
      <c r="F205" s="2">
        <v>2</v>
      </c>
      <c r="G205" s="2">
        <v>2</v>
      </c>
      <c r="H205" s="2">
        <v>15.1</v>
      </c>
      <c r="I205" s="2">
        <v>8.3699999999999992</v>
      </c>
      <c r="J205" s="2" t="s">
        <v>362</v>
      </c>
      <c r="K205" s="2" t="s">
        <v>84</v>
      </c>
      <c r="L205" s="2" t="s">
        <v>119</v>
      </c>
      <c r="M205" s="2" t="s">
        <v>754</v>
      </c>
      <c r="N205" s="2" t="s">
        <v>752</v>
      </c>
      <c r="O205" s="2">
        <v>6.2590000000000003</v>
      </c>
      <c r="P205" s="2">
        <v>0.628</v>
      </c>
      <c r="Q205" s="2">
        <v>2.8260000000000001</v>
      </c>
      <c r="R205" s="2">
        <v>0.18099999999999999</v>
      </c>
      <c r="S205" s="2">
        <v>1.081</v>
      </c>
      <c r="T205" s="2">
        <v>0.114</v>
      </c>
      <c r="U205" s="2">
        <v>0.27700000000000002</v>
      </c>
      <c r="V205" s="2">
        <v>9.8000000000000004E-2</v>
      </c>
      <c r="W205" s="2">
        <v>0.24099999999999999</v>
      </c>
      <c r="X205" s="2">
        <v>2.8940000000000001</v>
      </c>
      <c r="Y205" s="2">
        <v>36.6</v>
      </c>
      <c r="Z205" s="2">
        <v>195.7</v>
      </c>
      <c r="AA205" s="2">
        <v>198.4</v>
      </c>
      <c r="AB205" s="2">
        <v>21.5</v>
      </c>
      <c r="AC205" s="2">
        <v>47.8</v>
      </c>
      <c r="AD205" s="2">
        <v>712422.375</v>
      </c>
      <c r="AE205" s="2">
        <v>16879.84765625</v>
      </c>
      <c r="AF205" s="2">
        <v>625051.5625</v>
      </c>
      <c r="AG205" s="2">
        <v>4883000.55859375</v>
      </c>
      <c r="AH205" s="2">
        <v>90972.37109375</v>
      </c>
      <c r="AI205" s="2">
        <v>37280.478515625</v>
      </c>
      <c r="AJ205" s="2">
        <v>62126.7119140625</v>
      </c>
      <c r="AK205" s="2">
        <v>57389.726806640603</v>
      </c>
      <c r="AL205" s="2">
        <v>103832.37402343799</v>
      </c>
      <c r="AM205" s="2">
        <v>65961.474609375</v>
      </c>
      <c r="AN205" s="2">
        <v>53480.888183593801</v>
      </c>
      <c r="AO205" s="2">
        <v>47929.1484375</v>
      </c>
      <c r="AP205" s="2">
        <v>70926.3212890625</v>
      </c>
      <c r="AQ205" s="2">
        <v>82209.0439453125</v>
      </c>
      <c r="AR205" s="2">
        <v>577327.6171875</v>
      </c>
      <c r="AS205" s="2">
        <v>43122.4765625</v>
      </c>
      <c r="AT205" s="2">
        <v>78545.703613281294</v>
      </c>
      <c r="AU205" s="2">
        <v>60527.33984375</v>
      </c>
      <c r="AV205" s="2">
        <v>78390.612792968794</v>
      </c>
      <c r="AW205" s="2">
        <v>45164.5078125</v>
      </c>
      <c r="AX205" s="2">
        <v>152026.34667968799</v>
      </c>
      <c r="AY205" s="2">
        <v>43527.15625</v>
      </c>
      <c r="AZ205" s="2">
        <v>46355.92578125</v>
      </c>
      <c r="BA205" s="2">
        <v>39131.3359375</v>
      </c>
      <c r="BB205" s="2">
        <v>109457.673828125</v>
      </c>
      <c r="BC205" s="2" t="s">
        <v>79</v>
      </c>
      <c r="BD205" s="2" t="s">
        <v>91</v>
      </c>
      <c r="BE205" s="2" t="s">
        <v>79</v>
      </c>
      <c r="BF205" s="2" t="s">
        <v>79</v>
      </c>
      <c r="BG205" s="2" t="s">
        <v>91</v>
      </c>
      <c r="BH205" s="2" t="s">
        <v>79</v>
      </c>
      <c r="BI205" s="2" t="s">
        <v>79</v>
      </c>
      <c r="BJ205" s="2" t="s">
        <v>79</v>
      </c>
      <c r="BK205" s="2" t="s">
        <v>79</v>
      </c>
      <c r="BL205" s="2" t="s">
        <v>79</v>
      </c>
      <c r="BM205" s="2" t="s">
        <v>91</v>
      </c>
      <c r="BN205" s="2" t="s">
        <v>79</v>
      </c>
      <c r="BO205" s="2" t="s">
        <v>79</v>
      </c>
      <c r="BP205" s="2" t="s">
        <v>79</v>
      </c>
      <c r="BQ205" s="2" t="s">
        <v>79</v>
      </c>
      <c r="BR205" s="2" t="s">
        <v>79</v>
      </c>
      <c r="BS205" s="2" t="s">
        <v>79</v>
      </c>
      <c r="BT205" s="2" t="s">
        <v>91</v>
      </c>
      <c r="BU205" s="2" t="s">
        <v>79</v>
      </c>
      <c r="BV205" s="2" t="s">
        <v>79</v>
      </c>
      <c r="BW205" s="2" t="s">
        <v>79</v>
      </c>
      <c r="BX205" s="2" t="s">
        <v>79</v>
      </c>
      <c r="BY205" s="2" t="s">
        <v>79</v>
      </c>
      <c r="BZ205" s="2" t="s">
        <v>79</v>
      </c>
      <c r="CA205" s="2" t="s">
        <v>79</v>
      </c>
      <c r="CB205">
        <f>TTEST(AS205:AW205,AI205:AM205,2,2)</f>
        <v>0.76154365358179077</v>
      </c>
      <c r="CC205">
        <f>TTEST(AD205:AH205,AI205:AM205,2,2)</f>
        <v>0.22594566460677609</v>
      </c>
      <c r="CD205">
        <f>TTEST(AN205:AR205,AI205:AM205,2,2)</f>
        <v>0.35741349453251636</v>
      </c>
      <c r="CE205">
        <f>TTEST(AX205:BB205,AI205:AM205,2,2)</f>
        <v>0.62315192559225463</v>
      </c>
      <c r="CF205">
        <v>214</v>
      </c>
      <c r="CG205">
        <v>216</v>
      </c>
      <c r="CH205">
        <v>166</v>
      </c>
      <c r="CI205">
        <v>171</v>
      </c>
      <c r="CJ205">
        <f>0.05*CF205/464</f>
        <v>2.3060344827586208E-2</v>
      </c>
      <c r="CK205">
        <f>0.05*CG205/464</f>
        <v>2.3275862068965519E-2</v>
      </c>
      <c r="CL205">
        <f>0.05*CH205/464</f>
        <v>1.788793103448276E-2</v>
      </c>
      <c r="CM205">
        <f>0.05*CI205/464</f>
        <v>1.8426724137931037E-2</v>
      </c>
      <c r="CN205" t="str">
        <f>IF(CB205&lt;CJ205,"yes","no")</f>
        <v>no</v>
      </c>
      <c r="CO205" t="str">
        <f>IF(CC205&lt;CK205,"yes","no")</f>
        <v>no</v>
      </c>
      <c r="CP205" t="str">
        <f>IF(CD205&lt;CL205,"yes","no")</f>
        <v>no</v>
      </c>
      <c r="CQ205" t="str">
        <f>IF(CE205&lt;CM205,"yes","no")</f>
        <v>no</v>
      </c>
      <c r="CR205">
        <f>TTEST(AS205:AW205,AD205:AH205,2,2)</f>
        <v>0.22446915439116122</v>
      </c>
      <c r="CS205">
        <f>TTEST(AS205:AW205,AN205:AR205,2,2)</f>
        <v>0.33777971042398069</v>
      </c>
      <c r="CT205">
        <f>TTEST(AS205:AW205,AX205:BB205,2,2)</f>
        <v>0.49700596193413527</v>
      </c>
      <c r="CU205">
        <v>276</v>
      </c>
      <c r="CV205">
        <v>214</v>
      </c>
      <c r="CW205">
        <v>204</v>
      </c>
      <c r="CX205">
        <f t="shared" si="9"/>
        <v>2.9741379310344828E-2</v>
      </c>
      <c r="CY205">
        <f t="shared" si="10"/>
        <v>2.3060344827586208E-2</v>
      </c>
      <c r="CZ205">
        <f t="shared" si="11"/>
        <v>2.1982758620689657E-2</v>
      </c>
      <c r="DA205" t="str">
        <f>IF(CR205&lt;CX205,"yes","no")</f>
        <v>no</v>
      </c>
      <c r="DB205" t="str">
        <f>IF(CS205&lt;CY205,"yes","no")</f>
        <v>no</v>
      </c>
      <c r="DC205" t="str">
        <f>IF(CT205&lt;CZ205,"yes","no")</f>
        <v>no</v>
      </c>
    </row>
    <row r="206" spans="1:107" x14ac:dyDescent="0.2">
      <c r="A206" s="2" t="b">
        <v>0</v>
      </c>
      <c r="B206" s="2" t="s">
        <v>79</v>
      </c>
      <c r="C206" s="2" t="s">
        <v>80</v>
      </c>
      <c r="D206" s="2" t="s">
        <v>1487</v>
      </c>
      <c r="E206" s="2" t="s">
        <v>1488</v>
      </c>
      <c r="F206" s="2">
        <v>1</v>
      </c>
      <c r="G206" s="2">
        <v>1</v>
      </c>
      <c r="H206" s="2">
        <v>111.1</v>
      </c>
      <c r="I206" s="2">
        <v>6.8</v>
      </c>
      <c r="J206" s="2" t="s">
        <v>83</v>
      </c>
      <c r="K206" s="2" t="s">
        <v>319</v>
      </c>
      <c r="L206" s="2" t="s">
        <v>102</v>
      </c>
      <c r="M206" s="2" t="s">
        <v>1489</v>
      </c>
      <c r="N206" s="2" t="s">
        <v>1487</v>
      </c>
      <c r="O206" s="2">
        <v>45.405000000000001</v>
      </c>
      <c r="P206" s="2">
        <v>3.9969999999999999</v>
      </c>
      <c r="Q206" s="2">
        <v>8.7629999999999999</v>
      </c>
      <c r="R206" s="2">
        <v>0.02</v>
      </c>
      <c r="S206" s="2">
        <v>0.89800000000000002</v>
      </c>
      <c r="T206" s="2">
        <v>8.4000000000000005E-2</v>
      </c>
      <c r="U206" s="2">
        <v>0.185</v>
      </c>
      <c r="V206" s="2">
        <v>6.9000000000000006E-2</v>
      </c>
      <c r="W206" s="2">
        <v>0.20699999999999999</v>
      </c>
      <c r="X206" s="2">
        <v>3.161</v>
      </c>
      <c r="Y206" s="2">
        <v>4.5999999999999996</v>
      </c>
      <c r="Z206" s="2">
        <v>218.8</v>
      </c>
      <c r="AA206" s="2">
        <v>214.6</v>
      </c>
      <c r="AB206" s="2">
        <v>21.4</v>
      </c>
      <c r="AC206" s="2">
        <v>40.5</v>
      </c>
      <c r="AD206" s="2">
        <v>8242794.5</v>
      </c>
      <c r="AE206" s="2">
        <v>12209334</v>
      </c>
      <c r="AF206" s="2">
        <v>6007079</v>
      </c>
      <c r="AG206" s="2">
        <v>13663689</v>
      </c>
      <c r="AH206" s="2">
        <v>8546774</v>
      </c>
      <c r="AI206" s="2">
        <v>8053145</v>
      </c>
      <c r="AJ206" s="2">
        <v>14233195</v>
      </c>
      <c r="AK206" s="2">
        <v>5961181</v>
      </c>
      <c r="AL206" s="2">
        <v>12626435</v>
      </c>
      <c r="AM206" s="2">
        <v>8150122.5</v>
      </c>
      <c r="AN206" s="2">
        <v>4800504.5</v>
      </c>
      <c r="AO206" s="2">
        <v>4034745.75</v>
      </c>
      <c r="AP206" s="2">
        <v>14280736</v>
      </c>
      <c r="AQ206" s="2">
        <v>17206068</v>
      </c>
      <c r="AR206" s="2">
        <v>10549973</v>
      </c>
      <c r="AS206" s="2">
        <v>1636126.625</v>
      </c>
      <c r="AT206" s="2">
        <v>3744141.25</v>
      </c>
      <c r="AU206" s="2">
        <v>10287564</v>
      </c>
      <c r="AV206" s="2">
        <v>5984384.5</v>
      </c>
      <c r="AW206" s="2">
        <v>8577685</v>
      </c>
      <c r="AX206" s="2">
        <v>2676648.25</v>
      </c>
      <c r="AY206" s="2">
        <v>37680788</v>
      </c>
      <c r="AZ206" s="2">
        <v>2811013.75</v>
      </c>
      <c r="BA206" s="2">
        <v>3895305.5</v>
      </c>
      <c r="BB206" s="2">
        <v>7771552.5</v>
      </c>
      <c r="BC206" s="2" t="s">
        <v>91</v>
      </c>
      <c r="BD206" s="2" t="s">
        <v>91</v>
      </c>
      <c r="BE206" s="2" t="s">
        <v>91</v>
      </c>
      <c r="BF206" s="2" t="s">
        <v>91</v>
      </c>
      <c r="BG206" s="2" t="s">
        <v>91</v>
      </c>
      <c r="BH206" s="2" t="s">
        <v>79</v>
      </c>
      <c r="BI206" s="2" t="s">
        <v>79</v>
      </c>
      <c r="BJ206" s="2" t="s">
        <v>79</v>
      </c>
      <c r="BK206" s="2" t="s">
        <v>79</v>
      </c>
      <c r="BL206" s="2" t="s">
        <v>79</v>
      </c>
      <c r="BM206" s="2" t="s">
        <v>79</v>
      </c>
      <c r="BN206" s="2" t="s">
        <v>79</v>
      </c>
      <c r="BO206" s="2" t="s">
        <v>91</v>
      </c>
      <c r="BP206" s="2" t="s">
        <v>91</v>
      </c>
      <c r="BQ206" s="2" t="s">
        <v>91</v>
      </c>
      <c r="BR206" s="2" t="s">
        <v>91</v>
      </c>
      <c r="BS206" s="2" t="s">
        <v>91</v>
      </c>
      <c r="BT206" s="2" t="s">
        <v>79</v>
      </c>
      <c r="BU206" s="2" t="s">
        <v>79</v>
      </c>
      <c r="BV206" s="2" t="s">
        <v>91</v>
      </c>
      <c r="BW206" s="2" t="s">
        <v>79</v>
      </c>
      <c r="BX206" s="2" t="s">
        <v>79</v>
      </c>
      <c r="BY206" s="2" t="s">
        <v>91</v>
      </c>
      <c r="BZ206" s="2" t="s">
        <v>79</v>
      </c>
      <c r="CA206" s="2" t="s">
        <v>79</v>
      </c>
      <c r="CB206">
        <f>TTEST(AS206:AW206,AI206:AM206,2,2)</f>
        <v>0.12675363411454452</v>
      </c>
      <c r="CC206">
        <f>TTEST(AD206:AH206,AI206:AM206,2,2)</f>
        <v>0.97375854396979988</v>
      </c>
      <c r="CD206">
        <f>TTEST(AN206:AR206,AI206:AM206,2,2)</f>
        <v>0.90529675544522625</v>
      </c>
      <c r="CE206">
        <f>TTEST(AX206:BB206,AI206:AM206,2,2)</f>
        <v>0.87075525891513328</v>
      </c>
      <c r="CF206">
        <v>160</v>
      </c>
      <c r="CG206">
        <v>240</v>
      </c>
      <c r="CH206">
        <v>229</v>
      </c>
      <c r="CI206">
        <v>196</v>
      </c>
      <c r="CJ206">
        <f>0.05*CF206/464</f>
        <v>1.7241379310344827E-2</v>
      </c>
      <c r="CK206">
        <f>0.05*CG206/464</f>
        <v>2.5862068965517241E-2</v>
      </c>
      <c r="CL206">
        <f>0.05*CH206/464</f>
        <v>2.4676724137931035E-2</v>
      </c>
      <c r="CM206">
        <f>0.05*CI206/464</f>
        <v>2.1120689655172414E-2</v>
      </c>
      <c r="CN206" t="str">
        <f>IF(CB206&lt;CJ206,"yes","no")</f>
        <v>no</v>
      </c>
      <c r="CO206" t="str">
        <f>IF(CC206&lt;CK206,"yes","no")</f>
        <v>no</v>
      </c>
      <c r="CP206" t="str">
        <f>IF(CD206&lt;CL206,"yes","no")</f>
        <v>no</v>
      </c>
      <c r="CQ206" t="str">
        <f>IF(CE206&lt;CM206,"yes","no")</f>
        <v>no</v>
      </c>
      <c r="CR206">
        <f>TTEST(AS206:AW206,AD206:AH206,2,2)</f>
        <v>0.117203533528808</v>
      </c>
      <c r="CS206">
        <f>TTEST(AS206:AW206,AN206:AR206,2,2)</f>
        <v>0.20852482593997479</v>
      </c>
      <c r="CT206">
        <f>TTEST(AS206:AW206,AX206:BB206,2,2)</f>
        <v>0.49731842150460248</v>
      </c>
      <c r="CU206">
        <v>254</v>
      </c>
      <c r="CV206">
        <v>200</v>
      </c>
      <c r="CW206">
        <v>205</v>
      </c>
      <c r="CX206">
        <f t="shared" si="9"/>
        <v>2.7370689655172416E-2</v>
      </c>
      <c r="CY206">
        <f t="shared" si="10"/>
        <v>2.1551724137931036E-2</v>
      </c>
      <c r="CZ206">
        <f t="shared" si="11"/>
        <v>2.2090517241379309E-2</v>
      </c>
      <c r="DA206" t="str">
        <f>IF(CR206&lt;CX206,"yes","no")</f>
        <v>no</v>
      </c>
      <c r="DB206" t="str">
        <f>IF(CS206&lt;CY206,"yes","no")</f>
        <v>no</v>
      </c>
      <c r="DC206" t="str">
        <f>IF(CT206&lt;CZ206,"yes","no")</f>
        <v>no</v>
      </c>
    </row>
    <row r="207" spans="1:107" x14ac:dyDescent="0.2">
      <c r="A207" s="2" t="b">
        <v>0</v>
      </c>
      <c r="B207" s="2" t="s">
        <v>79</v>
      </c>
      <c r="C207" s="2" t="s">
        <v>80</v>
      </c>
      <c r="D207" s="2" t="s">
        <v>627</v>
      </c>
      <c r="E207" s="2" t="s">
        <v>628</v>
      </c>
      <c r="F207" s="2">
        <v>2</v>
      </c>
      <c r="G207" s="2">
        <v>2</v>
      </c>
      <c r="H207" s="2">
        <v>116.4</v>
      </c>
      <c r="I207" s="2">
        <v>9.09</v>
      </c>
      <c r="J207" s="2" t="s">
        <v>83</v>
      </c>
      <c r="K207" s="2" t="s">
        <v>629</v>
      </c>
      <c r="L207" s="2" t="s">
        <v>83</v>
      </c>
      <c r="M207" s="2" t="s">
        <v>630</v>
      </c>
      <c r="N207" s="2" t="s">
        <v>631</v>
      </c>
      <c r="O207" s="2">
        <v>3.8839999999999999</v>
      </c>
      <c r="P207" s="2">
        <v>3.0760000000000001</v>
      </c>
      <c r="Q207" s="2">
        <v>10.613</v>
      </c>
      <c r="R207" s="2">
        <v>0.81799999999999995</v>
      </c>
      <c r="S207" s="2">
        <v>2.2389999999999999</v>
      </c>
      <c r="T207" s="2">
        <v>1.653</v>
      </c>
      <c r="U207" s="2">
        <v>5.4219999999999997</v>
      </c>
      <c r="V207" s="2">
        <v>0.98499999999999999</v>
      </c>
      <c r="W207" s="2">
        <v>2.4239999999999999</v>
      </c>
      <c r="X207" s="2">
        <v>2.7440000000000002</v>
      </c>
      <c r="Y207" s="2">
        <v>27.1</v>
      </c>
      <c r="Z207" s="2">
        <v>63.6</v>
      </c>
      <c r="AA207" s="2">
        <v>103.6</v>
      </c>
      <c r="AB207" s="2">
        <v>78.2</v>
      </c>
      <c r="AC207" s="2">
        <v>227.5</v>
      </c>
      <c r="AD207" s="2">
        <v>2492420.015625</v>
      </c>
      <c r="AE207" s="2">
        <v>1134297.5</v>
      </c>
      <c r="AF207" s="2">
        <v>1328465.171875</v>
      </c>
      <c r="AG207" s="2">
        <v>6061529.375</v>
      </c>
      <c r="AH207" s="2">
        <v>5252118.25</v>
      </c>
      <c r="AI207" s="2">
        <v>164585.26269531299</v>
      </c>
      <c r="AJ207" s="2">
        <v>82108.602050781294</v>
      </c>
      <c r="AK207" s="2">
        <v>90021.8125</v>
      </c>
      <c r="AL207" s="2">
        <v>91874.33984375</v>
      </c>
      <c r="AM207" s="2">
        <v>84790.086181640596</v>
      </c>
      <c r="AN207" s="2">
        <v>202167.1015625</v>
      </c>
      <c r="AO207" s="2">
        <v>180593.63964843799</v>
      </c>
      <c r="AP207" s="2">
        <v>67103.203125</v>
      </c>
      <c r="AQ207" s="2">
        <v>181969.73144531299</v>
      </c>
      <c r="AR207" s="2">
        <v>208813.7265625</v>
      </c>
      <c r="AS207" s="2">
        <v>876313.3203125</v>
      </c>
      <c r="AT207" s="2">
        <v>1552672.1953125</v>
      </c>
      <c r="AU207" s="2">
        <v>820739.078125</v>
      </c>
      <c r="AV207" s="2">
        <v>1020999.625</v>
      </c>
      <c r="AW207" s="2">
        <v>1005121.0546875</v>
      </c>
      <c r="AX207" s="2">
        <v>1000143.65625</v>
      </c>
      <c r="AY207" s="2">
        <v>1534076.453125</v>
      </c>
      <c r="AZ207" s="2">
        <v>2117377.25</v>
      </c>
      <c r="BA207" s="2">
        <v>909112.484375</v>
      </c>
      <c r="BB207" s="2">
        <v>712360.453125</v>
      </c>
      <c r="BC207" s="2" t="s">
        <v>79</v>
      </c>
      <c r="BD207" s="2" t="s">
        <v>79</v>
      </c>
      <c r="BE207" s="2" t="s">
        <v>79</v>
      </c>
      <c r="BF207" s="2" t="s">
        <v>79</v>
      </c>
      <c r="BG207" s="2" t="s">
        <v>79</v>
      </c>
      <c r="BH207" s="2" t="s">
        <v>79</v>
      </c>
      <c r="BI207" s="2" t="s">
        <v>79</v>
      </c>
      <c r="BJ207" s="2" t="s">
        <v>79</v>
      </c>
      <c r="BK207" s="2" t="s">
        <v>79</v>
      </c>
      <c r="BL207" s="2" t="s">
        <v>79</v>
      </c>
      <c r="BM207" s="2" t="s">
        <v>79</v>
      </c>
      <c r="BN207" s="2" t="s">
        <v>79</v>
      </c>
      <c r="BO207" s="2" t="s">
        <v>91</v>
      </c>
      <c r="BP207" s="2" t="s">
        <v>79</v>
      </c>
      <c r="BQ207" s="2" t="s">
        <v>79</v>
      </c>
      <c r="BR207" s="2" t="s">
        <v>79</v>
      </c>
      <c r="BS207" s="2" t="s">
        <v>79</v>
      </c>
      <c r="BT207" s="2" t="s">
        <v>79</v>
      </c>
      <c r="BU207" s="2" t="s">
        <v>79</v>
      </c>
      <c r="BV207" s="2" t="s">
        <v>79</v>
      </c>
      <c r="BW207" s="2" t="s">
        <v>79</v>
      </c>
      <c r="BX207" s="2" t="s">
        <v>79</v>
      </c>
      <c r="BY207" s="2" t="s">
        <v>79</v>
      </c>
      <c r="BZ207" s="2" t="s">
        <v>79</v>
      </c>
      <c r="CA207" s="2" t="s">
        <v>79</v>
      </c>
      <c r="CB207">
        <f>TTEST(AS207:AW207,AI207:AM207,2,2)</f>
        <v>8.6070176428241449E-5</v>
      </c>
      <c r="CC207">
        <f>TTEST(AD207:AH207,AI207:AM207,2,2)</f>
        <v>1.4658635314360676E-2</v>
      </c>
      <c r="CD207">
        <f>TTEST(AN207:AR207,AI207:AM207,2,2)</f>
        <v>6.1953407783749755E-2</v>
      </c>
      <c r="CE207">
        <f>TTEST(AX207:BB207,AI207:AM207,2,2)</f>
        <v>1.9789887053385971E-3</v>
      </c>
      <c r="CF207">
        <v>62</v>
      </c>
      <c r="CG207">
        <v>166</v>
      </c>
      <c r="CH207">
        <v>124</v>
      </c>
      <c r="CI207">
        <v>62</v>
      </c>
      <c r="CJ207">
        <f>0.05*CF207/464</f>
        <v>6.681034482758621E-3</v>
      </c>
      <c r="CK207">
        <f>0.05*CG207/464</f>
        <v>1.788793103448276E-2</v>
      </c>
      <c r="CL207">
        <f>0.05*CH207/464</f>
        <v>1.3362068965517242E-2</v>
      </c>
      <c r="CM207">
        <f>0.05*CI207/464</f>
        <v>6.681034482758621E-3</v>
      </c>
      <c r="CN207" t="str">
        <f>IF(CB207&lt;CJ207,"yes","no")</f>
        <v>yes</v>
      </c>
      <c r="CO207" t="str">
        <f>IF(CC207&lt;CK207,"yes","no")</f>
        <v>yes</v>
      </c>
      <c r="CP207" t="str">
        <f>IF(CD207&lt;CL207,"yes","no")</f>
        <v>no</v>
      </c>
      <c r="CQ207" t="str">
        <f>IF(CE207&lt;CM207,"yes","no")</f>
        <v>yes</v>
      </c>
      <c r="CR207">
        <f>TTEST(AS207:AW207,AD207:AH207,2,2)</f>
        <v>6.4180361150338774E-2</v>
      </c>
      <c r="CS207">
        <f>TTEST(AS207:AW207,AN207:AR207,2,2)</f>
        <v>1.5411306712917043E-4</v>
      </c>
      <c r="CT207">
        <f>TTEST(AS207:AW207,AX207:BB207,2,2)</f>
        <v>0.50569278560943254</v>
      </c>
      <c r="CU207">
        <v>237</v>
      </c>
      <c r="CV207">
        <v>51</v>
      </c>
      <c r="CW207">
        <v>206</v>
      </c>
      <c r="CX207">
        <f t="shared" si="9"/>
        <v>2.5538793103448278E-2</v>
      </c>
      <c r="CY207">
        <f t="shared" si="10"/>
        <v>5.4956896551724144E-3</v>
      </c>
      <c r="CZ207">
        <f t="shared" si="11"/>
        <v>2.2198275862068968E-2</v>
      </c>
      <c r="DA207" t="str">
        <f>IF(CR207&lt;CX207,"yes","no")</f>
        <v>no</v>
      </c>
      <c r="DB207" t="str">
        <f>IF(CS207&lt;CY207,"yes","no")</f>
        <v>yes</v>
      </c>
      <c r="DC207" t="str">
        <f>IF(CT207&lt;CZ207,"yes","no")</f>
        <v>no</v>
      </c>
    </row>
    <row r="208" spans="1:107" x14ac:dyDescent="0.2">
      <c r="A208" s="2" t="b">
        <v>0</v>
      </c>
      <c r="B208" s="2" t="s">
        <v>79</v>
      </c>
      <c r="C208" s="2" t="s">
        <v>80</v>
      </c>
      <c r="D208" s="2" t="s">
        <v>226</v>
      </c>
      <c r="E208" s="2" t="s">
        <v>227</v>
      </c>
      <c r="F208" s="2">
        <v>15</v>
      </c>
      <c r="G208" s="2">
        <v>11</v>
      </c>
      <c r="H208" s="2">
        <v>56.8</v>
      </c>
      <c r="I208" s="2">
        <v>5.1100000000000003</v>
      </c>
      <c r="J208" s="2" t="s">
        <v>228</v>
      </c>
      <c r="K208" s="2" t="s">
        <v>229</v>
      </c>
      <c r="L208" s="2" t="s">
        <v>170</v>
      </c>
      <c r="M208" s="2" t="s">
        <v>230</v>
      </c>
      <c r="N208" s="2" t="s">
        <v>226</v>
      </c>
      <c r="O208" s="2">
        <v>47.042999999999999</v>
      </c>
      <c r="P208" s="2">
        <v>4.1340000000000003</v>
      </c>
      <c r="Q208" s="2">
        <v>14.967000000000001</v>
      </c>
      <c r="R208" s="2">
        <v>1.9E-2</v>
      </c>
      <c r="S208" s="2">
        <v>1.0549999999999999</v>
      </c>
      <c r="T208" s="2">
        <v>7.0999999999999994E-2</v>
      </c>
      <c r="U208" s="2">
        <v>0.41799999999999998</v>
      </c>
      <c r="V208" s="2">
        <v>8.2000000000000003E-2</v>
      </c>
      <c r="W208" s="2">
        <v>0.52200000000000002</v>
      </c>
      <c r="X208" s="2">
        <v>4.1609999999999996</v>
      </c>
      <c r="Y208" s="2">
        <v>4.0999999999999996</v>
      </c>
      <c r="Z208" s="2">
        <v>162.80000000000001</v>
      </c>
      <c r="AA208" s="2">
        <v>193.5</v>
      </c>
      <c r="AB208" s="2">
        <v>37.700000000000003</v>
      </c>
      <c r="AC208" s="2">
        <v>101.8</v>
      </c>
      <c r="AD208" s="2">
        <v>10721705.885253901</v>
      </c>
      <c r="AE208" s="2">
        <v>16054718.755859399</v>
      </c>
      <c r="AF208" s="2">
        <v>4685468.2480468797</v>
      </c>
      <c r="AG208" s="2">
        <v>22863295.9462891</v>
      </c>
      <c r="AH208" s="2">
        <v>7671946.6699218797</v>
      </c>
      <c r="AI208" s="2">
        <v>7664640.2490234403</v>
      </c>
      <c r="AJ208" s="2">
        <v>11989917.6413574</v>
      </c>
      <c r="AK208" s="2">
        <v>5299365.4418945303</v>
      </c>
      <c r="AL208" s="2">
        <v>19498185.092285201</v>
      </c>
      <c r="AM208" s="2">
        <v>6149181.3315429697</v>
      </c>
      <c r="AN208" s="2">
        <v>4113640.3955078102</v>
      </c>
      <c r="AO208" s="2">
        <v>2924950.1191406301</v>
      </c>
      <c r="AP208" s="2">
        <v>17611259.791259799</v>
      </c>
      <c r="AQ208" s="2">
        <v>20824321.5146484</v>
      </c>
      <c r="AR208" s="2">
        <v>11203125.135253901</v>
      </c>
      <c r="AS208" s="2">
        <v>3062820.37109375</v>
      </c>
      <c r="AT208" s="2">
        <v>6510237.4433593797</v>
      </c>
      <c r="AU208" s="2">
        <v>23296585.965332001</v>
      </c>
      <c r="AV208" s="2">
        <v>12396486.904785199</v>
      </c>
      <c r="AW208" s="2">
        <v>15380395.064941401</v>
      </c>
      <c r="AX208" s="2">
        <v>13544438.0585938</v>
      </c>
      <c r="AY208" s="2">
        <v>17884712.0400391</v>
      </c>
      <c r="AZ208" s="2">
        <v>13245119.630859399</v>
      </c>
      <c r="BA208" s="2">
        <v>8695637.23828125</v>
      </c>
      <c r="BB208" s="2">
        <v>21358279.237304699</v>
      </c>
      <c r="BC208" s="2" t="s">
        <v>79</v>
      </c>
      <c r="BD208" s="2" t="s">
        <v>79</v>
      </c>
      <c r="BE208" s="2" t="s">
        <v>79</v>
      </c>
      <c r="BF208" s="2" t="s">
        <v>79</v>
      </c>
      <c r="BG208" s="2" t="s">
        <v>79</v>
      </c>
      <c r="BH208" s="2" t="s">
        <v>79</v>
      </c>
      <c r="BI208" s="2" t="s">
        <v>79</v>
      </c>
      <c r="BJ208" s="2" t="s">
        <v>79</v>
      </c>
      <c r="BK208" s="2" t="s">
        <v>79</v>
      </c>
      <c r="BL208" s="2" t="s">
        <v>79</v>
      </c>
      <c r="BM208" s="2" t="s">
        <v>79</v>
      </c>
      <c r="BN208" s="2" t="s">
        <v>79</v>
      </c>
      <c r="BO208" s="2" t="s">
        <v>79</v>
      </c>
      <c r="BP208" s="2" t="s">
        <v>79</v>
      </c>
      <c r="BQ208" s="2" t="s">
        <v>79</v>
      </c>
      <c r="BR208" s="2" t="s">
        <v>79</v>
      </c>
      <c r="BS208" s="2" t="s">
        <v>79</v>
      </c>
      <c r="BT208" s="2" t="s">
        <v>79</v>
      </c>
      <c r="BU208" s="2" t="s">
        <v>79</v>
      </c>
      <c r="BV208" s="2" t="s">
        <v>79</v>
      </c>
      <c r="BW208" s="2" t="s">
        <v>79</v>
      </c>
      <c r="BX208" s="2" t="s">
        <v>79</v>
      </c>
      <c r="BY208" s="2" t="s">
        <v>79</v>
      </c>
      <c r="BZ208" s="2" t="s">
        <v>79</v>
      </c>
      <c r="CA208" s="2" t="s">
        <v>79</v>
      </c>
      <c r="CB208">
        <f>TTEST(AS208:AW208,AI208:AM208,2,2)</f>
        <v>0.65944970832284</v>
      </c>
      <c r="CC208">
        <f>TTEST(AD208:AH208,AI208:AM208,2,2)</f>
        <v>0.59762824844089091</v>
      </c>
      <c r="CD208">
        <f>TTEST(AN208:AR208,AI208:AM208,2,2)</f>
        <v>0.78983422697638084</v>
      </c>
      <c r="CE208">
        <f>TTEST(AX208:BB208,AI208:AM208,2,2)</f>
        <v>0.19269854473120118</v>
      </c>
      <c r="CF208">
        <v>205</v>
      </c>
      <c r="CG208">
        <v>226</v>
      </c>
      <c r="CH208">
        <v>217</v>
      </c>
      <c r="CI208">
        <v>129</v>
      </c>
      <c r="CJ208">
        <f>0.05*CF208/464</f>
        <v>2.2090517241379309E-2</v>
      </c>
      <c r="CK208">
        <f>0.05*CG208/464</f>
        <v>2.4353448275862069E-2</v>
      </c>
      <c r="CL208">
        <f>0.05*CH208/464</f>
        <v>2.3383620689655174E-2</v>
      </c>
      <c r="CM208">
        <f>0.05*CI208/464</f>
        <v>1.3900862068965517E-2</v>
      </c>
      <c r="CN208" t="str">
        <f>IF(CB208&lt;CJ208,"yes","no")</f>
        <v>no</v>
      </c>
      <c r="CO208" t="str">
        <f>IF(CC208&lt;CK208,"yes","no")</f>
        <v>no</v>
      </c>
      <c r="CP208" t="str">
        <f>IF(CD208&lt;CL208,"yes","no")</f>
        <v>no</v>
      </c>
      <c r="CQ208" t="str">
        <f>IF(CE208&lt;CM208,"yes","no")</f>
        <v>no</v>
      </c>
      <c r="CR208">
        <f>TTEST(AS208:AW208,AD208:AH208,2,2)</f>
        <v>0.95630542121371609</v>
      </c>
      <c r="CS208">
        <f>TTEST(AS208:AW208,AN208:AR208,2,2)</f>
        <v>0.87796165186236319</v>
      </c>
      <c r="CT208">
        <f>TTEST(AS208:AW208,AX208:BB208,2,2)</f>
        <v>0.51553761064678372</v>
      </c>
      <c r="CU208">
        <v>303</v>
      </c>
      <c r="CV208">
        <v>261</v>
      </c>
      <c r="CW208">
        <v>207</v>
      </c>
      <c r="CX208">
        <f t="shared" si="9"/>
        <v>3.2650862068965517E-2</v>
      </c>
      <c r="CY208">
        <f t="shared" si="10"/>
        <v>2.8125000000000001E-2</v>
      </c>
      <c r="CZ208">
        <f t="shared" si="11"/>
        <v>2.2306034482758624E-2</v>
      </c>
      <c r="DA208" t="str">
        <f>IF(CR208&lt;CX208,"yes","no")</f>
        <v>no</v>
      </c>
      <c r="DB208" t="str">
        <f>IF(CS208&lt;CY208,"yes","no")</f>
        <v>no</v>
      </c>
      <c r="DC208" t="str">
        <f>IF(CT208&lt;CZ208,"yes","no")</f>
        <v>no</v>
      </c>
    </row>
    <row r="209" spans="1:107" x14ac:dyDescent="0.2">
      <c r="A209" s="2" t="b">
        <v>0</v>
      </c>
      <c r="B209" s="2" t="s">
        <v>79</v>
      </c>
      <c r="C209" s="2" t="s">
        <v>80</v>
      </c>
      <c r="D209" s="2" t="s">
        <v>292</v>
      </c>
      <c r="E209" s="2" t="s">
        <v>293</v>
      </c>
      <c r="F209" s="2">
        <v>15</v>
      </c>
      <c r="G209" s="2">
        <v>3</v>
      </c>
      <c r="H209" s="2">
        <v>50.2</v>
      </c>
      <c r="I209" s="2">
        <v>5.16</v>
      </c>
      <c r="J209" s="2" t="s">
        <v>83</v>
      </c>
      <c r="K209" s="2" t="s">
        <v>247</v>
      </c>
      <c r="L209" s="2" t="s">
        <v>119</v>
      </c>
      <c r="M209" s="2" t="s">
        <v>83</v>
      </c>
      <c r="N209" s="2" t="s">
        <v>294</v>
      </c>
      <c r="O209" s="2">
        <v>56.344000000000001</v>
      </c>
      <c r="P209" s="2">
        <v>5.2110000000000003</v>
      </c>
      <c r="Q209" s="2">
        <v>23.239000000000001</v>
      </c>
      <c r="R209" s="2">
        <v>1.7000000000000001E-2</v>
      </c>
      <c r="S209" s="2">
        <v>1.0069999999999999</v>
      </c>
      <c r="T209" s="2">
        <v>7.8E-2</v>
      </c>
      <c r="U209" s="2">
        <v>0.46300000000000002</v>
      </c>
      <c r="V209" s="2">
        <v>0.08</v>
      </c>
      <c r="W209" s="2">
        <v>0.39500000000000002</v>
      </c>
      <c r="X209" s="2">
        <v>4.2930000000000001</v>
      </c>
      <c r="Y209" s="2">
        <v>3.2</v>
      </c>
      <c r="Z209" s="2">
        <v>168.1</v>
      </c>
      <c r="AA209" s="2">
        <v>231.2</v>
      </c>
      <c r="AB209" s="2">
        <v>29.5</v>
      </c>
      <c r="AC209" s="2">
        <v>68</v>
      </c>
      <c r="AD209" s="2">
        <v>1667181.5625</v>
      </c>
      <c r="AE209" s="2">
        <v>3834796.62890625</v>
      </c>
      <c r="AF209" s="2">
        <v>1048080.08203125</v>
      </c>
      <c r="AG209" s="2">
        <v>3755206.5878906301</v>
      </c>
      <c r="AH209" s="2">
        <v>1842225.1230468799</v>
      </c>
      <c r="AI209" s="2">
        <v>2224325.28125</v>
      </c>
      <c r="AJ209" s="2">
        <v>2971144.5817871098</v>
      </c>
      <c r="AK209" s="2">
        <v>1574370.5183105499</v>
      </c>
      <c r="AL209" s="2">
        <v>6696503.9902343797</v>
      </c>
      <c r="AM209" s="2">
        <v>1545492.2353515599</v>
      </c>
      <c r="AN209" s="2">
        <v>1103910.78515625</v>
      </c>
      <c r="AO209" s="2">
        <v>1102547.9130859401</v>
      </c>
      <c r="AP209" s="2">
        <v>4069777.3466796898</v>
      </c>
      <c r="AQ209" s="2">
        <v>5435014.3911132803</v>
      </c>
      <c r="AR209" s="2">
        <v>3574510.7792968801</v>
      </c>
      <c r="AS209" s="2">
        <v>616264.29199218797</v>
      </c>
      <c r="AT209" s="2">
        <v>1397768.9306640599</v>
      </c>
      <c r="AU209" s="2">
        <v>5095319.92578125</v>
      </c>
      <c r="AV209" s="2">
        <v>2592843.6503906301</v>
      </c>
      <c r="AW209" s="2">
        <v>3362561.75</v>
      </c>
      <c r="AX209" s="2">
        <v>1877950.3666992199</v>
      </c>
      <c r="AY209" s="2">
        <v>8468924.3339843806</v>
      </c>
      <c r="AZ209" s="2">
        <v>2363141.4921875</v>
      </c>
      <c r="BA209" s="2">
        <v>1212684.02734375</v>
      </c>
      <c r="BB209" s="2">
        <v>3685349.2001953102</v>
      </c>
      <c r="BC209" s="2" t="s">
        <v>79</v>
      </c>
      <c r="BD209" s="2" t="s">
        <v>79</v>
      </c>
      <c r="BE209" s="2" t="s">
        <v>91</v>
      </c>
      <c r="BF209" s="2" t="s">
        <v>79</v>
      </c>
      <c r="BG209" s="2" t="s">
        <v>91</v>
      </c>
      <c r="BH209" s="2" t="s">
        <v>79</v>
      </c>
      <c r="BI209" s="2" t="s">
        <v>79</v>
      </c>
      <c r="BJ209" s="2" t="s">
        <v>79</v>
      </c>
      <c r="BK209" s="2" t="s">
        <v>79</v>
      </c>
      <c r="BL209" s="2" t="s">
        <v>79</v>
      </c>
      <c r="BM209" s="2" t="s">
        <v>79</v>
      </c>
      <c r="BN209" s="2" t="s">
        <v>79</v>
      </c>
      <c r="BO209" s="2" t="s">
        <v>79</v>
      </c>
      <c r="BP209" s="2" t="s">
        <v>79</v>
      </c>
      <c r="BQ209" s="2" t="s">
        <v>79</v>
      </c>
      <c r="BR209" s="2" t="s">
        <v>91</v>
      </c>
      <c r="BS209" s="2" t="s">
        <v>79</v>
      </c>
      <c r="BT209" s="2" t="s">
        <v>79</v>
      </c>
      <c r="BU209" s="2" t="s">
        <v>79</v>
      </c>
      <c r="BV209" s="2" t="s">
        <v>79</v>
      </c>
      <c r="BW209" s="2" t="s">
        <v>79</v>
      </c>
      <c r="BX209" s="2" t="s">
        <v>79</v>
      </c>
      <c r="BY209" s="2" t="s">
        <v>79</v>
      </c>
      <c r="BZ209" s="2" t="s">
        <v>79</v>
      </c>
      <c r="CA209" s="2" t="s">
        <v>79</v>
      </c>
      <c r="CB209">
        <f>TTEST(AS209:AW209,AI209:AM209,2,2)</f>
        <v>0.76095949353824088</v>
      </c>
      <c r="CC209">
        <f>TTEST(AD209:AH209,AI209:AM209,2,2)</f>
        <v>0.6220931805354144</v>
      </c>
      <c r="CD209">
        <f>TTEST(AN209:AR209,AI209:AM209,2,2)</f>
        <v>0.96702459740735902</v>
      </c>
      <c r="CE209">
        <f>TTEST(AX209:BB209,AI209:AM209,2,2)</f>
        <v>0.75634832777632233</v>
      </c>
      <c r="CF209">
        <v>213</v>
      </c>
      <c r="CG209">
        <v>228</v>
      </c>
      <c r="CH209">
        <v>233</v>
      </c>
      <c r="CI209">
        <v>187</v>
      </c>
      <c r="CJ209">
        <f>0.05*CF209/464</f>
        <v>2.2952586206896552E-2</v>
      </c>
      <c r="CK209">
        <f>0.05*CG209/464</f>
        <v>2.456896551724138E-2</v>
      </c>
      <c r="CL209">
        <f>0.05*CH209/464</f>
        <v>2.5107758620689657E-2</v>
      </c>
      <c r="CM209">
        <f>0.05*CI209/464</f>
        <v>2.0150862068965516E-2</v>
      </c>
      <c r="CN209" t="str">
        <f>IF(CB209&lt;CJ209,"yes","no")</f>
        <v>no</v>
      </c>
      <c r="CO209" t="str">
        <f>IF(CC209&lt;CK209,"yes","no")</f>
        <v>no</v>
      </c>
      <c r="CP209" t="str">
        <f>IF(CD209&lt;CL209,"yes","no")</f>
        <v>no</v>
      </c>
      <c r="CQ209" t="str">
        <f>IF(CE209&lt;CM209,"yes","no")</f>
        <v>no</v>
      </c>
      <c r="CR209">
        <f>TTEST(AS209:AW209,AD209:AH209,2,2)</f>
        <v>0.85446083550188834</v>
      </c>
      <c r="CS209">
        <f>TTEST(AS209:AW209,AN209:AR209,2,2)</f>
        <v>0.71102627471054236</v>
      </c>
      <c r="CT209">
        <f>TTEST(AS209:AW209,AX209:BB209,2,2)</f>
        <v>0.56591880193282207</v>
      </c>
      <c r="CU209">
        <v>301</v>
      </c>
      <c r="CV209">
        <v>245</v>
      </c>
      <c r="CW209">
        <v>208</v>
      </c>
      <c r="CX209">
        <f t="shared" si="9"/>
        <v>3.2435344827586206E-2</v>
      </c>
      <c r="CY209">
        <f t="shared" si="10"/>
        <v>2.6400862068965518E-2</v>
      </c>
      <c r="CZ209">
        <f t="shared" si="11"/>
        <v>2.2413793103448276E-2</v>
      </c>
      <c r="DA209" t="str">
        <f>IF(CR209&lt;CX209,"yes","no")</f>
        <v>no</v>
      </c>
      <c r="DB209" t="str">
        <f>IF(CS209&lt;CY209,"yes","no")</f>
        <v>no</v>
      </c>
      <c r="DC209" t="str">
        <f>IF(CT209&lt;CZ209,"yes","no")</f>
        <v>no</v>
      </c>
    </row>
    <row r="210" spans="1:107" x14ac:dyDescent="0.2">
      <c r="A210" s="2" t="b">
        <v>0</v>
      </c>
      <c r="B210" s="2" t="s">
        <v>79</v>
      </c>
      <c r="C210" s="2" t="s">
        <v>80</v>
      </c>
      <c r="D210" s="2" t="s">
        <v>1120</v>
      </c>
      <c r="E210" s="2" t="s">
        <v>1121</v>
      </c>
      <c r="F210" s="2">
        <v>1</v>
      </c>
      <c r="G210" s="2">
        <v>1</v>
      </c>
      <c r="H210" s="2">
        <v>9.9</v>
      </c>
      <c r="I210" s="2">
        <v>9.09</v>
      </c>
      <c r="J210" s="2" t="s">
        <v>857</v>
      </c>
      <c r="K210" s="2" t="s">
        <v>84</v>
      </c>
      <c r="L210" s="2" t="s">
        <v>83</v>
      </c>
      <c r="M210" s="2" t="s">
        <v>83</v>
      </c>
      <c r="N210" s="2" t="s">
        <v>1122</v>
      </c>
      <c r="O210" s="2">
        <v>4.1589999999999998</v>
      </c>
      <c r="P210" s="2">
        <v>0.60099999999999998</v>
      </c>
      <c r="Q210" s="2">
        <v>1.722</v>
      </c>
      <c r="R210" s="2">
        <v>1.944</v>
      </c>
      <c r="S210" s="2">
        <v>8.766</v>
      </c>
      <c r="T210" s="2">
        <v>1.1870000000000001</v>
      </c>
      <c r="U210" s="2">
        <v>3.137</v>
      </c>
      <c r="V210" s="2">
        <v>0.13200000000000001</v>
      </c>
      <c r="W210" s="2">
        <v>0.41399999999999998</v>
      </c>
      <c r="X210" s="2">
        <v>2.6669999999999998</v>
      </c>
      <c r="Y210" s="2">
        <v>55.6</v>
      </c>
      <c r="Z210" s="2">
        <v>29.1</v>
      </c>
      <c r="AA210" s="2">
        <v>282.2</v>
      </c>
      <c r="AB210" s="2">
        <v>37.299999999999997</v>
      </c>
      <c r="AC210" s="2">
        <v>95.8</v>
      </c>
      <c r="AD210" s="2">
        <v>788286.3125</v>
      </c>
      <c r="AE210" s="2">
        <v>690927.25</v>
      </c>
      <c r="AF210" s="2">
        <v>463158.59375</v>
      </c>
      <c r="AG210" s="2">
        <v>531105.375</v>
      </c>
      <c r="AH210" s="2">
        <v>499832.1875</v>
      </c>
      <c r="AI210" s="2">
        <v>5610.83642578125</v>
      </c>
      <c r="AJ210" s="2">
        <v>5235.65234375</v>
      </c>
      <c r="AK210" s="2">
        <v>7441.7421875</v>
      </c>
      <c r="AL210" s="2" t="s">
        <v>83</v>
      </c>
      <c r="AM210" s="2">
        <v>5028.822265625</v>
      </c>
      <c r="AN210" s="2">
        <v>44496.7265625</v>
      </c>
      <c r="AO210" s="2">
        <v>41082.7890625</v>
      </c>
      <c r="AP210" s="2">
        <v>52386.4453125</v>
      </c>
      <c r="AQ210" s="2">
        <v>34816.25390625</v>
      </c>
      <c r="AR210" s="2">
        <v>76080.5703125</v>
      </c>
      <c r="AS210" s="2">
        <v>49813.68359375</v>
      </c>
      <c r="AT210" s="2">
        <v>80639.2734375</v>
      </c>
      <c r="AU210" s="2">
        <v>48534.5078125</v>
      </c>
      <c r="AV210" s="2">
        <v>41227.1796875</v>
      </c>
      <c r="AW210" s="2">
        <v>51654.08203125</v>
      </c>
      <c r="AX210" s="2">
        <v>86715.4921875</v>
      </c>
      <c r="AY210" s="2">
        <v>84324.5859375</v>
      </c>
      <c r="AZ210" s="2">
        <v>36031.8515625</v>
      </c>
      <c r="BA210" s="2">
        <v>37857.23046875</v>
      </c>
      <c r="BB210" s="2">
        <v>65402.68359375</v>
      </c>
      <c r="BC210" s="2" t="s">
        <v>79</v>
      </c>
      <c r="BD210" s="2" t="s">
        <v>79</v>
      </c>
      <c r="BE210" s="2" t="s">
        <v>79</v>
      </c>
      <c r="BF210" s="2" t="s">
        <v>79</v>
      </c>
      <c r="BG210" s="2" t="s">
        <v>79</v>
      </c>
      <c r="BH210" s="2" t="s">
        <v>91</v>
      </c>
      <c r="BI210" s="2" t="s">
        <v>91</v>
      </c>
      <c r="BJ210" s="2" t="s">
        <v>91</v>
      </c>
      <c r="BK210" s="2" t="s">
        <v>98</v>
      </c>
      <c r="BL210" s="2" t="s">
        <v>91</v>
      </c>
      <c r="BM210" s="2" t="s">
        <v>91</v>
      </c>
      <c r="BN210" s="2" t="s">
        <v>91</v>
      </c>
      <c r="BO210" s="2" t="s">
        <v>91</v>
      </c>
      <c r="BP210" s="2" t="s">
        <v>91</v>
      </c>
      <c r="BQ210" s="2" t="s">
        <v>91</v>
      </c>
      <c r="BR210" s="2" t="s">
        <v>91</v>
      </c>
      <c r="BS210" s="2" t="s">
        <v>91</v>
      </c>
      <c r="BT210" s="2" t="s">
        <v>91</v>
      </c>
      <c r="BU210" s="2" t="s">
        <v>91</v>
      </c>
      <c r="BV210" s="2" t="s">
        <v>79</v>
      </c>
      <c r="BW210" s="2" t="s">
        <v>91</v>
      </c>
      <c r="BX210" s="2" t="s">
        <v>91</v>
      </c>
      <c r="BY210" s="2" t="s">
        <v>91</v>
      </c>
      <c r="BZ210" s="2" t="s">
        <v>91</v>
      </c>
      <c r="CA210" s="2" t="s">
        <v>91</v>
      </c>
      <c r="CB210">
        <f>TTEST(AS210:AW210,AI210:AM210,2,2)</f>
        <v>4.108844049512728E-4</v>
      </c>
      <c r="CC210">
        <f>TTEST(AD210:AH210,AI210:AM210,2,2)</f>
        <v>6.8500214169232531E-5</v>
      </c>
      <c r="CD210">
        <f>TTEST(AN210:AR210,AI210:AM210,2,2)</f>
        <v>1.0071045447181746E-3</v>
      </c>
      <c r="CE210">
        <f>TTEST(AX210:BB210,AI210:AM210,2,2)</f>
        <v>2.6521040835229366E-3</v>
      </c>
      <c r="CF210">
        <v>89</v>
      </c>
      <c r="CG210">
        <v>107</v>
      </c>
      <c r="CH210">
        <v>76</v>
      </c>
      <c r="CI210">
        <v>65</v>
      </c>
      <c r="CJ210">
        <f>0.05*CF210/464</f>
        <v>9.5905172413793104E-3</v>
      </c>
      <c r="CK210">
        <f>0.05*CG210/464</f>
        <v>1.1530172413793104E-2</v>
      </c>
      <c r="CL210">
        <f>0.05*CH210/464</f>
        <v>8.1896551724137939E-3</v>
      </c>
      <c r="CM210">
        <f>0.05*CI210/464</f>
        <v>7.0043103448275863E-3</v>
      </c>
      <c r="CN210" t="str">
        <f>IF(CB210&lt;CJ210,"yes","no")</f>
        <v>yes</v>
      </c>
      <c r="CO210" t="str">
        <f>IF(CC210&lt;CK210,"yes","no")</f>
        <v>yes</v>
      </c>
      <c r="CP210" t="str">
        <f>IF(CD210&lt;CL210,"yes","no")</f>
        <v>yes</v>
      </c>
      <c r="CQ210" t="str">
        <f>IF(CE210&lt;CM210,"yes","no")</f>
        <v>yes</v>
      </c>
      <c r="CR210">
        <f>TTEST(AS210:AW210,AD210:AH210,2,2)</f>
        <v>2.4758702492695677E-5</v>
      </c>
      <c r="CS210">
        <f>TTEST(AS210:AW210,AN210:AR210,2,2)</f>
        <v>0.65373385434396658</v>
      </c>
      <c r="CT210">
        <f>TTEST(AS210:AW210,AX210:BB210,2,2)</f>
        <v>0.56600082804630092</v>
      </c>
      <c r="CU210">
        <v>108</v>
      </c>
      <c r="CV210">
        <v>241</v>
      </c>
      <c r="CW210">
        <v>209</v>
      </c>
      <c r="CX210">
        <f t="shared" si="9"/>
        <v>1.1637931034482759E-2</v>
      </c>
      <c r="CY210">
        <f t="shared" si="10"/>
        <v>2.5969827586206896E-2</v>
      </c>
      <c r="CZ210">
        <f t="shared" si="11"/>
        <v>2.2521551724137934E-2</v>
      </c>
      <c r="DA210" t="str">
        <f>IF(CR210&lt;CX210,"yes","no")</f>
        <v>yes</v>
      </c>
      <c r="DB210" t="str">
        <f>IF(CS210&lt;CY210,"yes","no")</f>
        <v>no</v>
      </c>
      <c r="DC210" t="str">
        <f>IF(CT210&lt;CZ210,"yes","no")</f>
        <v>no</v>
      </c>
    </row>
    <row r="211" spans="1:107" x14ac:dyDescent="0.2">
      <c r="A211" s="2" t="b">
        <v>0</v>
      </c>
      <c r="B211" s="2" t="s">
        <v>79</v>
      </c>
      <c r="C211" s="2" t="s">
        <v>80</v>
      </c>
      <c r="D211" s="2" t="s">
        <v>431</v>
      </c>
      <c r="E211" s="2" t="s">
        <v>432</v>
      </c>
      <c r="F211" s="2">
        <v>12</v>
      </c>
      <c r="G211" s="2">
        <v>12</v>
      </c>
      <c r="H211" s="2">
        <v>162.4</v>
      </c>
      <c r="I211" s="2">
        <v>5.62</v>
      </c>
      <c r="J211" s="2" t="s">
        <v>83</v>
      </c>
      <c r="K211" s="2" t="s">
        <v>84</v>
      </c>
      <c r="L211" s="2" t="s">
        <v>85</v>
      </c>
      <c r="M211" s="2" t="s">
        <v>433</v>
      </c>
      <c r="N211" s="2" t="s">
        <v>431</v>
      </c>
      <c r="O211" s="2">
        <v>2.4900000000000002</v>
      </c>
      <c r="P211" s="2">
        <v>0.502</v>
      </c>
      <c r="Q211" s="2">
        <v>1.4970000000000001</v>
      </c>
      <c r="R211" s="2">
        <v>2.6309999999999998</v>
      </c>
      <c r="S211" s="2" t="s">
        <v>83</v>
      </c>
      <c r="T211" s="2">
        <v>1.427</v>
      </c>
      <c r="U211" s="2" t="s">
        <v>83</v>
      </c>
      <c r="V211" s="2" t="s">
        <v>83</v>
      </c>
      <c r="W211" s="2" t="s">
        <v>83</v>
      </c>
      <c r="X211" s="2">
        <v>2.9710000000000001</v>
      </c>
      <c r="Y211" s="2">
        <v>248.5</v>
      </c>
      <c r="Z211" s="2">
        <v>19.399999999999999</v>
      </c>
      <c r="AA211" s="2">
        <v>59.2</v>
      </c>
      <c r="AB211" s="2">
        <v>47.5</v>
      </c>
      <c r="AC211" s="2">
        <v>125.4</v>
      </c>
      <c r="AD211" s="2">
        <v>1816445.16015625</v>
      </c>
      <c r="AE211" s="2">
        <v>1507860.4375</v>
      </c>
      <c r="AF211" s="2">
        <v>1399424.2558593799</v>
      </c>
      <c r="AG211" s="2">
        <v>1101539.5839843799</v>
      </c>
      <c r="AH211" s="2">
        <v>1114773.71875</v>
      </c>
      <c r="AI211" s="2">
        <v>2699.693359375</v>
      </c>
      <c r="AJ211" s="2" t="s">
        <v>83</v>
      </c>
      <c r="AK211" s="2" t="s">
        <v>83</v>
      </c>
      <c r="AL211" s="2" t="s">
        <v>83</v>
      </c>
      <c r="AM211" s="2" t="s">
        <v>83</v>
      </c>
      <c r="AN211" s="2">
        <v>7220.23193359375</v>
      </c>
      <c r="AO211" s="2" t="s">
        <v>83</v>
      </c>
      <c r="AP211" s="2" t="s">
        <v>83</v>
      </c>
      <c r="AQ211" s="2" t="s">
        <v>83</v>
      </c>
      <c r="AR211" s="2">
        <v>7977.79296875</v>
      </c>
      <c r="AS211" s="2">
        <v>42209.8203125</v>
      </c>
      <c r="AT211" s="2">
        <v>89943.1416015625</v>
      </c>
      <c r="AU211" s="2">
        <v>39169.5810546875</v>
      </c>
      <c r="AV211" s="2">
        <v>37217.547363281301</v>
      </c>
      <c r="AW211" s="2">
        <v>61144.3740234375</v>
      </c>
      <c r="AX211" s="2">
        <v>60061.726074218801</v>
      </c>
      <c r="AY211" s="2" t="s">
        <v>83</v>
      </c>
      <c r="AZ211" s="2" t="s">
        <v>83</v>
      </c>
      <c r="BA211" s="2" t="s">
        <v>83</v>
      </c>
      <c r="BB211" s="2">
        <v>24572.404296875</v>
      </c>
      <c r="BC211" s="2" t="s">
        <v>79</v>
      </c>
      <c r="BD211" s="2" t="s">
        <v>79</v>
      </c>
      <c r="BE211" s="2" t="s">
        <v>79</v>
      </c>
      <c r="BF211" s="2" t="s">
        <v>79</v>
      </c>
      <c r="BG211" s="2" t="s">
        <v>79</v>
      </c>
      <c r="BH211" s="2" t="s">
        <v>91</v>
      </c>
      <c r="BI211" s="2" t="s">
        <v>98</v>
      </c>
      <c r="BJ211" s="2" t="s">
        <v>79</v>
      </c>
      <c r="BK211" s="2" t="s">
        <v>98</v>
      </c>
      <c r="BL211" s="2" t="s">
        <v>98</v>
      </c>
      <c r="BM211" s="2" t="s">
        <v>91</v>
      </c>
      <c r="BN211" s="2" t="s">
        <v>98</v>
      </c>
      <c r="BO211" s="2" t="s">
        <v>98</v>
      </c>
      <c r="BP211" s="2" t="s">
        <v>98</v>
      </c>
      <c r="BQ211" s="2" t="s">
        <v>91</v>
      </c>
      <c r="BR211" s="2" t="s">
        <v>79</v>
      </c>
      <c r="BS211" s="2" t="s">
        <v>79</v>
      </c>
      <c r="BT211" s="2" t="s">
        <v>79</v>
      </c>
      <c r="BU211" s="2" t="s">
        <v>91</v>
      </c>
      <c r="BV211" s="2" t="s">
        <v>91</v>
      </c>
      <c r="BW211" s="2" t="s">
        <v>91</v>
      </c>
      <c r="BX211" s="2" t="s">
        <v>98</v>
      </c>
      <c r="BY211" s="2" t="s">
        <v>98</v>
      </c>
      <c r="BZ211" s="2" t="s">
        <v>98</v>
      </c>
      <c r="CA211" s="2" t="s">
        <v>91</v>
      </c>
      <c r="CB211" t="e">
        <f>TTEST(AS211:AW211,AI211:AM211,2,2)</f>
        <v>#DIV/0!</v>
      </c>
      <c r="CC211" t="e">
        <f>TTEST(AD211:AH211,AI211:AM211,2,2)</f>
        <v>#DIV/0!</v>
      </c>
      <c r="CD211" t="e">
        <f>TTEST(AN211:AR211,AI211:AM211,2,2)</f>
        <v>#DIV/0!</v>
      </c>
      <c r="CE211" t="e">
        <f>TTEST(AX211:BB211,AI211:AM211,2,2)</f>
        <v>#DIV/0!</v>
      </c>
      <c r="CF211">
        <v>244</v>
      </c>
      <c r="CG211">
        <v>258</v>
      </c>
      <c r="CH211">
        <v>262</v>
      </c>
      <c r="CI211">
        <v>247</v>
      </c>
      <c r="CJ211">
        <f>0.05*CF211/464</f>
        <v>2.6293103448275866E-2</v>
      </c>
      <c r="CK211">
        <f>0.05*CG211/464</f>
        <v>2.7801724137931035E-2</v>
      </c>
      <c r="CL211">
        <f>0.05*CH211/464</f>
        <v>2.823275862068966E-2</v>
      </c>
      <c r="CM211">
        <f>0.05*CI211/464</f>
        <v>2.6616379310344832E-2</v>
      </c>
      <c r="CN211" t="e">
        <f>IF(CB211&lt;CJ211,"yes","no")</f>
        <v>#DIV/0!</v>
      </c>
      <c r="CO211" t="e">
        <f>IF(CC211&lt;CK211,"yes","no")</f>
        <v>#DIV/0!</v>
      </c>
      <c r="CP211" t="e">
        <f>IF(CD211&lt;CL211,"yes","no")</f>
        <v>#DIV/0!</v>
      </c>
      <c r="CQ211" t="e">
        <f>IF(CE211&lt;CM211,"yes","no")</f>
        <v>#DIV/0!</v>
      </c>
      <c r="CR211">
        <f>TTEST(AS211:AW211,AD211:AH211,2,2)</f>
        <v>8.5603729673060323E-6</v>
      </c>
      <c r="CS211">
        <f>TTEST(AS211:AW211,AN211:AR211,2,2)</f>
        <v>3.8879602563765235E-2</v>
      </c>
      <c r="CT211">
        <f>TTEST(AS211:AW211,AX211:BB211,2,2)</f>
        <v>0.57005276491672441</v>
      </c>
      <c r="CU211">
        <v>93</v>
      </c>
      <c r="CV211">
        <v>159</v>
      </c>
      <c r="CW211">
        <v>210</v>
      </c>
      <c r="CX211">
        <f t="shared" si="9"/>
        <v>1.0021551724137932E-2</v>
      </c>
      <c r="CY211">
        <f t="shared" si="10"/>
        <v>1.7133620689655172E-2</v>
      </c>
      <c r="CZ211">
        <f t="shared" si="11"/>
        <v>2.2629310344827586E-2</v>
      </c>
      <c r="DA211" t="str">
        <f>IF(CR211&lt;CX211,"yes","no")</f>
        <v>yes</v>
      </c>
      <c r="DB211" t="str">
        <f>IF(CS211&lt;CY211,"yes","no")</f>
        <v>no</v>
      </c>
      <c r="DC211" t="str">
        <f>IF(CT211&lt;CZ211,"yes","no")</f>
        <v>no</v>
      </c>
    </row>
    <row r="212" spans="1:107" x14ac:dyDescent="0.2">
      <c r="A212" s="2" t="b">
        <v>0</v>
      </c>
      <c r="B212" s="2" t="s">
        <v>79</v>
      </c>
      <c r="C212" s="2" t="s">
        <v>80</v>
      </c>
      <c r="D212" s="2" t="s">
        <v>1387</v>
      </c>
      <c r="E212" s="2" t="s">
        <v>1388</v>
      </c>
      <c r="F212" s="2">
        <v>1</v>
      </c>
      <c r="G212" s="2">
        <v>1</v>
      </c>
      <c r="H212" s="2">
        <v>26.6</v>
      </c>
      <c r="I212" s="2">
        <v>6.74</v>
      </c>
      <c r="J212" s="2" t="s">
        <v>362</v>
      </c>
      <c r="K212" s="2" t="s">
        <v>319</v>
      </c>
      <c r="L212" s="2" t="s">
        <v>119</v>
      </c>
      <c r="M212" s="2" t="s">
        <v>83</v>
      </c>
      <c r="N212" s="2" t="s">
        <v>1387</v>
      </c>
      <c r="O212" s="2">
        <v>2.1960000000000002</v>
      </c>
      <c r="P212" s="2">
        <v>1.2749999999999999</v>
      </c>
      <c r="Q212" s="2">
        <v>2.0539999999999998</v>
      </c>
      <c r="R212" s="2">
        <v>100</v>
      </c>
      <c r="S212" s="2">
        <v>100</v>
      </c>
      <c r="T212" s="2">
        <v>100</v>
      </c>
      <c r="U212" s="2">
        <v>100</v>
      </c>
      <c r="V212" s="2">
        <v>0.47399999999999998</v>
      </c>
      <c r="W212" s="2">
        <v>0.93500000000000005</v>
      </c>
      <c r="X212" s="2">
        <v>1.9750000000000001</v>
      </c>
      <c r="Y212" s="2">
        <v>79.5</v>
      </c>
      <c r="Z212" s="2" t="s">
        <v>83</v>
      </c>
      <c r="AA212" s="2">
        <v>174.6</v>
      </c>
      <c r="AB212" s="2">
        <v>82.7</v>
      </c>
      <c r="AC212" s="2">
        <v>163.30000000000001</v>
      </c>
      <c r="AD212" s="2">
        <v>165826.578125</v>
      </c>
      <c r="AE212" s="2">
        <v>86230.1015625</v>
      </c>
      <c r="AF212" s="2">
        <v>125357.53125</v>
      </c>
      <c r="AG212" s="2">
        <v>182077.109375</v>
      </c>
      <c r="AH212" s="2">
        <v>75790.6796875</v>
      </c>
      <c r="AI212" s="2" t="s">
        <v>83</v>
      </c>
      <c r="AJ212" s="2" t="s">
        <v>83</v>
      </c>
      <c r="AK212" s="2" t="s">
        <v>83</v>
      </c>
      <c r="AL212" s="2" t="s">
        <v>83</v>
      </c>
      <c r="AM212" s="2" t="s">
        <v>83</v>
      </c>
      <c r="AN212" s="2" t="s">
        <v>83</v>
      </c>
      <c r="AO212" s="2" t="s">
        <v>83</v>
      </c>
      <c r="AP212" s="2" t="s">
        <v>83</v>
      </c>
      <c r="AQ212" s="2">
        <v>6928.25927734375</v>
      </c>
      <c r="AR212" s="2" t="s">
        <v>83</v>
      </c>
      <c r="AS212" s="2">
        <v>17450.31640625</v>
      </c>
      <c r="AT212" s="2">
        <v>32276.48046875</v>
      </c>
      <c r="AU212" s="2">
        <v>16067.025390625</v>
      </c>
      <c r="AV212" s="2">
        <v>22380.646484375</v>
      </c>
      <c r="AW212" s="2">
        <v>34392.57421875</v>
      </c>
      <c r="AX212" s="2">
        <v>14413.23828125</v>
      </c>
      <c r="AY212" s="2" t="s">
        <v>83</v>
      </c>
      <c r="AZ212" s="2">
        <v>82556.1171875</v>
      </c>
      <c r="BA212" s="2">
        <v>7919.4140625</v>
      </c>
      <c r="BB212" s="2" t="s">
        <v>83</v>
      </c>
      <c r="BC212" s="2" t="s">
        <v>79</v>
      </c>
      <c r="BD212" s="2" t="s">
        <v>79</v>
      </c>
      <c r="BE212" s="2" t="s">
        <v>91</v>
      </c>
      <c r="BF212" s="2" t="s">
        <v>91</v>
      </c>
      <c r="BG212" s="2" t="s">
        <v>91</v>
      </c>
      <c r="BH212" s="2" t="s">
        <v>98</v>
      </c>
      <c r="BI212" s="2" t="s">
        <v>98</v>
      </c>
      <c r="BJ212" s="2" t="s">
        <v>98</v>
      </c>
      <c r="BK212" s="2" t="s">
        <v>98</v>
      </c>
      <c r="BL212" s="2" t="s">
        <v>98</v>
      </c>
      <c r="BM212" s="2" t="s">
        <v>98</v>
      </c>
      <c r="BN212" s="2" t="s">
        <v>98</v>
      </c>
      <c r="BO212" s="2" t="s">
        <v>98</v>
      </c>
      <c r="BP212" s="2" t="s">
        <v>91</v>
      </c>
      <c r="BQ212" s="2" t="s">
        <v>98</v>
      </c>
      <c r="BR212" s="2" t="s">
        <v>91</v>
      </c>
      <c r="BS212" s="2" t="s">
        <v>91</v>
      </c>
      <c r="BT212" s="2" t="s">
        <v>91</v>
      </c>
      <c r="BU212" s="2" t="s">
        <v>91</v>
      </c>
      <c r="BV212" s="2" t="s">
        <v>91</v>
      </c>
      <c r="BW212" s="2" t="s">
        <v>91</v>
      </c>
      <c r="BX212" s="2" t="s">
        <v>98</v>
      </c>
      <c r="BY212" s="2" t="s">
        <v>91</v>
      </c>
      <c r="BZ212" s="2" t="s">
        <v>91</v>
      </c>
      <c r="CA212" s="2" t="s">
        <v>98</v>
      </c>
      <c r="CB212" t="e">
        <f>TTEST(AS212:AW212,AI212:AM212,2,2)</f>
        <v>#DIV/0!</v>
      </c>
      <c r="CC212" t="e">
        <f>TTEST(AD212:AH212,AI212:AM212,2,2)</f>
        <v>#DIV/0!</v>
      </c>
      <c r="CD212" t="e">
        <f>TTEST(AN212:AR212,AI212:AM212,2,2)</f>
        <v>#DIV/0!</v>
      </c>
      <c r="CE212" t="e">
        <f>TTEST(AX212:BB212,AI212:AM212,2,2)</f>
        <v>#DIV/0!</v>
      </c>
      <c r="CF212">
        <v>261</v>
      </c>
      <c r="CG212">
        <v>275</v>
      </c>
      <c r="CH212">
        <v>279</v>
      </c>
      <c r="CI212">
        <v>295</v>
      </c>
      <c r="CJ212">
        <f>0.05*CF212/464</f>
        <v>2.8125000000000001E-2</v>
      </c>
      <c r="CK212">
        <f>0.05*CG212/464</f>
        <v>2.9633620689655173E-2</v>
      </c>
      <c r="CL212">
        <f>0.05*CH212/464</f>
        <v>3.0064655172413794E-2</v>
      </c>
      <c r="CM212">
        <f>0.05*CI212/464</f>
        <v>3.1788793103448273E-2</v>
      </c>
      <c r="CN212" t="e">
        <f>IF(CB212&lt;CJ212,"yes","no")</f>
        <v>#DIV/0!</v>
      </c>
      <c r="CO212" t="e">
        <f>IF(CC212&lt;CK212,"yes","no")</f>
        <v>#DIV/0!</v>
      </c>
      <c r="CP212" t="e">
        <f>IF(CD212&lt;CL212,"yes","no")</f>
        <v>#DIV/0!</v>
      </c>
      <c r="CQ212" t="e">
        <f>IF(CE212&lt;CM212,"yes","no")</f>
        <v>#DIV/0!</v>
      </c>
      <c r="CR212">
        <f>TTEST(AS212:AW212,AD212:AH212,2,2)</f>
        <v>1.3483649629349981E-3</v>
      </c>
      <c r="CS212" t="e">
        <f>TTEST(AS212:AW212,AN212:AR212,2,2)</f>
        <v>#DIV/0!</v>
      </c>
      <c r="CT212">
        <f>TTEST(AS212:AW212,AX212:BB212,2,2)</f>
        <v>0.58554884752901293</v>
      </c>
      <c r="CU212">
        <v>165</v>
      </c>
      <c r="CV212">
        <v>288</v>
      </c>
      <c r="CW212">
        <v>211</v>
      </c>
      <c r="CX212">
        <f t="shared" si="9"/>
        <v>1.7780172413793104E-2</v>
      </c>
      <c r="CY212">
        <f t="shared" si="10"/>
        <v>3.1034482758620689E-2</v>
      </c>
      <c r="CZ212">
        <f t="shared" si="11"/>
        <v>2.2737068965517242E-2</v>
      </c>
      <c r="DA212" t="str">
        <f>IF(CR212&lt;CX212,"yes","no")</f>
        <v>yes</v>
      </c>
      <c r="DB212" t="e">
        <f>IF(CS212&lt;CY212,"yes","no")</f>
        <v>#DIV/0!</v>
      </c>
      <c r="DC212" t="str">
        <f>IF(CT212&lt;CZ212,"yes","no")</f>
        <v>no</v>
      </c>
    </row>
    <row r="213" spans="1:107" x14ac:dyDescent="0.2">
      <c r="A213" s="2" t="b">
        <v>0</v>
      </c>
      <c r="B213" s="2" t="s">
        <v>79</v>
      </c>
      <c r="C213" s="2" t="s">
        <v>80</v>
      </c>
      <c r="D213" s="2" t="s">
        <v>641</v>
      </c>
      <c r="E213" s="2" t="s">
        <v>642</v>
      </c>
      <c r="F213" s="2">
        <v>5</v>
      </c>
      <c r="G213" s="2">
        <v>5</v>
      </c>
      <c r="H213" s="2">
        <v>43</v>
      </c>
      <c r="I213" s="2">
        <v>7.06</v>
      </c>
      <c r="J213" s="2" t="s">
        <v>135</v>
      </c>
      <c r="K213" s="2" t="s">
        <v>84</v>
      </c>
      <c r="L213" s="2" t="s">
        <v>643</v>
      </c>
      <c r="M213" s="2" t="s">
        <v>644</v>
      </c>
      <c r="N213" s="2" t="s">
        <v>645</v>
      </c>
      <c r="O213" s="2">
        <v>5.5229999999999997</v>
      </c>
      <c r="P213" s="2">
        <v>0.50700000000000001</v>
      </c>
      <c r="Q213" s="2">
        <v>1.0580000000000001</v>
      </c>
      <c r="R213" s="2">
        <v>0.315</v>
      </c>
      <c r="S213" s="2">
        <v>1.613</v>
      </c>
      <c r="T213" s="2">
        <v>7.5999999999999998E-2</v>
      </c>
      <c r="U213" s="2">
        <v>0.61</v>
      </c>
      <c r="V213" s="2">
        <v>6.5000000000000002E-2</v>
      </c>
      <c r="W213" s="2">
        <v>0.34200000000000003</v>
      </c>
      <c r="X213" s="2">
        <v>4.6280000000000001</v>
      </c>
      <c r="Y213" s="2">
        <v>66.3</v>
      </c>
      <c r="Z213" s="2">
        <v>178.4</v>
      </c>
      <c r="AA213" s="2">
        <v>206.5</v>
      </c>
      <c r="AB213" s="2">
        <v>11.3</v>
      </c>
      <c r="AC213" s="2">
        <v>37.4</v>
      </c>
      <c r="AD213" s="2">
        <v>534622.0859375</v>
      </c>
      <c r="AE213" s="2" t="s">
        <v>83</v>
      </c>
      <c r="AF213" s="2">
        <v>590859.19140625</v>
      </c>
      <c r="AG213" s="2">
        <v>2849796.078125</v>
      </c>
      <c r="AH213" s="2">
        <v>143734.609375</v>
      </c>
      <c r="AI213" s="2">
        <v>33001.958496093801</v>
      </c>
      <c r="AJ213" s="2">
        <v>21300.369140625</v>
      </c>
      <c r="AK213" s="2">
        <v>5347.45361328125</v>
      </c>
      <c r="AL213" s="2">
        <v>84745.832519531294</v>
      </c>
      <c r="AM213" s="2">
        <v>29662.8054199219</v>
      </c>
      <c r="AN213" s="2">
        <v>25502.5107421875</v>
      </c>
      <c r="AO213" s="2">
        <v>44986.142578125</v>
      </c>
      <c r="AP213" s="2">
        <v>35396.24609375</v>
      </c>
      <c r="AQ213" s="2">
        <v>38335.3505859375</v>
      </c>
      <c r="AR213" s="2">
        <v>219349.80761718799</v>
      </c>
      <c r="AS213" s="2">
        <v>13265.201171875</v>
      </c>
      <c r="AT213" s="2">
        <v>20633.119140625</v>
      </c>
      <c r="AU213" s="2">
        <v>36494.1259765625</v>
      </c>
      <c r="AV213" s="2">
        <v>23289.779296875</v>
      </c>
      <c r="AW213" s="2">
        <v>10872.970703125</v>
      </c>
      <c r="AX213" s="2">
        <v>69894.783203125</v>
      </c>
      <c r="AY213" s="2">
        <v>5005.25537109375</v>
      </c>
      <c r="AZ213" s="2">
        <v>18155.0810546875</v>
      </c>
      <c r="BA213" s="2">
        <v>12484.68359375</v>
      </c>
      <c r="BB213" s="2">
        <v>33473.4599609375</v>
      </c>
      <c r="BC213" s="2" t="s">
        <v>79</v>
      </c>
      <c r="BD213" s="2" t="s">
        <v>98</v>
      </c>
      <c r="BE213" s="2" t="s">
        <v>79</v>
      </c>
      <c r="BF213" s="2" t="s">
        <v>79</v>
      </c>
      <c r="BG213" s="2" t="s">
        <v>91</v>
      </c>
      <c r="BH213" s="2" t="s">
        <v>91</v>
      </c>
      <c r="BI213" s="2" t="s">
        <v>91</v>
      </c>
      <c r="BJ213" s="2" t="s">
        <v>91</v>
      </c>
      <c r="BK213" s="2" t="s">
        <v>91</v>
      </c>
      <c r="BL213" s="2" t="s">
        <v>91</v>
      </c>
      <c r="BM213" s="2" t="s">
        <v>91</v>
      </c>
      <c r="BN213" s="2" t="s">
        <v>91</v>
      </c>
      <c r="BO213" s="2" t="s">
        <v>79</v>
      </c>
      <c r="BP213" s="2" t="s">
        <v>91</v>
      </c>
      <c r="BQ213" s="2" t="s">
        <v>79</v>
      </c>
      <c r="BR213" s="2" t="s">
        <v>91</v>
      </c>
      <c r="BS213" s="2" t="s">
        <v>91</v>
      </c>
      <c r="BT213" s="2" t="s">
        <v>91</v>
      </c>
      <c r="BU213" s="2" t="s">
        <v>91</v>
      </c>
      <c r="BV213" s="2" t="s">
        <v>91</v>
      </c>
      <c r="BW213" s="2" t="s">
        <v>91</v>
      </c>
      <c r="BX213" s="2" t="s">
        <v>91</v>
      </c>
      <c r="BY213" s="2" t="s">
        <v>91</v>
      </c>
      <c r="BZ213" s="2" t="s">
        <v>91</v>
      </c>
      <c r="CA213" s="2" t="s">
        <v>91</v>
      </c>
      <c r="CB213">
        <f>TTEST(AS213:AW213,AI213:AM213,2,2)</f>
        <v>0.35338927454363034</v>
      </c>
      <c r="CC213">
        <f>TTEST(AD213:AH213,AI213:AM213,2,2)</f>
        <v>0.10804554321343329</v>
      </c>
      <c r="CD213">
        <f>TTEST(AN213:AR213,AI213:AM213,2,2)</f>
        <v>0.36128627585350881</v>
      </c>
      <c r="CE213">
        <f>TTEST(AX213:BB213,AI213:AM213,2,2)</f>
        <v>0.70155119043860759</v>
      </c>
      <c r="CF213">
        <v>185</v>
      </c>
      <c r="CG213">
        <v>193</v>
      </c>
      <c r="CH213">
        <v>167</v>
      </c>
      <c r="CI213">
        <v>177</v>
      </c>
      <c r="CJ213">
        <f>0.05*CF213/464</f>
        <v>1.9935344827586209E-2</v>
      </c>
      <c r="CK213">
        <f>0.05*CG213/464</f>
        <v>2.0797413793103448E-2</v>
      </c>
      <c r="CL213">
        <f>0.05*CH213/464</f>
        <v>1.7995689655172412E-2</v>
      </c>
      <c r="CM213">
        <f>0.05*CI213/464</f>
        <v>1.9073275862068965E-2</v>
      </c>
      <c r="CN213" t="str">
        <f>IF(CB213&lt;CJ213,"yes","no")</f>
        <v>no</v>
      </c>
      <c r="CO213" t="str">
        <f>IF(CC213&lt;CK213,"yes","no")</f>
        <v>no</v>
      </c>
      <c r="CP213" t="str">
        <f>IF(CD213&lt;CL213,"yes","no")</f>
        <v>no</v>
      </c>
      <c r="CQ213" t="str">
        <f>IF(CE213&lt;CM213,"yes","no")</f>
        <v>no</v>
      </c>
      <c r="CR213">
        <f>TTEST(AS213:AW213,AD213:AH213,2,2)</f>
        <v>0.10394127264860191</v>
      </c>
      <c r="CS213">
        <f>TTEST(AS213:AW213,AN213:AR213,2,2)</f>
        <v>0.19980847886360981</v>
      </c>
      <c r="CT213">
        <f>TTEST(AS213:AW213,AX213:BB213,2,2)</f>
        <v>0.59261243048249534</v>
      </c>
      <c r="CU213">
        <v>248</v>
      </c>
      <c r="CV213">
        <v>197</v>
      </c>
      <c r="CW213">
        <v>212</v>
      </c>
      <c r="CX213">
        <f t="shared" si="9"/>
        <v>2.6724137931034484E-2</v>
      </c>
      <c r="CY213">
        <f t="shared" si="10"/>
        <v>2.1228448275862073E-2</v>
      </c>
      <c r="CZ213">
        <f t="shared" si="11"/>
        <v>2.2844827586206901E-2</v>
      </c>
      <c r="DA213" t="str">
        <f>IF(CR213&lt;CX213,"yes","no")</f>
        <v>no</v>
      </c>
      <c r="DB213" t="str">
        <f>IF(CS213&lt;CY213,"yes","no")</f>
        <v>no</v>
      </c>
      <c r="DC213" t="str">
        <f>IF(CT213&lt;CZ213,"yes","no")</f>
        <v>no</v>
      </c>
    </row>
    <row r="214" spans="1:107" x14ac:dyDescent="0.2">
      <c r="A214" s="2" t="b">
        <v>0</v>
      </c>
      <c r="B214" s="2" t="s">
        <v>79</v>
      </c>
      <c r="C214" s="2" t="s">
        <v>80</v>
      </c>
      <c r="D214" s="2" t="s">
        <v>612</v>
      </c>
      <c r="E214" s="2" t="s">
        <v>613</v>
      </c>
      <c r="F214" s="2">
        <v>4</v>
      </c>
      <c r="G214" s="2">
        <v>4</v>
      </c>
      <c r="H214" s="2">
        <v>30.1</v>
      </c>
      <c r="I214" s="2">
        <v>8.75</v>
      </c>
      <c r="J214" s="2" t="s">
        <v>254</v>
      </c>
      <c r="K214" s="2" t="s">
        <v>391</v>
      </c>
      <c r="L214" s="2" t="s">
        <v>119</v>
      </c>
      <c r="M214" s="2" t="s">
        <v>614</v>
      </c>
      <c r="N214" s="2" t="s">
        <v>612</v>
      </c>
      <c r="O214" s="2">
        <v>1.389</v>
      </c>
      <c r="P214" s="2">
        <v>0.61799999999999999</v>
      </c>
      <c r="Q214" s="2">
        <v>2.5179999999999998</v>
      </c>
      <c r="R214" s="2">
        <v>0.34200000000000003</v>
      </c>
      <c r="S214" s="2">
        <v>0.89800000000000002</v>
      </c>
      <c r="T214" s="2">
        <v>0.23100000000000001</v>
      </c>
      <c r="U214" s="2">
        <v>0.71099999999999997</v>
      </c>
      <c r="V214" s="2">
        <v>0.27800000000000002</v>
      </c>
      <c r="W214" s="2">
        <v>0.61799999999999999</v>
      </c>
      <c r="X214" s="2">
        <v>2.762</v>
      </c>
      <c r="Y214" s="2">
        <v>84.9</v>
      </c>
      <c r="Z214" s="2">
        <v>168</v>
      </c>
      <c r="AA214" s="2">
        <v>132</v>
      </c>
      <c r="AB214" s="2">
        <v>30.6</v>
      </c>
      <c r="AC214" s="2">
        <v>84.5</v>
      </c>
      <c r="AD214" s="2">
        <v>3898704.984375</v>
      </c>
      <c r="AE214" s="2">
        <v>1608763.765625</v>
      </c>
      <c r="AF214" s="2">
        <v>2694702.91015625</v>
      </c>
      <c r="AG214" s="2">
        <v>10239110.3125</v>
      </c>
      <c r="AH214" s="2">
        <v>1728053.8359375</v>
      </c>
      <c r="AI214" s="2">
        <v>58212.33984375</v>
      </c>
      <c r="AJ214" s="2">
        <v>91830.6015625</v>
      </c>
      <c r="AK214" s="2">
        <v>107457.734375</v>
      </c>
      <c r="AL214" s="2">
        <v>203816.25</v>
      </c>
      <c r="AM214" s="2">
        <v>101907.5859375</v>
      </c>
      <c r="AN214" s="2">
        <v>76657.3095703125</v>
      </c>
      <c r="AO214" s="2">
        <v>96444.21875</v>
      </c>
      <c r="AP214" s="2">
        <v>88495.087890625</v>
      </c>
      <c r="AQ214" s="2">
        <v>99378.361328125</v>
      </c>
      <c r="AR214" s="2">
        <v>473406.025390625</v>
      </c>
      <c r="AS214" s="2">
        <v>139783.71875</v>
      </c>
      <c r="AT214" s="2">
        <v>247637.4375</v>
      </c>
      <c r="AU214" s="2">
        <v>145541.140625</v>
      </c>
      <c r="AV214" s="2">
        <v>227099.4375</v>
      </c>
      <c r="AW214" s="2" t="s">
        <v>83</v>
      </c>
      <c r="AX214" s="2">
        <v>380197.46875</v>
      </c>
      <c r="AY214" s="2">
        <v>164135.30957031299</v>
      </c>
      <c r="AZ214" s="2">
        <v>137187.671875</v>
      </c>
      <c r="BA214" s="2">
        <v>153705.21875</v>
      </c>
      <c r="BB214" s="2">
        <v>266506.9375</v>
      </c>
      <c r="BC214" s="2" t="s">
        <v>79</v>
      </c>
      <c r="BD214" s="2" t="s">
        <v>79</v>
      </c>
      <c r="BE214" s="2" t="s">
        <v>79</v>
      </c>
      <c r="BF214" s="2" t="s">
        <v>79</v>
      </c>
      <c r="BG214" s="2" t="s">
        <v>79</v>
      </c>
      <c r="BH214" s="2" t="s">
        <v>91</v>
      </c>
      <c r="BI214" s="2" t="s">
        <v>91</v>
      </c>
      <c r="BJ214" s="2" t="s">
        <v>91</v>
      </c>
      <c r="BK214" s="2" t="s">
        <v>91</v>
      </c>
      <c r="BL214" s="2" t="s">
        <v>91</v>
      </c>
      <c r="BM214" s="2" t="s">
        <v>91</v>
      </c>
      <c r="BN214" s="2" t="s">
        <v>91</v>
      </c>
      <c r="BO214" s="2" t="s">
        <v>91</v>
      </c>
      <c r="BP214" s="2" t="s">
        <v>91</v>
      </c>
      <c r="BQ214" s="2" t="s">
        <v>79</v>
      </c>
      <c r="BR214" s="2" t="s">
        <v>91</v>
      </c>
      <c r="BS214" s="2" t="s">
        <v>91</v>
      </c>
      <c r="BT214" s="2" t="s">
        <v>91</v>
      </c>
      <c r="BU214" s="2" t="s">
        <v>91</v>
      </c>
      <c r="BV214" s="2" t="s">
        <v>98</v>
      </c>
      <c r="BW214" s="2" t="s">
        <v>91</v>
      </c>
      <c r="BX214" s="2" t="s">
        <v>91</v>
      </c>
      <c r="BY214" s="2" t="s">
        <v>91</v>
      </c>
      <c r="BZ214" s="2" t="s">
        <v>91</v>
      </c>
      <c r="CA214" s="2" t="s">
        <v>91</v>
      </c>
      <c r="CB214">
        <f>TTEST(AS214:AW214,AI214:AM214,2,2)</f>
        <v>7.3501935393810044E-2</v>
      </c>
      <c r="CC214">
        <f>TTEST(AD214:AH214,AI214:AM214,2,2)</f>
        <v>4.0375848636990272E-2</v>
      </c>
      <c r="CD214">
        <f>TTEST(AN214:AR214,AI214:AM214,2,2)</f>
        <v>0.51950895257292085</v>
      </c>
      <c r="CE214">
        <f>TTEST(AX214:BB214,AI214:AM214,2,2)</f>
        <v>7.2031449016100632E-2</v>
      </c>
      <c r="CF214">
        <v>155</v>
      </c>
      <c r="CG214">
        <v>176</v>
      </c>
      <c r="CH214">
        <v>189</v>
      </c>
      <c r="CI214">
        <v>115</v>
      </c>
      <c r="CJ214">
        <f>0.05*CF214/464</f>
        <v>1.670258620689655E-2</v>
      </c>
      <c r="CK214">
        <f>0.05*CG214/464</f>
        <v>1.8965517241379314E-2</v>
      </c>
      <c r="CL214">
        <f>0.05*CH214/464</f>
        <v>2.036637931034483E-2</v>
      </c>
      <c r="CM214">
        <f>0.05*CI214/464</f>
        <v>1.2392241379310345E-2</v>
      </c>
      <c r="CN214" t="str">
        <f>IF(CB214&lt;CJ214,"yes","no")</f>
        <v>no</v>
      </c>
      <c r="CO214" t="str">
        <f>IF(CC214&lt;CK214,"yes","no")</f>
        <v>no</v>
      </c>
      <c r="CP214" t="str">
        <f>IF(CD214&lt;CL214,"yes","no")</f>
        <v>no</v>
      </c>
      <c r="CQ214" t="str">
        <f>IF(CE214&lt;CM214,"yes","no")</f>
        <v>no</v>
      </c>
      <c r="CR214">
        <f>TTEST(AS214:AW214,AD214:AH214,2,2)</f>
        <v>7.2567705248349337E-2</v>
      </c>
      <c r="CS214">
        <f>TTEST(AS214:AW214,AN214:AR214,2,2)</f>
        <v>0.80521309140015285</v>
      </c>
      <c r="CT214">
        <f>TTEST(AS214:AW214,AX214:BB214,2,2)</f>
        <v>0.61403181946071039</v>
      </c>
      <c r="CU214">
        <v>239</v>
      </c>
      <c r="CV214">
        <v>251</v>
      </c>
      <c r="CW214">
        <v>213</v>
      </c>
      <c r="CX214">
        <f t="shared" si="9"/>
        <v>2.5754310344827589E-2</v>
      </c>
      <c r="CY214">
        <f t="shared" si="10"/>
        <v>2.704741379310345E-2</v>
      </c>
      <c r="CZ214">
        <f t="shared" si="11"/>
        <v>2.2952586206896552E-2</v>
      </c>
      <c r="DA214" t="str">
        <f>IF(CR214&lt;CX214,"yes","no")</f>
        <v>no</v>
      </c>
      <c r="DB214" t="str">
        <f>IF(CS214&lt;CY214,"yes","no")</f>
        <v>no</v>
      </c>
      <c r="DC214" t="str">
        <f>IF(CT214&lt;CZ214,"yes","no")</f>
        <v>no</v>
      </c>
    </row>
    <row r="215" spans="1:107" x14ac:dyDescent="0.2">
      <c r="A215" s="2" t="b">
        <v>0</v>
      </c>
      <c r="B215" s="2" t="s">
        <v>79</v>
      </c>
      <c r="C215" s="2" t="s">
        <v>80</v>
      </c>
      <c r="D215" s="2" t="s">
        <v>444</v>
      </c>
      <c r="E215" s="2" t="s">
        <v>445</v>
      </c>
      <c r="F215" s="2">
        <v>9</v>
      </c>
      <c r="G215" s="2">
        <v>5</v>
      </c>
      <c r="H215" s="2">
        <v>50.7</v>
      </c>
      <c r="I215" s="2">
        <v>5.12</v>
      </c>
      <c r="J215" s="2" t="s">
        <v>168</v>
      </c>
      <c r="K215" s="2" t="s">
        <v>302</v>
      </c>
      <c r="L215" s="2" t="s">
        <v>315</v>
      </c>
      <c r="M215" s="2" t="s">
        <v>446</v>
      </c>
      <c r="N215" s="2" t="s">
        <v>447</v>
      </c>
      <c r="O215" s="2">
        <v>16.989999999999998</v>
      </c>
      <c r="P215" s="2">
        <v>2.5430000000000001</v>
      </c>
      <c r="Q215" s="2" t="s">
        <v>83</v>
      </c>
      <c r="R215" s="2">
        <v>9.7000000000000003E-2</v>
      </c>
      <c r="S215" s="2">
        <v>1.3580000000000001</v>
      </c>
      <c r="T215" s="2">
        <v>0.16600000000000001</v>
      </c>
      <c r="U215" s="2">
        <v>0.60499999999999998</v>
      </c>
      <c r="V215" s="2">
        <v>0.254</v>
      </c>
      <c r="W215" s="2">
        <v>0.73899999999999999</v>
      </c>
      <c r="X215" s="2">
        <v>3.9430000000000001</v>
      </c>
      <c r="Y215" s="2">
        <v>4.5</v>
      </c>
      <c r="Z215" s="2">
        <v>265.89999999999998</v>
      </c>
      <c r="AA215" s="2">
        <v>66.599999999999994</v>
      </c>
      <c r="AB215" s="2">
        <v>33.700000000000003</v>
      </c>
      <c r="AC215" s="2">
        <v>129.19999999999999</v>
      </c>
      <c r="AD215" s="2">
        <v>242396.421875</v>
      </c>
      <c r="AE215" s="2">
        <v>184588.25</v>
      </c>
      <c r="AF215" s="2">
        <v>41829.46484375</v>
      </c>
      <c r="AG215" s="2">
        <v>57826.41015625</v>
      </c>
      <c r="AH215" s="2" t="s">
        <v>83</v>
      </c>
      <c r="AI215" s="2">
        <v>36186.7529296875</v>
      </c>
      <c r="AJ215" s="2">
        <v>125880.857421875</v>
      </c>
      <c r="AK215" s="2">
        <v>135979.70605468799</v>
      </c>
      <c r="AL215" s="2">
        <v>726431.41796875</v>
      </c>
      <c r="AM215" s="2">
        <v>36593.5556640625</v>
      </c>
      <c r="AN215" s="2">
        <v>23697.300292968801</v>
      </c>
      <c r="AO215" s="2">
        <v>14760.880859375</v>
      </c>
      <c r="AP215" s="2">
        <v>343309.28613281302</v>
      </c>
      <c r="AQ215" s="2">
        <v>13842.5712890625</v>
      </c>
      <c r="AR215" s="2">
        <v>509911.203125</v>
      </c>
      <c r="AS215" s="2" t="s">
        <v>83</v>
      </c>
      <c r="AT215" s="2" t="s">
        <v>83</v>
      </c>
      <c r="AU215" s="2">
        <v>285064.3359375</v>
      </c>
      <c r="AV215" s="2" t="s">
        <v>83</v>
      </c>
      <c r="AW215" s="2">
        <v>43219.20703125</v>
      </c>
      <c r="AX215" s="2">
        <v>606147.62890625</v>
      </c>
      <c r="AY215" s="2">
        <v>119174.697265625</v>
      </c>
      <c r="AZ215" s="2">
        <v>41416.79296875</v>
      </c>
      <c r="BA215" s="2">
        <v>321077.15625</v>
      </c>
      <c r="BB215" s="2" t="s">
        <v>83</v>
      </c>
      <c r="BC215" s="2" t="s">
        <v>91</v>
      </c>
      <c r="BD215" s="2" t="s">
        <v>79</v>
      </c>
      <c r="BE215" s="2" t="s">
        <v>91</v>
      </c>
      <c r="BF215" s="2" t="s">
        <v>91</v>
      </c>
      <c r="BG215" s="2" t="s">
        <v>98</v>
      </c>
      <c r="BH215" s="2" t="s">
        <v>79</v>
      </c>
      <c r="BI215" s="2" t="s">
        <v>79</v>
      </c>
      <c r="BJ215" s="2" t="s">
        <v>79</v>
      </c>
      <c r="BK215" s="2" t="s">
        <v>79</v>
      </c>
      <c r="BL215" s="2" t="s">
        <v>79</v>
      </c>
      <c r="BM215" s="2" t="s">
        <v>79</v>
      </c>
      <c r="BN215" s="2" t="s">
        <v>79</v>
      </c>
      <c r="BO215" s="2" t="s">
        <v>79</v>
      </c>
      <c r="BP215" s="2" t="s">
        <v>79</v>
      </c>
      <c r="BQ215" s="2" t="s">
        <v>79</v>
      </c>
      <c r="BR215" s="2" t="s">
        <v>98</v>
      </c>
      <c r="BS215" s="2" t="s">
        <v>79</v>
      </c>
      <c r="BT215" s="2" t="s">
        <v>79</v>
      </c>
      <c r="BU215" s="2" t="s">
        <v>79</v>
      </c>
      <c r="BV215" s="2" t="s">
        <v>79</v>
      </c>
      <c r="BW215" s="2" t="s">
        <v>91</v>
      </c>
      <c r="BX215" s="2" t="s">
        <v>79</v>
      </c>
      <c r="BY215" s="2" t="s">
        <v>79</v>
      </c>
      <c r="BZ215" s="2" t="s">
        <v>91</v>
      </c>
      <c r="CA215" s="2" t="s">
        <v>79</v>
      </c>
      <c r="CB215">
        <f>TTEST(AS215:AW215,AI215:AM215,2,2)</f>
        <v>0.84079233792854102</v>
      </c>
      <c r="CC215">
        <f>TTEST(AD215:AH215,AI215:AM215,2,2)</f>
        <v>0.61667896747148254</v>
      </c>
      <c r="CD215">
        <f>TTEST(AN215:AR215,AI215:AM215,2,2)</f>
        <v>0.85642046663922844</v>
      </c>
      <c r="CE215">
        <f>TTEST(AX215:BB215,AI215:AM215,2,2)</f>
        <v>0.7556846870979832</v>
      </c>
      <c r="CF215">
        <v>216</v>
      </c>
      <c r="CG215">
        <v>227</v>
      </c>
      <c r="CH215">
        <v>223</v>
      </c>
      <c r="CI215">
        <v>186</v>
      </c>
      <c r="CJ215">
        <f>0.05*CF215/464</f>
        <v>2.3275862068965519E-2</v>
      </c>
      <c r="CK215">
        <f>0.05*CG215/464</f>
        <v>2.4461206896551728E-2</v>
      </c>
      <c r="CL215">
        <f>0.05*CH215/464</f>
        <v>2.4030172413793103E-2</v>
      </c>
      <c r="CM215">
        <f>0.05*CI215/464</f>
        <v>2.0043103448275864E-2</v>
      </c>
      <c r="CN215" t="str">
        <f>IF(CB215&lt;CJ215,"yes","no")</f>
        <v>no</v>
      </c>
      <c r="CO215" t="str">
        <f>IF(CC215&lt;CK215,"yes","no")</f>
        <v>no</v>
      </c>
      <c r="CP215" t="str">
        <f>IF(CD215&lt;CL215,"yes","no")</f>
        <v>no</v>
      </c>
      <c r="CQ215" t="str">
        <f>IF(CE215&lt;CM215,"yes","no")</f>
        <v>no</v>
      </c>
      <c r="CR215">
        <f>TTEST(AS215:AW215,AD215:AH215,2,2)</f>
        <v>0.770673881931493</v>
      </c>
      <c r="CS215">
        <f>TTEST(AS215:AW215,AN215:AR215,2,2)</f>
        <v>0.9304525237676301</v>
      </c>
      <c r="CT215">
        <f>TTEST(AS215:AW215,AX215:BB215,2,2)</f>
        <v>0.62351257825767537</v>
      </c>
      <c r="CU215">
        <v>299</v>
      </c>
      <c r="CV215">
        <v>270</v>
      </c>
      <c r="CW215">
        <v>214</v>
      </c>
      <c r="CX215">
        <f t="shared" si="9"/>
        <v>3.2219827586206902E-2</v>
      </c>
      <c r="CY215">
        <f t="shared" si="10"/>
        <v>2.9094827586206896E-2</v>
      </c>
      <c r="CZ215">
        <f t="shared" si="11"/>
        <v>2.3060344827586208E-2</v>
      </c>
      <c r="DA215" t="str">
        <f>IF(CR215&lt;CX215,"yes","no")</f>
        <v>no</v>
      </c>
      <c r="DB215" t="str">
        <f>IF(CS215&lt;CY215,"yes","no")</f>
        <v>no</v>
      </c>
      <c r="DC215" t="str">
        <f>IF(CT215&lt;CZ215,"yes","no")</f>
        <v>no</v>
      </c>
    </row>
    <row r="216" spans="1:107" x14ac:dyDescent="0.2">
      <c r="A216" s="2" t="b">
        <v>0</v>
      </c>
      <c r="B216" s="2" t="s">
        <v>79</v>
      </c>
      <c r="C216" s="2" t="s">
        <v>80</v>
      </c>
      <c r="D216" s="2" t="s">
        <v>300</v>
      </c>
      <c r="E216" s="2" t="s">
        <v>301</v>
      </c>
      <c r="F216" s="2">
        <v>7</v>
      </c>
      <c r="G216" s="2">
        <v>3</v>
      </c>
      <c r="H216" s="2">
        <v>59</v>
      </c>
      <c r="I216" s="2">
        <v>8.07</v>
      </c>
      <c r="J216" s="2" t="s">
        <v>228</v>
      </c>
      <c r="K216" s="2" t="s">
        <v>302</v>
      </c>
      <c r="L216" s="2" t="s">
        <v>303</v>
      </c>
      <c r="M216" s="2" t="s">
        <v>304</v>
      </c>
      <c r="N216" s="2" t="s">
        <v>305</v>
      </c>
      <c r="O216" s="2">
        <v>22.771999999999998</v>
      </c>
      <c r="P216" s="2">
        <v>2.4009999999999998</v>
      </c>
      <c r="Q216" s="2">
        <v>3.1640000000000001</v>
      </c>
      <c r="R216" s="2">
        <v>1.4999999999999999E-2</v>
      </c>
      <c r="S216" s="2">
        <v>1.246</v>
      </c>
      <c r="T216" s="2">
        <v>7.3999999999999996E-2</v>
      </c>
      <c r="U216" s="2">
        <v>9.2999999999999999E-2</v>
      </c>
      <c r="V216" s="2">
        <v>0.128</v>
      </c>
      <c r="W216" s="2">
        <v>0.122</v>
      </c>
      <c r="X216" s="2">
        <v>2.7530000000000001</v>
      </c>
      <c r="Y216" s="2">
        <v>2.8</v>
      </c>
      <c r="Z216" s="2">
        <v>211.2</v>
      </c>
      <c r="AA216" s="2">
        <v>265.39999999999998</v>
      </c>
      <c r="AB216" s="2">
        <v>9.8000000000000007</v>
      </c>
      <c r="AC216" s="2">
        <v>10.8</v>
      </c>
      <c r="AD216" s="2">
        <v>399175.435546875</v>
      </c>
      <c r="AE216" s="2">
        <v>470906.60546875</v>
      </c>
      <c r="AF216" s="2">
        <v>115247.859375</v>
      </c>
      <c r="AG216" s="2">
        <v>292149.525390625</v>
      </c>
      <c r="AH216" s="2">
        <v>23987.580078125</v>
      </c>
      <c r="AI216" s="2">
        <v>220684.97998046901</v>
      </c>
      <c r="AJ216" s="2">
        <v>398263.734375</v>
      </c>
      <c r="AK216" s="2">
        <v>401389.91113281302</v>
      </c>
      <c r="AL216" s="2">
        <v>5183656.51953125</v>
      </c>
      <c r="AM216" s="2">
        <v>282660.80029296898</v>
      </c>
      <c r="AN216" s="2">
        <v>253289.83056640599</v>
      </c>
      <c r="AO216" s="2">
        <v>58503.8125</v>
      </c>
      <c r="AP216" s="2">
        <v>791053.38183593797</v>
      </c>
      <c r="AQ216" s="2">
        <v>517529.2421875</v>
      </c>
      <c r="AR216" s="2">
        <v>1216399.6699218799</v>
      </c>
      <c r="AS216" s="2">
        <v>30954.677734375</v>
      </c>
      <c r="AT216" s="2">
        <v>74466.2109375</v>
      </c>
      <c r="AU216" s="2">
        <v>346726.13769531302</v>
      </c>
      <c r="AV216" s="2">
        <v>128322.958984375</v>
      </c>
      <c r="AW216" s="2">
        <v>140674.015625</v>
      </c>
      <c r="AX216" s="2">
        <v>32450.15625</v>
      </c>
      <c r="AY216" s="2">
        <v>48528.46484375</v>
      </c>
      <c r="AZ216" s="2">
        <v>55263.48828125</v>
      </c>
      <c r="BA216" s="2">
        <v>94472.6875</v>
      </c>
      <c r="BB216" s="2">
        <v>303395.1953125</v>
      </c>
      <c r="BC216" s="2" t="s">
        <v>79</v>
      </c>
      <c r="BD216" s="2" t="s">
        <v>79</v>
      </c>
      <c r="BE216" s="2" t="s">
        <v>91</v>
      </c>
      <c r="BF216" s="2" t="s">
        <v>79</v>
      </c>
      <c r="BG216" s="2" t="s">
        <v>91</v>
      </c>
      <c r="BH216" s="2" t="s">
        <v>79</v>
      </c>
      <c r="BI216" s="2" t="s">
        <v>79</v>
      </c>
      <c r="BJ216" s="2" t="s">
        <v>79</v>
      </c>
      <c r="BK216" s="2" t="s">
        <v>79</v>
      </c>
      <c r="BL216" s="2" t="s">
        <v>79</v>
      </c>
      <c r="BM216" s="2" t="s">
        <v>79</v>
      </c>
      <c r="BN216" s="2" t="s">
        <v>79</v>
      </c>
      <c r="BO216" s="2" t="s">
        <v>79</v>
      </c>
      <c r="BP216" s="2" t="s">
        <v>79</v>
      </c>
      <c r="BQ216" s="2" t="s">
        <v>79</v>
      </c>
      <c r="BR216" s="2" t="s">
        <v>91</v>
      </c>
      <c r="BS216" s="2" t="s">
        <v>91</v>
      </c>
      <c r="BT216" s="2" t="s">
        <v>79</v>
      </c>
      <c r="BU216" s="2" t="s">
        <v>91</v>
      </c>
      <c r="BV216" s="2" t="s">
        <v>79</v>
      </c>
      <c r="BW216" s="2" t="s">
        <v>91</v>
      </c>
      <c r="BX216" s="2" t="s">
        <v>79</v>
      </c>
      <c r="BY216" s="2" t="s">
        <v>91</v>
      </c>
      <c r="BZ216" s="2" t="s">
        <v>91</v>
      </c>
      <c r="CA216" s="2" t="s">
        <v>79</v>
      </c>
      <c r="CB216">
        <f>TTEST(AS216:AW216,AI216:AM216,2,2)</f>
        <v>0.27030874208395061</v>
      </c>
      <c r="CC216">
        <f>TTEST(AD216:AH216,AI216:AM216,2,2)</f>
        <v>0.31893068351252568</v>
      </c>
      <c r="CD216">
        <f>TTEST(AN216:AR216,AI216:AM216,2,2)</f>
        <v>0.48340262957469038</v>
      </c>
      <c r="CE216">
        <f>TTEST(AX216:BB216,AI216:AM216,2,2)</f>
        <v>0.25615698322348535</v>
      </c>
      <c r="CF216">
        <v>175</v>
      </c>
      <c r="CG216">
        <v>218</v>
      </c>
      <c r="CH216">
        <v>183</v>
      </c>
      <c r="CI216">
        <v>137</v>
      </c>
      <c r="CJ216">
        <f>0.05*CF216/464</f>
        <v>1.8857758620689655E-2</v>
      </c>
      <c r="CK216">
        <f>0.05*CG216/464</f>
        <v>2.3491379310344829E-2</v>
      </c>
      <c r="CL216">
        <f>0.05*CH216/464</f>
        <v>1.9719827586206898E-2</v>
      </c>
      <c r="CM216">
        <f>0.05*CI216/464</f>
        <v>1.476293103448276E-2</v>
      </c>
      <c r="CN216" t="str">
        <f>IF(CB216&lt;CJ216,"yes","no")</f>
        <v>no</v>
      </c>
      <c r="CO216" t="str">
        <f>IF(CC216&lt;CK216,"yes","no")</f>
        <v>no</v>
      </c>
      <c r="CP216" t="str">
        <f>IF(CD216&lt;CL216,"yes","no")</f>
        <v>no</v>
      </c>
      <c r="CQ216" t="str">
        <f>IF(CE216&lt;CM216,"yes","no")</f>
        <v>no</v>
      </c>
      <c r="CR216">
        <f>TTEST(AS216:AW216,AD216:AH216,2,2)</f>
        <v>0.27981223568362251</v>
      </c>
      <c r="CS216">
        <f>TTEST(AS216:AW216,AN216:AR216,2,2)</f>
        <v>7.983875600525206E-2</v>
      </c>
      <c r="CT216">
        <f>TTEST(AS216:AW216,AX216:BB216,2,2)</f>
        <v>0.62657577417267396</v>
      </c>
      <c r="CU216">
        <v>281</v>
      </c>
      <c r="CV216">
        <v>174</v>
      </c>
      <c r="CW216">
        <v>215</v>
      </c>
      <c r="CX216">
        <f t="shared" si="9"/>
        <v>3.0280172413793105E-2</v>
      </c>
      <c r="CY216">
        <f t="shared" si="10"/>
        <v>1.8750000000000003E-2</v>
      </c>
      <c r="CZ216">
        <f t="shared" si="11"/>
        <v>2.3168103448275863E-2</v>
      </c>
      <c r="DA216" t="str">
        <f>IF(CR216&lt;CX216,"yes","no")</f>
        <v>no</v>
      </c>
      <c r="DB216" t="str">
        <f>IF(CS216&lt;CY216,"yes","no")</f>
        <v>no</v>
      </c>
      <c r="DC216" t="str">
        <f>IF(CT216&lt;CZ216,"yes","no")</f>
        <v>no</v>
      </c>
    </row>
    <row r="217" spans="1:107" x14ac:dyDescent="0.2">
      <c r="A217" s="2" t="b">
        <v>0</v>
      </c>
      <c r="B217" s="2" t="s">
        <v>79</v>
      </c>
      <c r="C217" s="2" t="s">
        <v>80</v>
      </c>
      <c r="D217" s="2" t="s">
        <v>970</v>
      </c>
      <c r="E217" s="2" t="s">
        <v>971</v>
      </c>
      <c r="F217" s="2">
        <v>4</v>
      </c>
      <c r="G217" s="2">
        <v>4</v>
      </c>
      <c r="H217" s="2">
        <v>79</v>
      </c>
      <c r="I217" s="2">
        <v>6.55</v>
      </c>
      <c r="J217" s="2" t="s">
        <v>83</v>
      </c>
      <c r="K217" s="2" t="s">
        <v>83</v>
      </c>
      <c r="L217" s="2" t="s">
        <v>83</v>
      </c>
      <c r="M217" s="2" t="s">
        <v>972</v>
      </c>
      <c r="N217" s="2" t="s">
        <v>970</v>
      </c>
      <c r="O217" s="2">
        <v>7.1509999999999998</v>
      </c>
      <c r="P217" s="2">
        <v>1.05</v>
      </c>
      <c r="Q217" s="2">
        <v>3.7759999999999998</v>
      </c>
      <c r="R217" s="2">
        <v>0.13900000000000001</v>
      </c>
      <c r="S217" s="2">
        <v>1.163</v>
      </c>
      <c r="T217" s="2">
        <v>0.13800000000000001</v>
      </c>
      <c r="U217" s="2" t="s">
        <v>83</v>
      </c>
      <c r="V217" s="2">
        <v>9.4E-2</v>
      </c>
      <c r="W217" s="2">
        <v>0.85499999999999998</v>
      </c>
      <c r="X217" s="2" t="s">
        <v>83</v>
      </c>
      <c r="Y217" s="2">
        <v>55.9</v>
      </c>
      <c r="Z217" s="2">
        <v>90.6</v>
      </c>
      <c r="AA217" s="2">
        <v>277.60000000000002</v>
      </c>
      <c r="AB217" s="2">
        <v>14.6</v>
      </c>
      <c r="AC217" s="2">
        <v>61.2</v>
      </c>
      <c r="AD217" s="2">
        <v>473673.890625</v>
      </c>
      <c r="AE217" s="2">
        <v>374517.2578125</v>
      </c>
      <c r="AF217" s="2">
        <v>324407.0546875</v>
      </c>
      <c r="AG217" s="2">
        <v>123806.0234375</v>
      </c>
      <c r="AH217" s="2">
        <v>208279.6640625</v>
      </c>
      <c r="AI217" s="2">
        <v>13183.171875</v>
      </c>
      <c r="AJ217" s="2">
        <v>11163.73828125</v>
      </c>
      <c r="AK217" s="2">
        <v>16212.4638671875</v>
      </c>
      <c r="AL217" s="2">
        <v>17391.361328125</v>
      </c>
      <c r="AM217" s="2">
        <v>14033.9921875</v>
      </c>
      <c r="AN217" s="2">
        <v>26393.5283203125</v>
      </c>
      <c r="AO217" s="2">
        <v>41210.110839843801</v>
      </c>
      <c r="AP217" s="2">
        <v>29799.0546875</v>
      </c>
      <c r="AQ217" s="2">
        <v>119496.75390625</v>
      </c>
      <c r="AR217" s="2">
        <v>47159.77734375</v>
      </c>
      <c r="AS217" s="2" t="s">
        <v>83</v>
      </c>
      <c r="AT217" s="2">
        <v>12228.283203125</v>
      </c>
      <c r="AU217" s="2">
        <v>22347.216796875</v>
      </c>
      <c r="AV217" s="2" t="s">
        <v>83</v>
      </c>
      <c r="AW217" s="2" t="s">
        <v>83</v>
      </c>
      <c r="AX217" s="2">
        <v>19876.126953125</v>
      </c>
      <c r="AY217" s="2" t="s">
        <v>83</v>
      </c>
      <c r="AZ217" s="2" t="s">
        <v>83</v>
      </c>
      <c r="BA217" s="2">
        <v>58393.12890625</v>
      </c>
      <c r="BB217" s="2">
        <v>6616.49951171875</v>
      </c>
      <c r="BC217" s="2" t="s">
        <v>79</v>
      </c>
      <c r="BD217" s="2" t="s">
        <v>91</v>
      </c>
      <c r="BE217" s="2" t="s">
        <v>79</v>
      </c>
      <c r="BF217" s="2" t="s">
        <v>79</v>
      </c>
      <c r="BG217" s="2" t="s">
        <v>91</v>
      </c>
      <c r="BH217" s="2" t="s">
        <v>91</v>
      </c>
      <c r="BI217" s="2" t="s">
        <v>91</v>
      </c>
      <c r="BJ217" s="2" t="s">
        <v>91</v>
      </c>
      <c r="BK217" s="2" t="s">
        <v>91</v>
      </c>
      <c r="BL217" s="2" t="s">
        <v>91</v>
      </c>
      <c r="BM217" s="2" t="s">
        <v>91</v>
      </c>
      <c r="BN217" s="2" t="s">
        <v>91</v>
      </c>
      <c r="BO217" s="2" t="s">
        <v>79</v>
      </c>
      <c r="BP217" s="2" t="s">
        <v>91</v>
      </c>
      <c r="BQ217" s="2" t="s">
        <v>79</v>
      </c>
      <c r="BR217" s="2" t="s">
        <v>98</v>
      </c>
      <c r="BS217" s="2" t="s">
        <v>91</v>
      </c>
      <c r="BT217" s="2" t="s">
        <v>91</v>
      </c>
      <c r="BU217" s="2" t="s">
        <v>98</v>
      </c>
      <c r="BV217" s="2" t="s">
        <v>98</v>
      </c>
      <c r="BW217" s="2" t="s">
        <v>91</v>
      </c>
      <c r="BX217" s="2" t="s">
        <v>98</v>
      </c>
      <c r="BY217" s="2" t="s">
        <v>98</v>
      </c>
      <c r="BZ217" s="2" t="s">
        <v>91</v>
      </c>
      <c r="CA217" s="2" t="s">
        <v>91</v>
      </c>
      <c r="CB217">
        <f>TTEST(AS217:AW217,AI217:AM217,2,2)</f>
        <v>0.4146924758211461</v>
      </c>
      <c r="CC217">
        <f>TTEST(AD217:AH217,AI217:AM217,2,2)</f>
        <v>1.6344811812090401E-3</v>
      </c>
      <c r="CD217">
        <f>TTEST(AN217:AR217,AI217:AM217,2,2)</f>
        <v>5.5148037041258459E-2</v>
      </c>
      <c r="CE217">
        <f>TTEST(AX217:BB217,AI217:AM217,2,2)</f>
        <v>0.26985836232111354</v>
      </c>
      <c r="CF217">
        <v>188</v>
      </c>
      <c r="CG217">
        <v>142</v>
      </c>
      <c r="CH217">
        <v>122</v>
      </c>
      <c r="CI217">
        <v>140</v>
      </c>
      <c r="CJ217">
        <f>0.05*CF217/464</f>
        <v>2.0258620689655175E-2</v>
      </c>
      <c r="CK217">
        <f>0.05*CG217/464</f>
        <v>1.5301724137931036E-2</v>
      </c>
      <c r="CL217">
        <f>0.05*CH217/464</f>
        <v>1.3146551724137933E-2</v>
      </c>
      <c r="CM217">
        <f>0.05*CI217/464</f>
        <v>1.5086206896551725E-2</v>
      </c>
      <c r="CN217" t="str">
        <f>IF(CB217&lt;CJ217,"yes","no")</f>
        <v>no</v>
      </c>
      <c r="CO217" t="str">
        <f>IF(CC217&lt;CK217,"yes","no")</f>
        <v>yes</v>
      </c>
      <c r="CP217" t="str">
        <f>IF(CD217&lt;CL217,"yes","no")</f>
        <v>no</v>
      </c>
      <c r="CQ217" t="str">
        <f>IF(CE217&lt;CM217,"yes","no")</f>
        <v>no</v>
      </c>
      <c r="CR217">
        <f>TTEST(AS217:AW217,AD217:AH217,2,2)</f>
        <v>4.0156683366075772E-2</v>
      </c>
      <c r="CS217">
        <f>TTEST(AS217:AW217,AN217:AR217,2,2)</f>
        <v>0.27105968521488183</v>
      </c>
      <c r="CT217">
        <f>TTEST(AS217:AW217,AX217:BB217,2,2)</f>
        <v>0.62693329461855374</v>
      </c>
      <c r="CU217">
        <v>223</v>
      </c>
      <c r="CV217">
        <v>208</v>
      </c>
      <c r="CW217">
        <v>216</v>
      </c>
      <c r="CX217">
        <f t="shared" si="9"/>
        <v>2.4030172413793103E-2</v>
      </c>
      <c r="CY217">
        <f t="shared" si="10"/>
        <v>2.2413793103448276E-2</v>
      </c>
      <c r="CZ217">
        <f t="shared" si="11"/>
        <v>2.3275862068965519E-2</v>
      </c>
      <c r="DA217" t="str">
        <f>IF(CR217&lt;CX217,"yes","no")</f>
        <v>no</v>
      </c>
      <c r="DB217" t="str">
        <f>IF(CS217&lt;CY217,"yes","no")</f>
        <v>no</v>
      </c>
      <c r="DC217" t="str">
        <f>IF(CT217&lt;CZ217,"yes","no")</f>
        <v>no</v>
      </c>
    </row>
    <row r="218" spans="1:107" x14ac:dyDescent="0.2">
      <c r="A218" s="2" t="b">
        <v>0</v>
      </c>
      <c r="B218" s="2" t="s">
        <v>79</v>
      </c>
      <c r="C218" s="2" t="s">
        <v>80</v>
      </c>
      <c r="D218" s="2" t="s">
        <v>939</v>
      </c>
      <c r="E218" s="2" t="s">
        <v>940</v>
      </c>
      <c r="F218" s="2">
        <v>2</v>
      </c>
      <c r="G218" s="2">
        <v>2</v>
      </c>
      <c r="H218" s="2">
        <v>39.700000000000003</v>
      </c>
      <c r="I218" s="2">
        <v>6.46</v>
      </c>
      <c r="J218" s="2" t="s">
        <v>941</v>
      </c>
      <c r="K218" s="2" t="s">
        <v>84</v>
      </c>
      <c r="L218" s="2" t="s">
        <v>119</v>
      </c>
      <c r="M218" s="2" t="s">
        <v>942</v>
      </c>
      <c r="N218" s="2" t="s">
        <v>939</v>
      </c>
      <c r="O218" s="2">
        <v>43.73</v>
      </c>
      <c r="P218" s="2">
        <v>0.60299999999999998</v>
      </c>
      <c r="Q218" s="2">
        <v>9.9250000000000007</v>
      </c>
      <c r="R218" s="2">
        <v>5.6000000000000001E-2</v>
      </c>
      <c r="S218" s="2">
        <v>1.5029999999999999</v>
      </c>
      <c r="T218" s="2">
        <v>0.16700000000000001</v>
      </c>
      <c r="U218" s="2">
        <v>0.50900000000000001</v>
      </c>
      <c r="V218" s="2">
        <v>0.111</v>
      </c>
      <c r="W218" s="2">
        <v>0.22700000000000001</v>
      </c>
      <c r="X218" s="2">
        <v>4.1639999999999997</v>
      </c>
      <c r="Y218" s="2">
        <v>25.2</v>
      </c>
      <c r="Z218" s="2">
        <v>155.1</v>
      </c>
      <c r="AA218" s="2">
        <v>233.1</v>
      </c>
      <c r="AB218" s="2">
        <v>36.200000000000003</v>
      </c>
      <c r="AC218" s="2">
        <v>50.4</v>
      </c>
      <c r="AD218" s="2">
        <v>285154.515625</v>
      </c>
      <c r="AE218" s="2">
        <v>237749.8203125</v>
      </c>
      <c r="AF218" s="2">
        <v>207034.99609375</v>
      </c>
      <c r="AG218" s="2">
        <v>304008.078125</v>
      </c>
      <c r="AH218" s="2">
        <v>282215.96875</v>
      </c>
      <c r="AI218" s="2" t="s">
        <v>83</v>
      </c>
      <c r="AJ218" s="2">
        <v>41540.03515625</v>
      </c>
      <c r="AK218" s="2">
        <v>15518.224609375</v>
      </c>
      <c r="AL218" s="2" t="s">
        <v>83</v>
      </c>
      <c r="AM218" s="2">
        <v>26444.701171875</v>
      </c>
      <c r="AN218" s="2" t="s">
        <v>83</v>
      </c>
      <c r="AO218" s="2" t="s">
        <v>83</v>
      </c>
      <c r="AP218" s="2">
        <v>58022.140625</v>
      </c>
      <c r="AQ218" s="2">
        <v>52361.3984375</v>
      </c>
      <c r="AR218" s="2">
        <v>55582.19140625</v>
      </c>
      <c r="AS218" s="2">
        <v>19079.139160156301</v>
      </c>
      <c r="AT218" s="2">
        <v>42259.9375</v>
      </c>
      <c r="AU218" s="2">
        <v>81199.04296875</v>
      </c>
      <c r="AV218" s="2">
        <v>53729.849609375</v>
      </c>
      <c r="AW218" s="2">
        <v>68941.181640625</v>
      </c>
      <c r="AX218" s="2">
        <v>24163.736328125</v>
      </c>
      <c r="AY218" s="2">
        <v>261357.34375</v>
      </c>
      <c r="AZ218" s="2">
        <v>29575.216796875</v>
      </c>
      <c r="BA218" s="2">
        <v>22753.224609375</v>
      </c>
      <c r="BB218" s="2">
        <v>42160.6953125</v>
      </c>
      <c r="BC218" s="2" t="s">
        <v>79</v>
      </c>
      <c r="BD218" s="2" t="s">
        <v>79</v>
      </c>
      <c r="BE218" s="2" t="s">
        <v>79</v>
      </c>
      <c r="BF218" s="2" t="s">
        <v>79</v>
      </c>
      <c r="BG218" s="2" t="s">
        <v>79</v>
      </c>
      <c r="BH218" s="2" t="s">
        <v>98</v>
      </c>
      <c r="BI218" s="2" t="s">
        <v>91</v>
      </c>
      <c r="BJ218" s="2" t="s">
        <v>91</v>
      </c>
      <c r="BK218" s="2" t="s">
        <v>98</v>
      </c>
      <c r="BL218" s="2" t="s">
        <v>91</v>
      </c>
      <c r="BM218" s="2" t="s">
        <v>98</v>
      </c>
      <c r="BN218" s="2" t="s">
        <v>98</v>
      </c>
      <c r="BO218" s="2" t="s">
        <v>91</v>
      </c>
      <c r="BP218" s="2" t="s">
        <v>91</v>
      </c>
      <c r="BQ218" s="2" t="s">
        <v>91</v>
      </c>
      <c r="BR218" s="2" t="s">
        <v>91</v>
      </c>
      <c r="BS218" s="2" t="s">
        <v>79</v>
      </c>
      <c r="BT218" s="2" t="s">
        <v>79</v>
      </c>
      <c r="BU218" s="2" t="s">
        <v>79</v>
      </c>
      <c r="BV218" s="2" t="s">
        <v>79</v>
      </c>
      <c r="BW218" s="2" t="s">
        <v>91</v>
      </c>
      <c r="BX218" s="2" t="s">
        <v>91</v>
      </c>
      <c r="BY218" s="2" t="s">
        <v>91</v>
      </c>
      <c r="BZ218" s="2" t="s">
        <v>91</v>
      </c>
      <c r="CA218" s="2" t="s">
        <v>91</v>
      </c>
      <c r="CB218">
        <f>TTEST(AS218:AW218,AI218:AM218,2,2)</f>
        <v>0.1520806218703894</v>
      </c>
      <c r="CC218">
        <f>TTEST(AD218:AH218,AI218:AM218,2,2)</f>
        <v>6.9692820148484631E-5</v>
      </c>
      <c r="CD218">
        <f>TTEST(AN218:AR218,AI218:AM218,2,2)</f>
        <v>2.3573712030382554E-2</v>
      </c>
      <c r="CE218">
        <f>TTEST(AX218:BB218,AI218:AM218,2,2)</f>
        <v>0.4680869627699169</v>
      </c>
      <c r="CF218">
        <v>161</v>
      </c>
      <c r="CG218">
        <v>108</v>
      </c>
      <c r="CH218">
        <v>110</v>
      </c>
      <c r="CI218">
        <v>157</v>
      </c>
      <c r="CJ218">
        <f>0.05*CF218/464</f>
        <v>1.7349137931034483E-2</v>
      </c>
      <c r="CK218">
        <f>0.05*CG218/464</f>
        <v>1.1637931034482759E-2</v>
      </c>
      <c r="CL218">
        <f>0.05*CH218/464</f>
        <v>1.1853448275862068E-2</v>
      </c>
      <c r="CM218">
        <f>0.05*CI218/464</f>
        <v>1.6918103448275865E-2</v>
      </c>
      <c r="CN218" t="str">
        <f>IF(CB218&lt;CJ218,"yes","no")</f>
        <v>no</v>
      </c>
      <c r="CO218" t="str">
        <f>IF(CC218&lt;CK218,"yes","no")</f>
        <v>yes</v>
      </c>
      <c r="CP218" t="str">
        <f>IF(CD218&lt;CL218,"yes","no")</f>
        <v>no</v>
      </c>
      <c r="CQ218" t="str">
        <f>IF(CE218&lt;CM218,"yes","no")</f>
        <v>no</v>
      </c>
      <c r="CR218">
        <f>TTEST(AS218:AW218,AD218:AH218,2,2)</f>
        <v>7.7616723153604805E-6</v>
      </c>
      <c r="CS218">
        <f>TTEST(AS218:AW218,AN218:AR218,2,2)</f>
        <v>0.87936226578069732</v>
      </c>
      <c r="CT218">
        <f>TTEST(AS218:AW218,AX218:BB218,2,2)</f>
        <v>0.64312444934745061</v>
      </c>
      <c r="CU218">
        <v>90</v>
      </c>
      <c r="CV218">
        <v>262</v>
      </c>
      <c r="CW218">
        <v>217</v>
      </c>
      <c r="CX218">
        <f t="shared" si="9"/>
        <v>9.6982758620689658E-3</v>
      </c>
      <c r="CY218">
        <f t="shared" si="10"/>
        <v>2.823275862068966E-2</v>
      </c>
      <c r="CZ218">
        <f t="shared" si="11"/>
        <v>2.3383620689655174E-2</v>
      </c>
      <c r="DA218" t="str">
        <f>IF(CR218&lt;CX218,"yes","no")</f>
        <v>yes</v>
      </c>
      <c r="DB218" t="str">
        <f>IF(CS218&lt;CY218,"yes","no")</f>
        <v>no</v>
      </c>
      <c r="DC218" t="str">
        <f>IF(CT218&lt;CZ218,"yes","no")</f>
        <v>no</v>
      </c>
    </row>
    <row r="219" spans="1:107" x14ac:dyDescent="0.2">
      <c r="A219" s="2" t="b">
        <v>0</v>
      </c>
      <c r="B219" s="2" t="s">
        <v>79</v>
      </c>
      <c r="C219" s="2" t="s">
        <v>80</v>
      </c>
      <c r="D219" s="2" t="s">
        <v>1036</v>
      </c>
      <c r="E219" s="2" t="s">
        <v>1037</v>
      </c>
      <c r="F219" s="2">
        <v>4</v>
      </c>
      <c r="G219" s="2">
        <v>4</v>
      </c>
      <c r="H219" s="2">
        <v>105.4</v>
      </c>
      <c r="I219" s="2">
        <v>5.39</v>
      </c>
      <c r="J219" s="2" t="s">
        <v>548</v>
      </c>
      <c r="K219" s="2" t="s">
        <v>145</v>
      </c>
      <c r="L219" s="2" t="s">
        <v>1038</v>
      </c>
      <c r="M219" s="2" t="s">
        <v>1039</v>
      </c>
      <c r="N219" s="2" t="s">
        <v>1036</v>
      </c>
      <c r="O219" s="2">
        <v>23.062999999999999</v>
      </c>
      <c r="P219" s="2">
        <v>1.9630000000000001</v>
      </c>
      <c r="Q219" s="2">
        <v>3.5089999999999999</v>
      </c>
      <c r="R219" s="2">
        <v>0.29599999999999999</v>
      </c>
      <c r="S219" s="2">
        <v>5.17</v>
      </c>
      <c r="T219" s="2">
        <v>0.47499999999999998</v>
      </c>
      <c r="U219" s="2">
        <v>1.137</v>
      </c>
      <c r="V219" s="2">
        <v>0.112</v>
      </c>
      <c r="W219" s="2">
        <v>0.2</v>
      </c>
      <c r="X219" s="2">
        <v>2.37</v>
      </c>
      <c r="Y219" s="2">
        <v>7.7</v>
      </c>
      <c r="Z219" s="2">
        <v>39.299999999999997</v>
      </c>
      <c r="AA219" s="2">
        <v>390.4</v>
      </c>
      <c r="AB219" s="2">
        <v>25.3</v>
      </c>
      <c r="AC219" s="2">
        <v>37.4</v>
      </c>
      <c r="AD219" s="2">
        <v>61939.9140625</v>
      </c>
      <c r="AE219" s="2" t="s">
        <v>83</v>
      </c>
      <c r="AF219" s="2" t="s">
        <v>83</v>
      </c>
      <c r="AG219" s="2">
        <v>120174.84375</v>
      </c>
      <c r="AH219" s="2" t="s">
        <v>83</v>
      </c>
      <c r="AI219" s="2">
        <v>7016.115234375</v>
      </c>
      <c r="AJ219" s="2" t="s">
        <v>83</v>
      </c>
      <c r="AK219" s="2" t="s">
        <v>83</v>
      </c>
      <c r="AL219" s="2">
        <v>27796.6787109375</v>
      </c>
      <c r="AM219" s="2">
        <v>6389.40966796875</v>
      </c>
      <c r="AN219" s="2">
        <v>69915.9580078125</v>
      </c>
      <c r="AO219" s="2">
        <v>70831.1845703125</v>
      </c>
      <c r="AP219" s="2">
        <v>75935.1689453125</v>
      </c>
      <c r="AQ219" s="2">
        <v>81811.3154296875</v>
      </c>
      <c r="AR219" s="2">
        <v>97311.3525390625</v>
      </c>
      <c r="AS219" s="2" t="s">
        <v>83</v>
      </c>
      <c r="AT219" s="2" t="s">
        <v>83</v>
      </c>
      <c r="AU219" s="2">
        <v>66537.091796875</v>
      </c>
      <c r="AV219" s="2">
        <v>17829.865234375</v>
      </c>
      <c r="AW219" s="2" t="s">
        <v>83</v>
      </c>
      <c r="AX219" s="2">
        <v>18904.328125</v>
      </c>
      <c r="AY219" s="2">
        <v>415248.3125</v>
      </c>
      <c r="AZ219" s="2" t="s">
        <v>83</v>
      </c>
      <c r="BA219" s="2">
        <v>12320.8466796875</v>
      </c>
      <c r="BB219" s="2">
        <v>16377.1455078125</v>
      </c>
      <c r="BC219" s="2" t="s">
        <v>91</v>
      </c>
      <c r="BD219" s="2" t="s">
        <v>91</v>
      </c>
      <c r="BE219" s="2" t="s">
        <v>91</v>
      </c>
      <c r="BF219" s="2" t="s">
        <v>91</v>
      </c>
      <c r="BG219" s="2" t="s">
        <v>91</v>
      </c>
      <c r="BH219" s="2" t="s">
        <v>91</v>
      </c>
      <c r="BI219" s="2" t="s">
        <v>91</v>
      </c>
      <c r="BJ219" s="2" t="s">
        <v>91</v>
      </c>
      <c r="BK219" s="2" t="s">
        <v>79</v>
      </c>
      <c r="BL219" s="2" t="s">
        <v>91</v>
      </c>
      <c r="BM219" s="2" t="s">
        <v>79</v>
      </c>
      <c r="BN219" s="2" t="s">
        <v>91</v>
      </c>
      <c r="BO219" s="2" t="s">
        <v>79</v>
      </c>
      <c r="BP219" s="2" t="s">
        <v>79</v>
      </c>
      <c r="BQ219" s="2" t="s">
        <v>79</v>
      </c>
      <c r="BR219" s="2" t="s">
        <v>91</v>
      </c>
      <c r="BS219" s="2" t="s">
        <v>91</v>
      </c>
      <c r="BT219" s="2" t="s">
        <v>91</v>
      </c>
      <c r="BU219" s="2" t="s">
        <v>91</v>
      </c>
      <c r="BV219" s="2" t="s">
        <v>91</v>
      </c>
      <c r="BW219" s="2" t="s">
        <v>91</v>
      </c>
      <c r="BX219" s="2" t="s">
        <v>91</v>
      </c>
      <c r="BY219" s="2" t="s">
        <v>98</v>
      </c>
      <c r="BZ219" s="2" t="s">
        <v>91</v>
      </c>
      <c r="CA219" s="2" t="s">
        <v>91</v>
      </c>
      <c r="CB219">
        <f>TTEST(AS219:AW219,AI219:AM219,2,2)</f>
        <v>0.25555523419947773</v>
      </c>
      <c r="CC219">
        <f>TTEST(AD219:AH219,AI219:AM219,2,2)</f>
        <v>4.6191360754454854E-2</v>
      </c>
      <c r="CD219">
        <f>TTEST(AN219:AR219,AI219:AM219,2,2)</f>
        <v>2.3986179204484596E-4</v>
      </c>
      <c r="CE219">
        <f>TTEST(AX219:BB219,AI219:AM219,2,2)</f>
        <v>0.42805192880678083</v>
      </c>
      <c r="CF219">
        <v>172</v>
      </c>
      <c r="CG219">
        <v>177</v>
      </c>
      <c r="CH219">
        <v>58</v>
      </c>
      <c r="CI219">
        <v>151</v>
      </c>
      <c r="CJ219">
        <f>0.05*CF219/464</f>
        <v>1.8534482758620689E-2</v>
      </c>
      <c r="CK219">
        <f>0.05*CG219/464</f>
        <v>1.9073275862068965E-2</v>
      </c>
      <c r="CL219">
        <f>0.05*CH219/464</f>
        <v>6.2500000000000003E-3</v>
      </c>
      <c r="CM219">
        <f>0.05*CI219/464</f>
        <v>1.6271551724137932E-2</v>
      </c>
      <c r="CN219" t="str">
        <f>IF(CB219&lt;CJ219,"yes","no")</f>
        <v>no</v>
      </c>
      <c r="CO219" t="str">
        <f>IF(CC219&lt;CK219,"yes","no")</f>
        <v>no</v>
      </c>
      <c r="CP219" t="str">
        <f>IF(CD219&lt;CL219,"yes","no")</f>
        <v>yes</v>
      </c>
      <c r="CQ219" t="str">
        <f>IF(CE219&lt;CM219,"yes","no")</f>
        <v>no</v>
      </c>
      <c r="CR219">
        <f>TTEST(AS219:AW219,AD219:AH219,2,2)</f>
        <v>0.32678972554363062</v>
      </c>
      <c r="CS219">
        <f>TTEST(AS219:AW219,AN219:AR219,2,2)</f>
        <v>6.1206457516563242E-2</v>
      </c>
      <c r="CT219">
        <f>TTEST(AS219:AW219,AX219:BB219,2,2)</f>
        <v>0.65077101011637073</v>
      </c>
      <c r="CU219">
        <v>284</v>
      </c>
      <c r="CV219">
        <v>170</v>
      </c>
      <c r="CW219">
        <v>218</v>
      </c>
      <c r="CX219">
        <f t="shared" si="9"/>
        <v>3.0603448275862071E-2</v>
      </c>
      <c r="CY219">
        <f t="shared" si="10"/>
        <v>1.8318965517241378E-2</v>
      </c>
      <c r="CZ219">
        <f t="shared" si="11"/>
        <v>2.3491379310344829E-2</v>
      </c>
      <c r="DA219" t="str">
        <f>IF(CR219&lt;CX219,"yes","no")</f>
        <v>no</v>
      </c>
      <c r="DB219" t="str">
        <f>IF(CS219&lt;CY219,"yes","no")</f>
        <v>no</v>
      </c>
      <c r="DC219" t="str">
        <f>IF(CT219&lt;CZ219,"yes","no")</f>
        <v>no</v>
      </c>
    </row>
    <row r="220" spans="1:107" x14ac:dyDescent="0.2">
      <c r="A220" s="2" t="b">
        <v>0</v>
      </c>
      <c r="B220" s="2" t="s">
        <v>79</v>
      </c>
      <c r="C220" s="2" t="s">
        <v>80</v>
      </c>
      <c r="D220" s="2" t="s">
        <v>295</v>
      </c>
      <c r="E220" s="2" t="s">
        <v>296</v>
      </c>
      <c r="F220" s="2">
        <v>11</v>
      </c>
      <c r="G220" s="2">
        <v>11</v>
      </c>
      <c r="H220" s="2">
        <v>58.9</v>
      </c>
      <c r="I220" s="2">
        <v>7.62</v>
      </c>
      <c r="J220" s="2" t="s">
        <v>83</v>
      </c>
      <c r="K220" s="2" t="s">
        <v>83</v>
      </c>
      <c r="L220" s="2" t="s">
        <v>83</v>
      </c>
      <c r="M220" s="2" t="s">
        <v>83</v>
      </c>
      <c r="N220" s="2" t="s">
        <v>295</v>
      </c>
      <c r="O220" s="2">
        <v>1.778</v>
      </c>
      <c r="P220" s="2">
        <v>0.19400000000000001</v>
      </c>
      <c r="Q220" s="2">
        <v>0.53500000000000003</v>
      </c>
      <c r="R220" s="2">
        <v>4.6280000000000001</v>
      </c>
      <c r="S220" s="2">
        <v>5.3559999999999999</v>
      </c>
      <c r="T220" s="2">
        <v>0.67200000000000004</v>
      </c>
      <c r="U220" s="2">
        <v>3.081</v>
      </c>
      <c r="V220" s="2">
        <v>0.124</v>
      </c>
      <c r="W220" s="2">
        <v>0.45</v>
      </c>
      <c r="X220" s="2">
        <v>2.88</v>
      </c>
      <c r="Y220" s="2">
        <v>156.30000000000001</v>
      </c>
      <c r="Z220" s="2">
        <v>5.4</v>
      </c>
      <c r="AA220" s="2">
        <v>239.3</v>
      </c>
      <c r="AB220" s="2">
        <v>24.4</v>
      </c>
      <c r="AC220" s="2">
        <v>74.599999999999994</v>
      </c>
      <c r="AD220" s="2">
        <v>18963366.052734401</v>
      </c>
      <c r="AE220" s="2">
        <v>14231410.947265601</v>
      </c>
      <c r="AF220" s="2">
        <v>13069564.046875</v>
      </c>
      <c r="AG220" s="2">
        <v>15619572.6953125</v>
      </c>
      <c r="AH220" s="2">
        <v>13843676.078125</v>
      </c>
      <c r="AI220" s="2">
        <v>9024.99951171875</v>
      </c>
      <c r="AJ220" s="2">
        <v>70562.721923828096</v>
      </c>
      <c r="AK220" s="2">
        <v>5843.3522949218795</v>
      </c>
      <c r="AL220" s="2">
        <v>34191.860839843801</v>
      </c>
      <c r="AM220" s="2">
        <v>8549.205078125</v>
      </c>
      <c r="AN220" s="2">
        <v>422079.57519531302</v>
      </c>
      <c r="AO220" s="2">
        <v>447887.45214843802</v>
      </c>
      <c r="AP220" s="2">
        <v>440265.6796875</v>
      </c>
      <c r="AQ220" s="2">
        <v>401427.763671875</v>
      </c>
      <c r="AR220" s="2">
        <v>586122.126953125</v>
      </c>
      <c r="AS220" s="2">
        <v>344282.416015625</v>
      </c>
      <c r="AT220" s="2">
        <v>533486.466796875</v>
      </c>
      <c r="AU220" s="2">
        <v>288455.16113281302</v>
      </c>
      <c r="AV220" s="2">
        <v>303939.72216796898</v>
      </c>
      <c r="AW220" s="2">
        <v>379313.21533203102</v>
      </c>
      <c r="AX220" s="2">
        <v>322450.1171875</v>
      </c>
      <c r="AY220" s="2">
        <v>363357.95800781302</v>
      </c>
      <c r="AZ220" s="2">
        <v>548547.53125</v>
      </c>
      <c r="BA220" s="2">
        <v>405830.716796875</v>
      </c>
      <c r="BB220" s="2">
        <v>340445.458984375</v>
      </c>
      <c r="BC220" s="2" t="s">
        <v>79</v>
      </c>
      <c r="BD220" s="2" t="s">
        <v>79</v>
      </c>
      <c r="BE220" s="2" t="s">
        <v>79</v>
      </c>
      <c r="BF220" s="2" t="s">
        <v>79</v>
      </c>
      <c r="BG220" s="2" t="s">
        <v>79</v>
      </c>
      <c r="BH220" s="2" t="s">
        <v>91</v>
      </c>
      <c r="BI220" s="2" t="s">
        <v>91</v>
      </c>
      <c r="BJ220" s="2" t="s">
        <v>91</v>
      </c>
      <c r="BK220" s="2" t="s">
        <v>91</v>
      </c>
      <c r="BL220" s="2" t="s">
        <v>91</v>
      </c>
      <c r="BM220" s="2" t="s">
        <v>79</v>
      </c>
      <c r="BN220" s="2" t="s">
        <v>79</v>
      </c>
      <c r="BO220" s="2" t="s">
        <v>79</v>
      </c>
      <c r="BP220" s="2" t="s">
        <v>79</v>
      </c>
      <c r="BQ220" s="2" t="s">
        <v>79</v>
      </c>
      <c r="BR220" s="2" t="s">
        <v>79</v>
      </c>
      <c r="BS220" s="2" t="s">
        <v>79</v>
      </c>
      <c r="BT220" s="2" t="s">
        <v>79</v>
      </c>
      <c r="BU220" s="2" t="s">
        <v>79</v>
      </c>
      <c r="BV220" s="2" t="s">
        <v>79</v>
      </c>
      <c r="BW220" s="2" t="s">
        <v>79</v>
      </c>
      <c r="BX220" s="2" t="s">
        <v>79</v>
      </c>
      <c r="BY220" s="2" t="s">
        <v>79</v>
      </c>
      <c r="BZ220" s="2" t="s">
        <v>79</v>
      </c>
      <c r="CA220" s="2" t="s">
        <v>79</v>
      </c>
      <c r="CB220">
        <f>TTEST(AS220:AW220,AI220:AM220,2,2)</f>
        <v>6.5845469677104125E-5</v>
      </c>
      <c r="CC220">
        <f>TTEST(AD220:AH220,AI220:AM220,2,2)</f>
        <v>4.9193165684696292E-7</v>
      </c>
      <c r="CD220">
        <f>TTEST(AN220:AR220,AI220:AM220,2,2)</f>
        <v>1.6357687472937653E-6</v>
      </c>
      <c r="CE220">
        <f>TTEST(AX220:BB220,AI220:AM220,2,2)</f>
        <v>2.3072215885550226E-5</v>
      </c>
      <c r="CF220">
        <v>57</v>
      </c>
      <c r="CG220">
        <v>42</v>
      </c>
      <c r="CH220">
        <v>10</v>
      </c>
      <c r="CI220">
        <v>32</v>
      </c>
      <c r="CJ220">
        <f>0.05*CF220/464</f>
        <v>6.142241379310345E-3</v>
      </c>
      <c r="CK220">
        <f>0.05*CG220/464</f>
        <v>4.5258620689655176E-3</v>
      </c>
      <c r="CL220">
        <f>0.05*CH220/464</f>
        <v>1.0775862068965517E-3</v>
      </c>
      <c r="CM220">
        <f>0.05*CI220/464</f>
        <v>3.4482758620689659E-3</v>
      </c>
      <c r="CN220" t="str">
        <f>IF(CB220&lt;CJ220,"yes","no")</f>
        <v>yes</v>
      </c>
      <c r="CO220" t="str">
        <f>IF(CC220&lt;CK220,"yes","no")</f>
        <v>yes</v>
      </c>
      <c r="CP220" t="str">
        <f>IF(CD220&lt;CL220,"yes","no")</f>
        <v>yes</v>
      </c>
      <c r="CQ220" t="str">
        <f>IF(CE220&lt;CM220,"yes","no")</f>
        <v>yes</v>
      </c>
      <c r="CR220">
        <f>TTEST(AS220:AW220,AD220:AH220,2,2)</f>
        <v>5.9153662780204899E-7</v>
      </c>
      <c r="CS220">
        <f>TTEST(AS220:AW220,AN220:AR220,2,2)</f>
        <v>0.13969532839080848</v>
      </c>
      <c r="CT220">
        <f>TTEST(AS220:AW220,AX220:BB220,2,2)</f>
        <v>0.6723046309104036</v>
      </c>
      <c r="CU220">
        <v>40</v>
      </c>
      <c r="CV220">
        <v>189</v>
      </c>
      <c r="CW220">
        <v>219</v>
      </c>
      <c r="CX220">
        <f t="shared" si="9"/>
        <v>4.3103448275862068E-3</v>
      </c>
      <c r="CY220">
        <f t="shared" si="10"/>
        <v>2.036637931034483E-2</v>
      </c>
      <c r="CZ220">
        <f t="shared" si="11"/>
        <v>2.3599137931034485E-2</v>
      </c>
      <c r="DA220" t="str">
        <f>IF(CR220&lt;CX220,"yes","no")</f>
        <v>yes</v>
      </c>
      <c r="DB220" t="str">
        <f>IF(CS220&lt;CY220,"yes","no")</f>
        <v>no</v>
      </c>
      <c r="DC220" t="str">
        <f>IF(CT220&lt;CZ220,"yes","no")</f>
        <v>no</v>
      </c>
    </row>
    <row r="221" spans="1:107" x14ac:dyDescent="0.2">
      <c r="A221" s="2" t="b">
        <v>0</v>
      </c>
      <c r="B221" s="2" t="s">
        <v>79</v>
      </c>
      <c r="C221" s="2" t="s">
        <v>80</v>
      </c>
      <c r="D221" s="2" t="s">
        <v>663</v>
      </c>
      <c r="E221" s="2" t="s">
        <v>664</v>
      </c>
      <c r="F221" s="2">
        <v>6</v>
      </c>
      <c r="G221" s="2">
        <v>6</v>
      </c>
      <c r="H221" s="2">
        <v>44.6</v>
      </c>
      <c r="I221" s="2">
        <v>4.9800000000000004</v>
      </c>
      <c r="J221" s="2" t="s">
        <v>135</v>
      </c>
      <c r="K221" s="2" t="s">
        <v>84</v>
      </c>
      <c r="L221" s="2" t="s">
        <v>102</v>
      </c>
      <c r="M221" s="2" t="s">
        <v>665</v>
      </c>
      <c r="N221" s="2" t="s">
        <v>666</v>
      </c>
      <c r="O221" s="2">
        <v>2.6829999999999998</v>
      </c>
      <c r="P221" s="2">
        <v>0.64200000000000002</v>
      </c>
      <c r="Q221" s="2">
        <v>13.028</v>
      </c>
      <c r="R221" s="2">
        <v>1.395</v>
      </c>
      <c r="S221" s="2">
        <v>5.7720000000000002</v>
      </c>
      <c r="T221" s="2">
        <v>0.57299999999999995</v>
      </c>
      <c r="U221" s="2" t="s">
        <v>83</v>
      </c>
      <c r="V221" s="2">
        <v>0.187</v>
      </c>
      <c r="W221" s="2" t="s">
        <v>83</v>
      </c>
      <c r="X221" s="2">
        <v>66.662999999999997</v>
      </c>
      <c r="Y221" s="2">
        <v>120.2</v>
      </c>
      <c r="Z221" s="2">
        <v>18.7</v>
      </c>
      <c r="AA221" s="2">
        <v>161.1</v>
      </c>
      <c r="AB221" s="2">
        <v>41.2</v>
      </c>
      <c r="AC221" s="2">
        <v>158.80000000000001</v>
      </c>
      <c r="AD221" s="2">
        <v>1335753.6640625</v>
      </c>
      <c r="AE221" s="2">
        <v>1139300.9609375</v>
      </c>
      <c r="AF221" s="2">
        <v>1130627.9140625</v>
      </c>
      <c r="AG221" s="2">
        <v>877783.6484375</v>
      </c>
      <c r="AH221" s="2">
        <v>862031.3828125</v>
      </c>
      <c r="AI221" s="2">
        <v>3706.15942382813</v>
      </c>
      <c r="AJ221" s="2">
        <v>3904.59204101563</v>
      </c>
      <c r="AK221" s="2" t="s">
        <v>83</v>
      </c>
      <c r="AL221" s="2">
        <v>5340.7705078125</v>
      </c>
      <c r="AM221" s="2">
        <v>4295.5380859375</v>
      </c>
      <c r="AN221" s="2">
        <v>42965.283203125</v>
      </c>
      <c r="AO221" s="2">
        <v>19839.5185546875</v>
      </c>
      <c r="AP221" s="2">
        <v>36930.673339843801</v>
      </c>
      <c r="AQ221" s="2">
        <v>36758.5693359375</v>
      </c>
      <c r="AR221" s="2">
        <v>33068.898925781301</v>
      </c>
      <c r="AS221" s="2">
        <v>37251.424316406301</v>
      </c>
      <c r="AT221" s="2">
        <v>113846.486328125</v>
      </c>
      <c r="AU221" s="2">
        <v>102718.88378906299</v>
      </c>
      <c r="AV221" s="2">
        <v>57686.65234375</v>
      </c>
      <c r="AW221" s="2">
        <v>51771.362548828103</v>
      </c>
      <c r="AX221" s="2">
        <v>74901.125</v>
      </c>
      <c r="AY221" s="2" t="s">
        <v>83</v>
      </c>
      <c r="AZ221" s="2" t="s">
        <v>83</v>
      </c>
      <c r="BA221" s="2">
        <v>89617.6875</v>
      </c>
      <c r="BB221" s="2">
        <v>20264.78125</v>
      </c>
      <c r="BC221" s="2" t="s">
        <v>79</v>
      </c>
      <c r="BD221" s="2" t="s">
        <v>79</v>
      </c>
      <c r="BE221" s="2" t="s">
        <v>79</v>
      </c>
      <c r="BF221" s="2" t="s">
        <v>79</v>
      </c>
      <c r="BG221" s="2" t="s">
        <v>79</v>
      </c>
      <c r="BH221" s="2" t="s">
        <v>91</v>
      </c>
      <c r="BI221" s="2" t="s">
        <v>91</v>
      </c>
      <c r="BJ221" s="2" t="s">
        <v>91</v>
      </c>
      <c r="BK221" s="2" t="s">
        <v>91</v>
      </c>
      <c r="BL221" s="2" t="s">
        <v>91</v>
      </c>
      <c r="BM221" s="2" t="s">
        <v>91</v>
      </c>
      <c r="BN221" s="2" t="s">
        <v>91</v>
      </c>
      <c r="BO221" s="2" t="s">
        <v>91</v>
      </c>
      <c r="BP221" s="2" t="s">
        <v>91</v>
      </c>
      <c r="BQ221" s="2" t="s">
        <v>91</v>
      </c>
      <c r="BR221" s="2" t="s">
        <v>91</v>
      </c>
      <c r="BS221" s="2" t="s">
        <v>91</v>
      </c>
      <c r="BT221" s="2" t="s">
        <v>91</v>
      </c>
      <c r="BU221" s="2" t="s">
        <v>91</v>
      </c>
      <c r="BV221" s="2" t="s">
        <v>91</v>
      </c>
      <c r="BW221" s="2" t="s">
        <v>91</v>
      </c>
      <c r="BX221" s="2" t="s">
        <v>91</v>
      </c>
      <c r="BY221" s="2" t="s">
        <v>98</v>
      </c>
      <c r="BZ221" s="2" t="s">
        <v>91</v>
      </c>
      <c r="CA221" s="2" t="s">
        <v>91</v>
      </c>
      <c r="CB221">
        <f>TTEST(AS221:AW221,AI221:AM221,2,2)</f>
        <v>5.1165918948912854E-3</v>
      </c>
      <c r="CC221">
        <f>TTEST(AD221:AH221,AI221:AM221,2,2)</f>
        <v>1.5282437076659916E-5</v>
      </c>
      <c r="CD221">
        <f>TTEST(AN221:AR221,AI221:AM221,2,2)</f>
        <v>2.6601485425596861E-4</v>
      </c>
      <c r="CE221">
        <f>TTEST(AX221:BB221,AI221:AM221,2,2)</f>
        <v>2.2839348039443111E-2</v>
      </c>
      <c r="CF221">
        <v>126</v>
      </c>
      <c r="CG221">
        <v>84</v>
      </c>
      <c r="CH221">
        <v>60</v>
      </c>
      <c r="CI221">
        <v>94</v>
      </c>
      <c r="CJ221">
        <f>0.05*CF221/464</f>
        <v>1.3577586206896553E-2</v>
      </c>
      <c r="CK221">
        <f>0.05*CG221/464</f>
        <v>9.0517241379310352E-3</v>
      </c>
      <c r="CL221">
        <f>0.05*CH221/464</f>
        <v>6.4655172413793103E-3</v>
      </c>
      <c r="CM221">
        <f>0.05*CI221/464</f>
        <v>1.0129310344827587E-2</v>
      </c>
      <c r="CN221" t="str">
        <f>IF(CB221&lt;CJ221,"yes","no")</f>
        <v>yes</v>
      </c>
      <c r="CO221" t="str">
        <f>IF(CC221&lt;CK221,"yes","no")</f>
        <v>yes</v>
      </c>
      <c r="CP221" t="str">
        <f>IF(CD221&lt;CL221,"yes","no")</f>
        <v>yes</v>
      </c>
      <c r="CQ221" t="str">
        <f>IF(CE221&lt;CM221,"yes","no")</f>
        <v>no</v>
      </c>
      <c r="CR221">
        <f>TTEST(AS221:AW221,AD221:AH221,2,2)</f>
        <v>4.1198535806909958E-6</v>
      </c>
      <c r="CS221">
        <f>TTEST(AS221:AW221,AN221:AR221,2,2)</f>
        <v>3.7076632803386932E-2</v>
      </c>
      <c r="CT221">
        <f>TTEST(AS221:AW221,AX221:BB221,2,2)</f>
        <v>0.67694242818926309</v>
      </c>
      <c r="CU221">
        <v>77</v>
      </c>
      <c r="CV221">
        <v>158</v>
      </c>
      <c r="CW221">
        <v>220</v>
      </c>
      <c r="CX221">
        <f t="shared" si="9"/>
        <v>8.2974137931034492E-3</v>
      </c>
      <c r="CY221">
        <f t="shared" si="10"/>
        <v>1.7025862068965517E-2</v>
      </c>
      <c r="CZ221">
        <f t="shared" si="11"/>
        <v>2.3706896551724137E-2</v>
      </c>
      <c r="DA221" t="str">
        <f>IF(CR221&lt;CX221,"yes","no")</f>
        <v>yes</v>
      </c>
      <c r="DB221" t="str">
        <f>IF(CS221&lt;CY221,"yes","no")</f>
        <v>no</v>
      </c>
      <c r="DC221" t="str">
        <f>IF(CT221&lt;CZ221,"yes","no")</f>
        <v>no</v>
      </c>
    </row>
    <row r="222" spans="1:107" x14ac:dyDescent="0.2">
      <c r="A222" s="2" t="b">
        <v>0</v>
      </c>
      <c r="B222" s="2" t="s">
        <v>79</v>
      </c>
      <c r="C222" s="2" t="s">
        <v>80</v>
      </c>
      <c r="D222" s="2" t="s">
        <v>125</v>
      </c>
      <c r="E222" s="2" t="s">
        <v>126</v>
      </c>
      <c r="F222" s="2">
        <v>39</v>
      </c>
      <c r="G222" s="2">
        <v>39</v>
      </c>
      <c r="H222" s="2">
        <v>252.9</v>
      </c>
      <c r="I222" s="2">
        <v>6.09</v>
      </c>
      <c r="J222" s="2" t="s">
        <v>127</v>
      </c>
      <c r="K222" s="2" t="s">
        <v>128</v>
      </c>
      <c r="L222" s="2" t="s">
        <v>119</v>
      </c>
      <c r="M222" s="2" t="s">
        <v>83</v>
      </c>
      <c r="N222" s="2" t="s">
        <v>125</v>
      </c>
      <c r="O222" s="2">
        <v>2.6219999999999999</v>
      </c>
      <c r="P222" s="2">
        <v>0.17499999999999999</v>
      </c>
      <c r="Q222" s="2">
        <v>0.58499999999999996</v>
      </c>
      <c r="R222" s="2">
        <v>5.1050000000000004</v>
      </c>
      <c r="S222" s="2">
        <v>12.108000000000001</v>
      </c>
      <c r="T222" s="2">
        <v>1.1120000000000001</v>
      </c>
      <c r="U222" s="2">
        <v>1.4970000000000001</v>
      </c>
      <c r="V222" s="2">
        <v>7.4999999999999997E-2</v>
      </c>
      <c r="W222" s="2">
        <v>0.26500000000000001</v>
      </c>
      <c r="X222" s="2">
        <v>3.2770000000000001</v>
      </c>
      <c r="Y222" s="2">
        <v>128</v>
      </c>
      <c r="Z222" s="2">
        <v>5.7</v>
      </c>
      <c r="AA222" s="2">
        <v>287</v>
      </c>
      <c r="AB222" s="2">
        <v>21</v>
      </c>
      <c r="AC222" s="2">
        <v>58.2</v>
      </c>
      <c r="AD222" s="2">
        <v>29009376.019531298</v>
      </c>
      <c r="AE222" s="2">
        <v>22878746.759765599</v>
      </c>
      <c r="AF222" s="2">
        <v>23729811.494140599</v>
      </c>
      <c r="AG222" s="2">
        <v>28532461.746093798</v>
      </c>
      <c r="AH222" s="2">
        <v>25004820.666015599</v>
      </c>
      <c r="AI222" s="2">
        <v>30249.132324218801</v>
      </c>
      <c r="AJ222" s="2">
        <v>5977.06640625</v>
      </c>
      <c r="AK222" s="2">
        <v>19551.9921875</v>
      </c>
      <c r="AL222" s="2">
        <v>54820.0595703125</v>
      </c>
      <c r="AM222" s="2">
        <v>12980.8955078125</v>
      </c>
      <c r="AN222" s="2">
        <v>814488.87011718797</v>
      </c>
      <c r="AO222" s="2">
        <v>1079881.4072265599</v>
      </c>
      <c r="AP222" s="2">
        <v>1100062.5300292999</v>
      </c>
      <c r="AQ222" s="2">
        <v>1278979.2421875</v>
      </c>
      <c r="AR222" s="2">
        <v>1443381.0839843799</v>
      </c>
      <c r="AS222" s="2">
        <v>525770.58984375</v>
      </c>
      <c r="AT222" s="2">
        <v>1069283.3193359401</v>
      </c>
      <c r="AU222" s="2">
        <v>609903.15087890602</v>
      </c>
      <c r="AV222" s="2">
        <v>600822.97753906297</v>
      </c>
      <c r="AW222" s="2">
        <v>506334.58276367199</v>
      </c>
      <c r="AX222" s="2">
        <v>521197.59667968802</v>
      </c>
      <c r="AY222" s="2">
        <v>577647.73388671898</v>
      </c>
      <c r="AZ222" s="2">
        <v>691514.28637695301</v>
      </c>
      <c r="BA222" s="2">
        <v>572800.06640625</v>
      </c>
      <c r="BB222" s="2">
        <v>715093.08496093797</v>
      </c>
      <c r="BC222" s="2" t="s">
        <v>79</v>
      </c>
      <c r="BD222" s="2" t="s">
        <v>79</v>
      </c>
      <c r="BE222" s="2" t="s">
        <v>79</v>
      </c>
      <c r="BF222" s="2" t="s">
        <v>79</v>
      </c>
      <c r="BG222" s="2" t="s">
        <v>79</v>
      </c>
      <c r="BH222" s="2" t="s">
        <v>91</v>
      </c>
      <c r="BI222" s="2" t="s">
        <v>91</v>
      </c>
      <c r="BJ222" s="2" t="s">
        <v>91</v>
      </c>
      <c r="BK222" s="2" t="s">
        <v>91</v>
      </c>
      <c r="BL222" s="2" t="s">
        <v>91</v>
      </c>
      <c r="BM222" s="2" t="s">
        <v>79</v>
      </c>
      <c r="BN222" s="2" t="s">
        <v>79</v>
      </c>
      <c r="BO222" s="2" t="s">
        <v>79</v>
      </c>
      <c r="BP222" s="2" t="s">
        <v>79</v>
      </c>
      <c r="BQ222" s="2" t="s">
        <v>79</v>
      </c>
      <c r="BR222" s="2" t="s">
        <v>91</v>
      </c>
      <c r="BS222" s="2" t="s">
        <v>79</v>
      </c>
      <c r="BT222" s="2" t="s">
        <v>91</v>
      </c>
      <c r="BU222" s="2" t="s">
        <v>91</v>
      </c>
      <c r="BV222" s="2" t="s">
        <v>91</v>
      </c>
      <c r="BW222" s="2" t="s">
        <v>91</v>
      </c>
      <c r="BX222" s="2" t="s">
        <v>91</v>
      </c>
      <c r="BY222" s="2" t="s">
        <v>79</v>
      </c>
      <c r="BZ222" s="2" t="s">
        <v>91</v>
      </c>
      <c r="CA222" s="2" t="s">
        <v>91</v>
      </c>
      <c r="CB222">
        <f>TTEST(AS222:AW222,AI222:AM222,2,2)</f>
        <v>2.8064522695246457E-4</v>
      </c>
      <c r="CC222">
        <f>TTEST(AD222:AH222,AI222:AM222,2,2)</f>
        <v>3.1599786904812727E-8</v>
      </c>
      <c r="CD222">
        <f>TTEST(AN222:AR222,AI222:AM222,2,2)</f>
        <v>5.5947130443227368E-6</v>
      </c>
      <c r="CE222">
        <f>TTEST(AX222:BB222,AI222:AM222,2,2)</f>
        <v>3.0798276743689177E-7</v>
      </c>
      <c r="CF222">
        <v>85</v>
      </c>
      <c r="CG222">
        <v>10</v>
      </c>
      <c r="CH222">
        <v>17</v>
      </c>
      <c r="CI222">
        <v>9</v>
      </c>
      <c r="CJ222">
        <f>0.05*CF222/464</f>
        <v>9.1594827586206889E-3</v>
      </c>
      <c r="CK222">
        <f>0.05*CG222/464</f>
        <v>1.0775862068965517E-3</v>
      </c>
      <c r="CL222">
        <f>0.05*CH222/464</f>
        <v>1.8318965517241381E-3</v>
      </c>
      <c r="CM222">
        <f>0.05*CI222/464</f>
        <v>9.6982758620689654E-4</v>
      </c>
      <c r="CN222" t="str">
        <f>IF(CB222&lt;CJ222,"yes","no")</f>
        <v>yes</v>
      </c>
      <c r="CO222" t="str">
        <f>IF(CC222&lt;CK222,"yes","no")</f>
        <v>yes</v>
      </c>
      <c r="CP222" t="str">
        <f>IF(CD222&lt;CL222,"yes","no")</f>
        <v>yes</v>
      </c>
      <c r="CQ222" t="str">
        <f>IF(CE222&lt;CM222,"yes","no")</f>
        <v>yes</v>
      </c>
      <c r="CR222">
        <f>TTEST(AS222:AW222,AD222:AH222,2,2)</f>
        <v>3.9517201003502214E-8</v>
      </c>
      <c r="CS222">
        <f>TTEST(AS222:AW222,AN222:AR222,2,2)</f>
        <v>1.1676943386219411E-2</v>
      </c>
      <c r="CT222">
        <f>TTEST(AS222:AW222,AX222:BB222,2,2)</f>
        <v>0.68249014453303691</v>
      </c>
      <c r="CU222">
        <v>8</v>
      </c>
      <c r="CV222">
        <v>134</v>
      </c>
      <c r="CW222">
        <v>221</v>
      </c>
      <c r="CX222">
        <f t="shared" si="9"/>
        <v>8.6206896551724148E-4</v>
      </c>
      <c r="CY222">
        <f t="shared" si="10"/>
        <v>1.4439655172413794E-2</v>
      </c>
      <c r="CZ222">
        <f t="shared" si="11"/>
        <v>2.3814655172413796E-2</v>
      </c>
      <c r="DA222" t="str">
        <f>IF(CR222&lt;CX222,"yes","no")</f>
        <v>yes</v>
      </c>
      <c r="DB222" t="str">
        <f>IF(CS222&lt;CY222,"yes","no")</f>
        <v>yes</v>
      </c>
      <c r="DC222" t="str">
        <f>IF(CT222&lt;CZ222,"yes","no")</f>
        <v>no</v>
      </c>
    </row>
    <row r="223" spans="1:107" x14ac:dyDescent="0.2">
      <c r="A223" s="2" t="b">
        <v>0</v>
      </c>
      <c r="B223" s="2" t="s">
        <v>79</v>
      </c>
      <c r="C223" s="2" t="s">
        <v>80</v>
      </c>
      <c r="D223" s="2" t="s">
        <v>997</v>
      </c>
      <c r="E223" s="2" t="s">
        <v>998</v>
      </c>
      <c r="F223" s="2">
        <v>2</v>
      </c>
      <c r="G223" s="2">
        <v>2</v>
      </c>
      <c r="H223" s="2">
        <v>162.6</v>
      </c>
      <c r="I223" s="2">
        <v>7.52</v>
      </c>
      <c r="J223" s="2" t="s">
        <v>918</v>
      </c>
      <c r="K223" s="2" t="s">
        <v>509</v>
      </c>
      <c r="L223" s="2" t="s">
        <v>119</v>
      </c>
      <c r="M223" s="2" t="s">
        <v>999</v>
      </c>
      <c r="N223" s="2" t="s">
        <v>997</v>
      </c>
      <c r="O223" s="2">
        <v>0.01</v>
      </c>
      <c r="P223" s="2">
        <v>0.76600000000000001</v>
      </c>
      <c r="Q223" s="2">
        <v>3.4319999999999999</v>
      </c>
      <c r="R223" s="2">
        <v>100</v>
      </c>
      <c r="S223" s="2" t="s">
        <v>83</v>
      </c>
      <c r="T223" s="2">
        <v>100</v>
      </c>
      <c r="U223" s="2">
        <v>100</v>
      </c>
      <c r="V223" s="2">
        <v>100</v>
      </c>
      <c r="W223" s="2">
        <v>100</v>
      </c>
      <c r="X223" s="2">
        <v>3.5569999999999999</v>
      </c>
      <c r="Y223" s="2">
        <v>135.6</v>
      </c>
      <c r="Z223" s="2" t="s">
        <v>83</v>
      </c>
      <c r="AA223" s="2" t="s">
        <v>83</v>
      </c>
      <c r="AB223" s="2">
        <v>57.5</v>
      </c>
      <c r="AC223" s="2">
        <v>306.89999999999998</v>
      </c>
      <c r="AD223" s="2">
        <v>230127.125</v>
      </c>
      <c r="AE223" s="2">
        <v>103593.0390625</v>
      </c>
      <c r="AF223" s="2">
        <v>177560.671875</v>
      </c>
      <c r="AG223" s="2">
        <v>218501.90234375</v>
      </c>
      <c r="AH223" s="2">
        <v>59707.75390625</v>
      </c>
      <c r="AI223" s="2" t="s">
        <v>83</v>
      </c>
      <c r="AJ223" s="2" t="s">
        <v>83</v>
      </c>
      <c r="AK223" s="2" t="s">
        <v>83</v>
      </c>
      <c r="AL223" s="2" t="s">
        <v>83</v>
      </c>
      <c r="AM223" s="2" t="s">
        <v>83</v>
      </c>
      <c r="AN223" s="2" t="s">
        <v>83</v>
      </c>
      <c r="AO223" s="2" t="s">
        <v>83</v>
      </c>
      <c r="AP223" s="2" t="s">
        <v>83</v>
      </c>
      <c r="AQ223" s="2" t="s">
        <v>83</v>
      </c>
      <c r="AR223" s="2" t="s">
        <v>83</v>
      </c>
      <c r="AS223" s="2" t="s">
        <v>83</v>
      </c>
      <c r="AT223" s="2" t="s">
        <v>83</v>
      </c>
      <c r="AU223" s="2">
        <v>5117.73486328125</v>
      </c>
      <c r="AV223" s="2" t="s">
        <v>83</v>
      </c>
      <c r="AW223" s="2">
        <v>27363.3515625</v>
      </c>
      <c r="AX223" s="2">
        <v>14828.7939453125</v>
      </c>
      <c r="AY223" s="2" t="s">
        <v>83</v>
      </c>
      <c r="AZ223" s="2" t="s">
        <v>83</v>
      </c>
      <c r="BA223" s="2" t="s">
        <v>83</v>
      </c>
      <c r="BB223" s="2">
        <v>28714.140625</v>
      </c>
      <c r="BC223" s="2" t="s">
        <v>79</v>
      </c>
      <c r="BD223" s="2" t="s">
        <v>79</v>
      </c>
      <c r="BE223" s="2" t="s">
        <v>79</v>
      </c>
      <c r="BF223" s="2" t="s">
        <v>91</v>
      </c>
      <c r="BG223" s="2" t="s">
        <v>91</v>
      </c>
      <c r="BH223" s="2" t="s">
        <v>98</v>
      </c>
      <c r="BI223" s="2" t="s">
        <v>98</v>
      </c>
      <c r="BJ223" s="2" t="s">
        <v>98</v>
      </c>
      <c r="BK223" s="2" t="s">
        <v>98</v>
      </c>
      <c r="BL223" s="2" t="s">
        <v>98</v>
      </c>
      <c r="BM223" s="2" t="s">
        <v>98</v>
      </c>
      <c r="BN223" s="2" t="s">
        <v>98</v>
      </c>
      <c r="BO223" s="2" t="s">
        <v>98</v>
      </c>
      <c r="BP223" s="2" t="s">
        <v>98</v>
      </c>
      <c r="BQ223" s="2" t="s">
        <v>98</v>
      </c>
      <c r="BR223" s="2" t="s">
        <v>98</v>
      </c>
      <c r="BS223" s="2" t="s">
        <v>98</v>
      </c>
      <c r="BT223" s="2" t="s">
        <v>91</v>
      </c>
      <c r="BU223" s="2" t="s">
        <v>98</v>
      </c>
      <c r="BV223" s="2" t="s">
        <v>91</v>
      </c>
      <c r="BW223" s="2" t="s">
        <v>91</v>
      </c>
      <c r="BX223" s="2" t="s">
        <v>98</v>
      </c>
      <c r="BY223" s="2" t="s">
        <v>98</v>
      </c>
      <c r="BZ223" s="2" t="s">
        <v>98</v>
      </c>
      <c r="CA223" s="2" t="s">
        <v>91</v>
      </c>
      <c r="CB223" t="e">
        <f>TTEST(AS223:AW223,AI223:AM223,2,2)</f>
        <v>#DIV/0!</v>
      </c>
      <c r="CC223" t="e">
        <f>TTEST(AD223:AH223,AI223:AM223,2,2)</f>
        <v>#DIV/0!</v>
      </c>
      <c r="CD223" t="e">
        <f>TTEST(AN223:AR223,AI223:AM223,2,2)</f>
        <v>#DIV/0!</v>
      </c>
      <c r="CE223" t="e">
        <f>TTEST(AX223:BB223,AI223:AM223,2,2)</f>
        <v>#DIV/0!</v>
      </c>
      <c r="CF223">
        <v>292</v>
      </c>
      <c r="CG223">
        <v>306</v>
      </c>
      <c r="CH223">
        <v>310</v>
      </c>
      <c r="CI223">
        <v>310</v>
      </c>
      <c r="CJ223">
        <f>0.05*CF223/464</f>
        <v>3.1465517241379311E-2</v>
      </c>
      <c r="CK223">
        <f>0.05*CG223/464</f>
        <v>3.2974137931034486E-2</v>
      </c>
      <c r="CL223">
        <f>0.05*CH223/464</f>
        <v>3.3405172413793101E-2</v>
      </c>
      <c r="CM223">
        <f>0.05*CI223/464</f>
        <v>3.3405172413793101E-2</v>
      </c>
      <c r="CN223" t="e">
        <f>IF(CB223&lt;CJ223,"yes","no")</f>
        <v>#DIV/0!</v>
      </c>
      <c r="CO223" t="e">
        <f>IF(CC223&lt;CK223,"yes","no")</f>
        <v>#DIV/0!</v>
      </c>
      <c r="CP223" t="e">
        <f>IF(CD223&lt;CL223,"yes","no")</f>
        <v>#DIV/0!</v>
      </c>
      <c r="CQ223" t="e">
        <f>IF(CE223&lt;CM223,"yes","no")</f>
        <v>#DIV/0!</v>
      </c>
      <c r="CR223">
        <f>TTEST(AS223:AW223,AD223:AH223,2,2)</f>
        <v>5.1523190373864727E-2</v>
      </c>
      <c r="CS223" t="e">
        <f>TTEST(AS223:AW223,AN223:AR223,2,2)</f>
        <v>#DIV/0!</v>
      </c>
      <c r="CT223">
        <f>TTEST(AS223:AW223,AX223:BB223,2,2)</f>
        <v>0.71416557287018634</v>
      </c>
      <c r="CU223">
        <v>232</v>
      </c>
      <c r="CV223">
        <v>303</v>
      </c>
      <c r="CW223">
        <v>222</v>
      </c>
      <c r="CX223">
        <f t="shared" si="9"/>
        <v>2.5000000000000001E-2</v>
      </c>
      <c r="CY223">
        <f t="shared" si="10"/>
        <v>3.2650862068965517E-2</v>
      </c>
      <c r="CZ223">
        <f t="shared" si="11"/>
        <v>2.3922413793103451E-2</v>
      </c>
      <c r="DA223" t="str">
        <f>IF(CR223&lt;CX223,"yes","no")</f>
        <v>no</v>
      </c>
      <c r="DB223" t="e">
        <f>IF(CS223&lt;CY223,"yes","no")</f>
        <v>#DIV/0!</v>
      </c>
      <c r="DC223" t="str">
        <f>IF(CT223&lt;CZ223,"yes","no")</f>
        <v>no</v>
      </c>
    </row>
    <row r="224" spans="1:107" x14ac:dyDescent="0.2">
      <c r="A224" s="2" t="b">
        <v>0</v>
      </c>
      <c r="B224" s="2" t="s">
        <v>79</v>
      </c>
      <c r="C224" s="2" t="s">
        <v>80</v>
      </c>
      <c r="D224" s="2" t="s">
        <v>576</v>
      </c>
      <c r="E224" s="2" t="s">
        <v>577</v>
      </c>
      <c r="F224" s="2">
        <v>12</v>
      </c>
      <c r="G224" s="2">
        <v>12</v>
      </c>
      <c r="H224" s="2">
        <v>273.5</v>
      </c>
      <c r="I224" s="2">
        <v>6.32</v>
      </c>
      <c r="J224" s="2" t="s">
        <v>578</v>
      </c>
      <c r="K224" s="2" t="s">
        <v>145</v>
      </c>
      <c r="L224" s="2" t="s">
        <v>202</v>
      </c>
      <c r="M224" s="2" t="s">
        <v>83</v>
      </c>
      <c r="N224" s="2" t="s">
        <v>576</v>
      </c>
      <c r="O224" s="2">
        <v>32.783000000000001</v>
      </c>
      <c r="P224" s="2">
        <v>2.0510000000000002</v>
      </c>
      <c r="Q224" s="2">
        <v>10.27</v>
      </c>
      <c r="R224" s="2">
        <v>100</v>
      </c>
      <c r="S224" s="2">
        <v>100</v>
      </c>
      <c r="T224" s="2">
        <v>100</v>
      </c>
      <c r="U224" s="2">
        <v>100</v>
      </c>
      <c r="V224" s="2">
        <v>7.3999999999999996E-2</v>
      </c>
      <c r="W224" s="2">
        <v>0.33100000000000002</v>
      </c>
      <c r="X224" s="2">
        <v>4.7770000000000001</v>
      </c>
      <c r="Y224" s="2">
        <v>5.7</v>
      </c>
      <c r="Z224" s="2" t="s">
        <v>83</v>
      </c>
      <c r="AA224" s="2">
        <v>463.3</v>
      </c>
      <c r="AB224" s="2">
        <v>10.4</v>
      </c>
      <c r="AC224" s="2">
        <v>20.6</v>
      </c>
      <c r="AD224" s="2">
        <v>178750.41796875</v>
      </c>
      <c r="AE224" s="2">
        <v>115979.5859375</v>
      </c>
      <c r="AF224" s="2">
        <v>82486.529296875</v>
      </c>
      <c r="AG224" s="2">
        <v>318458.41015625</v>
      </c>
      <c r="AH224" s="2">
        <v>136419.63671875</v>
      </c>
      <c r="AI224" s="2" t="s">
        <v>83</v>
      </c>
      <c r="AJ224" s="2" t="s">
        <v>83</v>
      </c>
      <c r="AK224" s="2" t="s">
        <v>83</v>
      </c>
      <c r="AL224" s="2" t="s">
        <v>83</v>
      </c>
      <c r="AM224" s="2" t="s">
        <v>83</v>
      </c>
      <c r="AN224" s="2">
        <v>183235.291015625</v>
      </c>
      <c r="AO224" s="2">
        <v>187173.84033203099</v>
      </c>
      <c r="AP224" s="2">
        <v>182365.51171875</v>
      </c>
      <c r="AQ224" s="2">
        <v>177940.61230468799</v>
      </c>
      <c r="AR224" s="2">
        <v>381601.29980468802</v>
      </c>
      <c r="AS224" s="2">
        <v>44059.9873046875</v>
      </c>
      <c r="AT224" s="2">
        <v>87415.085449218794</v>
      </c>
      <c r="AU224" s="2">
        <v>28579.904296875</v>
      </c>
      <c r="AV224" s="2">
        <v>20941.2109375</v>
      </c>
      <c r="AW224" s="2">
        <v>41824.18359375</v>
      </c>
      <c r="AX224" s="2">
        <v>21056.7080078125</v>
      </c>
      <c r="AY224" s="2">
        <v>48508.60546875</v>
      </c>
      <c r="AZ224" s="2">
        <v>162075.716796875</v>
      </c>
      <c r="BA224" s="2">
        <v>25473.201171875</v>
      </c>
      <c r="BB224" s="2">
        <v>20815.59375</v>
      </c>
      <c r="BC224" s="2" t="s">
        <v>79</v>
      </c>
      <c r="BD224" s="2" t="s">
        <v>79</v>
      </c>
      <c r="BE224" s="2" t="s">
        <v>79</v>
      </c>
      <c r="BF224" s="2" t="s">
        <v>79</v>
      </c>
      <c r="BG224" s="2" t="s">
        <v>79</v>
      </c>
      <c r="BH224" s="2" t="s">
        <v>98</v>
      </c>
      <c r="BI224" s="2" t="s">
        <v>98</v>
      </c>
      <c r="BJ224" s="2" t="s">
        <v>98</v>
      </c>
      <c r="BK224" s="2" t="s">
        <v>98</v>
      </c>
      <c r="BL224" s="2" t="s">
        <v>98</v>
      </c>
      <c r="BM224" s="2" t="s">
        <v>79</v>
      </c>
      <c r="BN224" s="2" t="s">
        <v>79</v>
      </c>
      <c r="BO224" s="2" t="s">
        <v>79</v>
      </c>
      <c r="BP224" s="2" t="s">
        <v>79</v>
      </c>
      <c r="BQ224" s="2" t="s">
        <v>79</v>
      </c>
      <c r="BR224" s="2" t="s">
        <v>79</v>
      </c>
      <c r="BS224" s="2" t="s">
        <v>79</v>
      </c>
      <c r="BT224" s="2" t="s">
        <v>91</v>
      </c>
      <c r="BU224" s="2" t="s">
        <v>79</v>
      </c>
      <c r="BV224" s="2" t="s">
        <v>91</v>
      </c>
      <c r="BW224" s="2" t="s">
        <v>91</v>
      </c>
      <c r="BX224" s="2" t="s">
        <v>91</v>
      </c>
      <c r="BY224" s="2" t="s">
        <v>91</v>
      </c>
      <c r="BZ224" s="2" t="s">
        <v>91</v>
      </c>
      <c r="CA224" s="2" t="s">
        <v>91</v>
      </c>
      <c r="CB224" t="e">
        <f>TTEST(AS224:AW224,AI224:AM224,2,2)</f>
        <v>#DIV/0!</v>
      </c>
      <c r="CC224" t="e">
        <f>TTEST(AD224:AH224,AI224:AM224,2,2)</f>
        <v>#DIV/0!</v>
      </c>
      <c r="CD224" t="e">
        <f>TTEST(AN224:AR224,AI224:AM224,2,2)</f>
        <v>#DIV/0!</v>
      </c>
      <c r="CE224" t="e">
        <f>TTEST(AX224:BB224,AI224:AM224,2,2)</f>
        <v>#DIV/0!</v>
      </c>
      <c r="CF224">
        <v>282</v>
      </c>
      <c r="CG224">
        <v>296</v>
      </c>
      <c r="CH224">
        <v>300</v>
      </c>
      <c r="CI224">
        <v>226</v>
      </c>
      <c r="CJ224">
        <f>0.05*CF224/464</f>
        <v>3.038793103448276E-2</v>
      </c>
      <c r="CK224">
        <f>0.05*CG224/464</f>
        <v>3.1896551724137932E-2</v>
      </c>
      <c r="CL224">
        <f>0.05*CH224/464</f>
        <v>3.2327586206896554E-2</v>
      </c>
      <c r="CM224">
        <f>0.05*CI224/464</f>
        <v>2.4353448275862069E-2</v>
      </c>
      <c r="CN224" t="e">
        <f>IF(CB224&lt;CJ224,"yes","no")</f>
        <v>#DIV/0!</v>
      </c>
      <c r="CO224" t="e">
        <f>IF(CC224&lt;CK224,"yes","no")</f>
        <v>#DIV/0!</v>
      </c>
      <c r="CP224" t="e">
        <f>IF(CD224&lt;CL224,"yes","no")</f>
        <v>#DIV/0!</v>
      </c>
      <c r="CQ224" t="e">
        <f>IF(CE224&lt;CM224,"yes","no")</f>
        <v>#DIV/0!</v>
      </c>
      <c r="CR224">
        <f>TTEST(AS224:AW224,AD224:AH224,2,2)</f>
        <v>2.1289682748931824E-2</v>
      </c>
      <c r="CS224">
        <f>TTEST(AS224:AW224,AN224:AR224,2,2)</f>
        <v>2.6433667704687911E-3</v>
      </c>
      <c r="CT224">
        <f>TTEST(AS224:AW224,AX224:BB224,2,2)</f>
        <v>0.7180121197259417</v>
      </c>
      <c r="CU224">
        <v>209</v>
      </c>
      <c r="CV224">
        <v>107</v>
      </c>
      <c r="CW224">
        <v>223</v>
      </c>
      <c r="CX224">
        <f t="shared" si="9"/>
        <v>2.2521551724137934E-2</v>
      </c>
      <c r="CY224">
        <f t="shared" si="10"/>
        <v>1.1530172413793104E-2</v>
      </c>
      <c r="CZ224">
        <f t="shared" si="11"/>
        <v>2.4030172413793103E-2</v>
      </c>
      <c r="DA224" t="str">
        <f>IF(CR224&lt;CX224,"yes","no")</f>
        <v>yes</v>
      </c>
      <c r="DB224" t="str">
        <f>IF(CS224&lt;CY224,"yes","no")</f>
        <v>yes</v>
      </c>
      <c r="DC224" t="str">
        <f>IF(CT224&lt;CZ224,"yes","no")</f>
        <v>no</v>
      </c>
    </row>
    <row r="225" spans="1:107" x14ac:dyDescent="0.2">
      <c r="A225" s="2" t="b">
        <v>0</v>
      </c>
      <c r="B225" s="2" t="s">
        <v>79</v>
      </c>
      <c r="C225" s="2" t="s">
        <v>80</v>
      </c>
      <c r="D225" s="2" t="s">
        <v>1041</v>
      </c>
      <c r="E225" s="2" t="s">
        <v>1042</v>
      </c>
      <c r="F225" s="2">
        <v>3</v>
      </c>
      <c r="G225" s="2">
        <v>3</v>
      </c>
      <c r="H225" s="2">
        <v>29.8</v>
      </c>
      <c r="I225" s="2">
        <v>8.35</v>
      </c>
      <c r="J225" s="2" t="s">
        <v>692</v>
      </c>
      <c r="K225" s="2" t="s">
        <v>1043</v>
      </c>
      <c r="L225" s="2" t="s">
        <v>102</v>
      </c>
      <c r="M225" s="2" t="s">
        <v>1044</v>
      </c>
      <c r="N225" s="2" t="s">
        <v>1041</v>
      </c>
      <c r="O225" s="2">
        <v>9.7799999999999994</v>
      </c>
      <c r="P225" s="2">
        <v>0.78500000000000003</v>
      </c>
      <c r="Q225" s="2">
        <v>3.891</v>
      </c>
      <c r="R225" s="2">
        <v>0.10199999999999999</v>
      </c>
      <c r="S225" s="2">
        <v>1.2629999999999999</v>
      </c>
      <c r="T225" s="2">
        <v>7.4999999999999997E-2</v>
      </c>
      <c r="U225" s="2">
        <v>0.28799999999999998</v>
      </c>
      <c r="V225" s="2">
        <v>7.5999999999999998E-2</v>
      </c>
      <c r="W225" s="2">
        <v>0.35599999999999998</v>
      </c>
      <c r="X225" s="2">
        <v>3.9350000000000001</v>
      </c>
      <c r="Y225" s="2">
        <v>27.9</v>
      </c>
      <c r="Z225" s="2">
        <v>192.9</v>
      </c>
      <c r="AA225" s="2">
        <v>229</v>
      </c>
      <c r="AB225" s="2">
        <v>15</v>
      </c>
      <c r="AC225" s="2">
        <v>35.200000000000003</v>
      </c>
      <c r="AD225" s="2">
        <v>271965.5703125</v>
      </c>
      <c r="AE225" s="2">
        <v>83071.205078125</v>
      </c>
      <c r="AF225" s="2">
        <v>251320.921875</v>
      </c>
      <c r="AG225" s="2">
        <v>1181201.4375</v>
      </c>
      <c r="AH225" s="2">
        <v>78671.1884765625</v>
      </c>
      <c r="AI225" s="2">
        <v>35787.6171875</v>
      </c>
      <c r="AJ225" s="2">
        <v>27276.6015625</v>
      </c>
      <c r="AK225" s="2">
        <v>17422.291015625</v>
      </c>
      <c r="AL225" s="2">
        <v>49071.7265625</v>
      </c>
      <c r="AM225" s="2">
        <v>32809.640625</v>
      </c>
      <c r="AN225" s="2">
        <v>24192.1911621094</v>
      </c>
      <c r="AO225" s="2">
        <v>26821.23046875</v>
      </c>
      <c r="AP225" s="2">
        <v>49035.75</v>
      </c>
      <c r="AQ225" s="2">
        <v>42648.0859375</v>
      </c>
      <c r="AR225" s="2">
        <v>66784.039550781294</v>
      </c>
      <c r="AS225" s="2">
        <v>20751.7265625</v>
      </c>
      <c r="AT225" s="2">
        <v>27395.8349609375</v>
      </c>
      <c r="AU225" s="2">
        <v>22549.7197265625</v>
      </c>
      <c r="AV225" s="2">
        <v>8918.091796875</v>
      </c>
      <c r="AW225" s="2">
        <v>8746.84765625</v>
      </c>
      <c r="AX225" s="2">
        <v>14587.69921875</v>
      </c>
      <c r="AY225" s="2">
        <v>11270.8056640625</v>
      </c>
      <c r="AZ225" s="2" t="s">
        <v>83</v>
      </c>
      <c r="BA225" s="2" t="s">
        <v>83</v>
      </c>
      <c r="BB225" s="2">
        <v>22442.369140625</v>
      </c>
      <c r="BC225" s="2" t="s">
        <v>79</v>
      </c>
      <c r="BD225" s="2" t="s">
        <v>91</v>
      </c>
      <c r="BE225" s="2" t="s">
        <v>79</v>
      </c>
      <c r="BF225" s="2" t="s">
        <v>79</v>
      </c>
      <c r="BG225" s="2" t="s">
        <v>91</v>
      </c>
      <c r="BH225" s="2" t="s">
        <v>91</v>
      </c>
      <c r="BI225" s="2" t="s">
        <v>91</v>
      </c>
      <c r="BJ225" s="2" t="s">
        <v>91</v>
      </c>
      <c r="BK225" s="2" t="s">
        <v>91</v>
      </c>
      <c r="BL225" s="2" t="s">
        <v>91</v>
      </c>
      <c r="BM225" s="2" t="s">
        <v>91</v>
      </c>
      <c r="BN225" s="2" t="s">
        <v>91</v>
      </c>
      <c r="BO225" s="2" t="s">
        <v>91</v>
      </c>
      <c r="BP225" s="2" t="s">
        <v>91</v>
      </c>
      <c r="BQ225" s="2" t="s">
        <v>91</v>
      </c>
      <c r="BR225" s="2" t="s">
        <v>91</v>
      </c>
      <c r="BS225" s="2" t="s">
        <v>91</v>
      </c>
      <c r="BT225" s="2" t="s">
        <v>91</v>
      </c>
      <c r="BU225" s="2" t="s">
        <v>91</v>
      </c>
      <c r="BV225" s="2" t="s">
        <v>91</v>
      </c>
      <c r="BW225" s="2" t="s">
        <v>79</v>
      </c>
      <c r="BX225" s="2" t="s">
        <v>91</v>
      </c>
      <c r="BY225" s="2" t="s">
        <v>98</v>
      </c>
      <c r="BZ225" s="2" t="s">
        <v>98</v>
      </c>
      <c r="CA225" s="2" t="s">
        <v>91</v>
      </c>
      <c r="CB225">
        <f>TTEST(AS225:AW225,AI225:AM225,2,2)</f>
        <v>5.0034462445022847E-2</v>
      </c>
      <c r="CC225">
        <f>TTEST(AD225:AH225,AI225:AM225,2,2)</f>
        <v>0.13681957381469986</v>
      </c>
      <c r="CD225">
        <f>TTEST(AN225:AR225,AI225:AM225,2,2)</f>
        <v>0.34350080504218494</v>
      </c>
      <c r="CE225">
        <f>TTEST(AX225:BB225,AI225:AM225,2,2)</f>
        <v>6.718100170533739E-2</v>
      </c>
      <c r="CF225">
        <v>150</v>
      </c>
      <c r="CG225">
        <v>200</v>
      </c>
      <c r="CH225">
        <v>162</v>
      </c>
      <c r="CI225">
        <v>110</v>
      </c>
      <c r="CJ225">
        <f>0.05*CF225/464</f>
        <v>1.6163793103448277E-2</v>
      </c>
      <c r="CK225">
        <f>0.05*CG225/464</f>
        <v>2.1551724137931036E-2</v>
      </c>
      <c r="CL225">
        <f>0.05*CH225/464</f>
        <v>1.7456896551724138E-2</v>
      </c>
      <c r="CM225">
        <f>0.05*CI225/464</f>
        <v>1.1853448275862068E-2</v>
      </c>
      <c r="CN225" t="str">
        <f>IF(CB225&lt;CJ225,"yes","no")</f>
        <v>no</v>
      </c>
      <c r="CO225" t="str">
        <f>IF(CC225&lt;CK225,"yes","no")</f>
        <v>no</v>
      </c>
      <c r="CP225" t="str">
        <f>IF(CD225&lt;CL225,"yes","no")</f>
        <v>no</v>
      </c>
      <c r="CQ225" t="str">
        <f>IF(CE225&lt;CM225,"yes","no")</f>
        <v>no</v>
      </c>
      <c r="CR225">
        <f>TTEST(AS225:AW225,AD225:AH225,2,2)</f>
        <v>0.12269443283808222</v>
      </c>
      <c r="CS225">
        <f>TTEST(AS225:AW225,AN225:AR225,2,2)</f>
        <v>2.3158630399100318E-2</v>
      </c>
      <c r="CT225">
        <f>TTEST(AS225:AW225,AX225:BB225,2,2)</f>
        <v>0.78750466908689232</v>
      </c>
      <c r="CU225">
        <v>255</v>
      </c>
      <c r="CV225">
        <v>152</v>
      </c>
      <c r="CW225">
        <v>224</v>
      </c>
      <c r="CX225">
        <f t="shared" si="9"/>
        <v>2.7478448275862068E-2</v>
      </c>
      <c r="CY225">
        <f t="shared" si="10"/>
        <v>1.6379310344827588E-2</v>
      </c>
      <c r="CZ225">
        <f t="shared" si="11"/>
        <v>2.4137931034482762E-2</v>
      </c>
      <c r="DA225" t="str">
        <f>IF(CR225&lt;CX225,"yes","no")</f>
        <v>no</v>
      </c>
      <c r="DB225" t="str">
        <f>IF(CS225&lt;CY225,"yes","no")</f>
        <v>no</v>
      </c>
      <c r="DC225" t="str">
        <f>IF(CT225&lt;CZ225,"yes","no")</f>
        <v>no</v>
      </c>
    </row>
    <row r="226" spans="1:107" x14ac:dyDescent="0.2">
      <c r="A226" s="2" t="b">
        <v>0</v>
      </c>
      <c r="B226" s="2" t="s">
        <v>79</v>
      </c>
      <c r="C226" s="2" t="s">
        <v>80</v>
      </c>
      <c r="D226" s="2" t="s">
        <v>1062</v>
      </c>
      <c r="E226" s="2" t="s">
        <v>1063</v>
      </c>
      <c r="F226" s="2">
        <v>3</v>
      </c>
      <c r="G226" s="2">
        <v>3</v>
      </c>
      <c r="H226" s="2">
        <v>11.4</v>
      </c>
      <c r="I226" s="2">
        <v>11.36</v>
      </c>
      <c r="J226" s="2" t="s">
        <v>228</v>
      </c>
      <c r="K226" s="2" t="s">
        <v>739</v>
      </c>
      <c r="L226" s="2" t="s">
        <v>115</v>
      </c>
      <c r="M226" s="2" t="s">
        <v>1064</v>
      </c>
      <c r="N226" s="2" t="s">
        <v>1065</v>
      </c>
      <c r="O226" s="2">
        <v>7.6340000000000003</v>
      </c>
      <c r="P226" s="2">
        <v>0.96799999999999997</v>
      </c>
      <c r="Q226" s="2">
        <v>1.4970000000000001</v>
      </c>
      <c r="R226" s="2">
        <v>4.7E-2</v>
      </c>
      <c r="S226" s="2">
        <v>0.67500000000000004</v>
      </c>
      <c r="T226" s="2">
        <v>8.5000000000000006E-2</v>
      </c>
      <c r="U226" s="2">
        <v>0.17799999999999999</v>
      </c>
      <c r="V226" s="2">
        <v>0.17</v>
      </c>
      <c r="W226" s="2">
        <v>0.26300000000000001</v>
      </c>
      <c r="X226" s="2">
        <v>2.5870000000000002</v>
      </c>
      <c r="Y226" s="2">
        <v>4.2</v>
      </c>
      <c r="Z226" s="2">
        <v>247.6</v>
      </c>
      <c r="AA226" s="2">
        <v>176.8</v>
      </c>
      <c r="AB226" s="2">
        <v>27.3</v>
      </c>
      <c r="AC226" s="2">
        <v>44</v>
      </c>
      <c r="AD226" s="2">
        <v>66315.8515625</v>
      </c>
      <c r="AE226" s="2" t="s">
        <v>83</v>
      </c>
      <c r="AF226" s="2">
        <v>23821.78515625</v>
      </c>
      <c r="AG226" s="2">
        <v>778022.84375</v>
      </c>
      <c r="AH226" s="2" t="s">
        <v>83</v>
      </c>
      <c r="AI226" s="2" t="s">
        <v>83</v>
      </c>
      <c r="AJ226" s="2" t="s">
        <v>83</v>
      </c>
      <c r="AK226" s="2">
        <v>58753.3515625</v>
      </c>
      <c r="AL226" s="2">
        <v>142999.57714843799</v>
      </c>
      <c r="AM226" s="2">
        <v>3499.08081054688</v>
      </c>
      <c r="AN226" s="2" t="s">
        <v>83</v>
      </c>
      <c r="AO226" s="2">
        <v>34797.125</v>
      </c>
      <c r="AP226" s="2">
        <v>57358.7744140625</v>
      </c>
      <c r="AQ226" s="2" t="s">
        <v>83</v>
      </c>
      <c r="AR226" s="2">
        <v>81052.805175781294</v>
      </c>
      <c r="AS226" s="2" t="s">
        <v>83</v>
      </c>
      <c r="AT226" s="2" t="s">
        <v>83</v>
      </c>
      <c r="AU226" s="2">
        <v>27408.4296875</v>
      </c>
      <c r="AV226" s="2">
        <v>99354.7314453125</v>
      </c>
      <c r="AW226" s="2" t="s">
        <v>83</v>
      </c>
      <c r="AX226" s="2">
        <v>33408.40625</v>
      </c>
      <c r="AY226" s="2">
        <v>128688.625</v>
      </c>
      <c r="AZ226" s="2" t="s">
        <v>83</v>
      </c>
      <c r="BA226" s="2">
        <v>26420.998046875</v>
      </c>
      <c r="BB226" s="2">
        <v>25002.994140625</v>
      </c>
      <c r="BC226" s="2" t="s">
        <v>79</v>
      </c>
      <c r="BD226" s="2" t="s">
        <v>91</v>
      </c>
      <c r="BE226" s="2" t="s">
        <v>79</v>
      </c>
      <c r="BF226" s="2" t="s">
        <v>79</v>
      </c>
      <c r="BG226" s="2" t="s">
        <v>91</v>
      </c>
      <c r="BH226" s="2" t="s">
        <v>91</v>
      </c>
      <c r="BI226" s="2" t="s">
        <v>91</v>
      </c>
      <c r="BJ226" s="2" t="s">
        <v>91</v>
      </c>
      <c r="BK226" s="2" t="s">
        <v>79</v>
      </c>
      <c r="BL226" s="2" t="s">
        <v>91</v>
      </c>
      <c r="BM226" s="2" t="s">
        <v>79</v>
      </c>
      <c r="BN226" s="2" t="s">
        <v>79</v>
      </c>
      <c r="BO226" s="2" t="s">
        <v>79</v>
      </c>
      <c r="BP226" s="2" t="s">
        <v>98</v>
      </c>
      <c r="BQ226" s="2" t="s">
        <v>79</v>
      </c>
      <c r="BR226" s="2" t="s">
        <v>98</v>
      </c>
      <c r="BS226" s="2" t="s">
        <v>98</v>
      </c>
      <c r="BT226" s="2" t="s">
        <v>91</v>
      </c>
      <c r="BU226" s="2" t="s">
        <v>79</v>
      </c>
      <c r="BV226" s="2" t="s">
        <v>98</v>
      </c>
      <c r="BW226" s="2" t="s">
        <v>91</v>
      </c>
      <c r="BX226" s="2" t="s">
        <v>91</v>
      </c>
      <c r="BY226" s="2" t="s">
        <v>98</v>
      </c>
      <c r="BZ226" s="2" t="s">
        <v>91</v>
      </c>
      <c r="CA226" s="2" t="s">
        <v>91</v>
      </c>
      <c r="CB226">
        <f>TTEST(AS226:AW226,AI226:AM226,2,2)</f>
        <v>0.93717568811023755</v>
      </c>
      <c r="CC226">
        <f>TTEST(AD226:AH226,AI226:AM226,2,2)</f>
        <v>0.42321808038601688</v>
      </c>
      <c r="CD226">
        <f>TTEST(AN226:AR226,AI226:AM226,2,2)</f>
        <v>0.81480345978809576</v>
      </c>
      <c r="CE226">
        <f>TTEST(AX226:BB226,AI226:AM226,2,2)</f>
        <v>0.75260677668166021</v>
      </c>
      <c r="CF226">
        <v>225</v>
      </c>
      <c r="CG226">
        <v>222</v>
      </c>
      <c r="CH226">
        <v>220</v>
      </c>
      <c r="CI226">
        <v>183</v>
      </c>
      <c r="CJ226">
        <f>0.05*CF226/464</f>
        <v>2.4245689655172414E-2</v>
      </c>
      <c r="CK226">
        <f>0.05*CG226/464</f>
        <v>2.3922413793103451E-2</v>
      </c>
      <c r="CL226">
        <f>0.05*CH226/464</f>
        <v>2.3706896551724137E-2</v>
      </c>
      <c r="CM226">
        <f>0.05*CI226/464</f>
        <v>1.9719827586206898E-2</v>
      </c>
      <c r="CN226" t="str">
        <f>IF(CB226&lt;CJ226,"yes","no")</f>
        <v>no</v>
      </c>
      <c r="CO226" t="str">
        <f>IF(CC226&lt;CK226,"yes","no")</f>
        <v>no</v>
      </c>
      <c r="CP226" t="str">
        <f>IF(CD226&lt;CL226,"yes","no")</f>
        <v>no</v>
      </c>
      <c r="CQ226" t="str">
        <f>IF(CE226&lt;CM226,"yes","no")</f>
        <v>no</v>
      </c>
      <c r="CR226">
        <f>TTEST(AS226:AW226,AD226:AH226,2,2)</f>
        <v>0.52726482053985757</v>
      </c>
      <c r="CS226">
        <f>TTEST(AS226:AW226,AN226:AR226,2,2)</f>
        <v>0.87071388805309247</v>
      </c>
      <c r="CT226">
        <f>TTEST(AS226:AW226,AX226:BB226,2,2)</f>
        <v>0.83024437282439278</v>
      </c>
      <c r="CU226">
        <v>292</v>
      </c>
      <c r="CV226">
        <v>259</v>
      </c>
      <c r="CW226">
        <v>225</v>
      </c>
      <c r="CX226">
        <f t="shared" si="9"/>
        <v>3.1465517241379311E-2</v>
      </c>
      <c r="CY226">
        <f t="shared" si="10"/>
        <v>2.7909482758620693E-2</v>
      </c>
      <c r="CZ226">
        <f t="shared" si="11"/>
        <v>2.4245689655172414E-2</v>
      </c>
      <c r="DA226" t="str">
        <f>IF(CR226&lt;CX226,"yes","no")</f>
        <v>no</v>
      </c>
      <c r="DB226" t="str">
        <f>IF(CS226&lt;CY226,"yes","no")</f>
        <v>no</v>
      </c>
      <c r="DC226" t="str">
        <f>IF(CT226&lt;CZ226,"yes","no")</f>
        <v>no</v>
      </c>
    </row>
    <row r="227" spans="1:107" x14ac:dyDescent="0.2">
      <c r="A227" s="2" t="b">
        <v>0</v>
      </c>
      <c r="B227" s="2" t="s">
        <v>79</v>
      </c>
      <c r="C227" s="2" t="s">
        <v>80</v>
      </c>
      <c r="D227" s="2" t="s">
        <v>1106</v>
      </c>
      <c r="E227" s="2" t="s">
        <v>1107</v>
      </c>
      <c r="F227" s="2">
        <v>3</v>
      </c>
      <c r="G227" s="2">
        <v>3</v>
      </c>
      <c r="H227" s="2">
        <v>43</v>
      </c>
      <c r="I227" s="2">
        <v>5.58</v>
      </c>
      <c r="J227" s="2" t="s">
        <v>135</v>
      </c>
      <c r="K227" s="2" t="s">
        <v>1108</v>
      </c>
      <c r="L227" s="2" t="s">
        <v>643</v>
      </c>
      <c r="M227" s="2" t="s">
        <v>1109</v>
      </c>
      <c r="N227" s="2" t="s">
        <v>1106</v>
      </c>
      <c r="O227" s="2">
        <v>3.2429999999999999</v>
      </c>
      <c r="P227" s="2">
        <v>1.2729999999999999</v>
      </c>
      <c r="Q227" s="2">
        <v>1.5269999999999999</v>
      </c>
      <c r="R227" s="2">
        <v>0.44500000000000001</v>
      </c>
      <c r="S227" s="2">
        <v>1.337</v>
      </c>
      <c r="T227" s="2">
        <v>0.17299999999999999</v>
      </c>
      <c r="U227" s="2">
        <v>0.59899999999999998</v>
      </c>
      <c r="V227" s="2">
        <v>0.106</v>
      </c>
      <c r="W227" s="2">
        <v>0.44500000000000001</v>
      </c>
      <c r="X227" s="2">
        <v>3.5289999999999999</v>
      </c>
      <c r="Y227" s="2">
        <v>56.5</v>
      </c>
      <c r="Z227" s="2">
        <v>122.4</v>
      </c>
      <c r="AA227" s="2">
        <v>215.4</v>
      </c>
      <c r="AB227" s="2">
        <v>32.299999999999997</v>
      </c>
      <c r="AC227" s="2">
        <v>73.3</v>
      </c>
      <c r="AD227" s="2">
        <v>246925.8515625</v>
      </c>
      <c r="AE227" s="2">
        <v>44231.7265625</v>
      </c>
      <c r="AF227" s="2">
        <v>262807.7734375</v>
      </c>
      <c r="AG227" s="2">
        <v>1160247.29296875</v>
      </c>
      <c r="AH227" s="2">
        <v>24511.03125</v>
      </c>
      <c r="AI227" s="2">
        <v>6970.3095703125</v>
      </c>
      <c r="AJ227" s="2">
        <v>9863.2900390625</v>
      </c>
      <c r="AK227" s="2">
        <v>13235.3330078125</v>
      </c>
      <c r="AL227" s="2">
        <v>36777.4404296875</v>
      </c>
      <c r="AM227" s="2">
        <v>5959.45458984375</v>
      </c>
      <c r="AN227" s="2">
        <v>13514.443359375</v>
      </c>
      <c r="AO227" s="2">
        <v>9472.4775390625</v>
      </c>
      <c r="AP227" s="2">
        <v>19408.3642578125</v>
      </c>
      <c r="AQ227" s="2">
        <v>5720.07080078125</v>
      </c>
      <c r="AR227" s="2">
        <v>37993.9765625</v>
      </c>
      <c r="AS227" s="2">
        <v>17190.0439453125</v>
      </c>
      <c r="AT227" s="2">
        <v>25352.5947265625</v>
      </c>
      <c r="AU227" s="2">
        <v>20444.865234375</v>
      </c>
      <c r="AV227" s="2">
        <v>22270.1708984375</v>
      </c>
      <c r="AW227" s="2">
        <v>18730.203125</v>
      </c>
      <c r="AX227" s="2">
        <v>13597.83984375</v>
      </c>
      <c r="AY227" s="2">
        <v>12249.437011718799</v>
      </c>
      <c r="AZ227" s="2">
        <v>30374.0419921875</v>
      </c>
      <c r="BA227" s="2">
        <v>13801.06640625</v>
      </c>
      <c r="BB227" s="2">
        <v>30338.949707031301</v>
      </c>
      <c r="BC227" s="2" t="s">
        <v>79</v>
      </c>
      <c r="BD227" s="2" t="s">
        <v>91</v>
      </c>
      <c r="BE227" s="2" t="s">
        <v>79</v>
      </c>
      <c r="BF227" s="2" t="s">
        <v>79</v>
      </c>
      <c r="BG227" s="2" t="s">
        <v>91</v>
      </c>
      <c r="BH227" s="2" t="s">
        <v>91</v>
      </c>
      <c r="BI227" s="2" t="s">
        <v>91</v>
      </c>
      <c r="BJ227" s="2" t="s">
        <v>91</v>
      </c>
      <c r="BK227" s="2" t="s">
        <v>79</v>
      </c>
      <c r="BL227" s="2" t="s">
        <v>91</v>
      </c>
      <c r="BM227" s="2" t="s">
        <v>91</v>
      </c>
      <c r="BN227" s="2" t="s">
        <v>91</v>
      </c>
      <c r="BO227" s="2" t="s">
        <v>79</v>
      </c>
      <c r="BP227" s="2" t="s">
        <v>91</v>
      </c>
      <c r="BQ227" s="2" t="s">
        <v>79</v>
      </c>
      <c r="BR227" s="2" t="s">
        <v>91</v>
      </c>
      <c r="BS227" s="2" t="s">
        <v>91</v>
      </c>
      <c r="BT227" s="2" t="s">
        <v>91</v>
      </c>
      <c r="BU227" s="2" t="s">
        <v>91</v>
      </c>
      <c r="BV227" s="2" t="s">
        <v>91</v>
      </c>
      <c r="BW227" s="2" t="s">
        <v>91</v>
      </c>
      <c r="BX227" s="2" t="s">
        <v>91</v>
      </c>
      <c r="BY227" s="2" t="s">
        <v>91</v>
      </c>
      <c r="BZ227" s="2" t="s">
        <v>91</v>
      </c>
      <c r="CA227" s="2" t="s">
        <v>91</v>
      </c>
      <c r="CB227">
        <f>TTEST(AS227:AW227,AI227:AM227,2,2)</f>
        <v>0.31912424990521437</v>
      </c>
      <c r="CC227">
        <f>TTEST(AD227:AH227,AI227:AM227,2,2)</f>
        <v>0.14979991643870855</v>
      </c>
      <c r="CD227">
        <f>TTEST(AN227:AR227,AI227:AM227,2,2)</f>
        <v>0.74905855150051592</v>
      </c>
      <c r="CE227">
        <f>TTEST(AX227:BB227,AI227:AM227,2,2)</f>
        <v>0.4588293061804658</v>
      </c>
      <c r="CF227">
        <v>181</v>
      </c>
      <c r="CG227">
        <v>205</v>
      </c>
      <c r="CH227">
        <v>214</v>
      </c>
      <c r="CI227">
        <v>156</v>
      </c>
      <c r="CJ227">
        <f>0.05*CF227/464</f>
        <v>1.9504310344827587E-2</v>
      </c>
      <c r="CK227">
        <f>0.05*CG227/464</f>
        <v>2.2090517241379309E-2</v>
      </c>
      <c r="CL227">
        <f>0.05*CH227/464</f>
        <v>2.3060344827586208E-2</v>
      </c>
      <c r="CM227">
        <f>0.05*CI227/464</f>
        <v>1.6810344827586209E-2</v>
      </c>
      <c r="CN227" t="str">
        <f>IF(CB227&lt;CJ227,"yes","no")</f>
        <v>no</v>
      </c>
      <c r="CO227" t="str">
        <f>IF(CC227&lt;CK227,"yes","no")</f>
        <v>no</v>
      </c>
      <c r="CP227" t="str">
        <f>IF(CD227&lt;CL227,"yes","no")</f>
        <v>no</v>
      </c>
      <c r="CQ227" t="str">
        <f>IF(CE227&lt;CM227,"yes","no")</f>
        <v>no</v>
      </c>
      <c r="CR227">
        <f>TTEST(AS227:AW227,AD227:AH227,2,2)</f>
        <v>0.15648402295341649</v>
      </c>
      <c r="CS227">
        <f>TTEST(AS227:AW227,AN227:AR227,2,2)</f>
        <v>0.55751137890239055</v>
      </c>
      <c r="CT227">
        <f>TTEST(AS227:AW227,AX227:BB227,2,2)</f>
        <v>0.87429308994590738</v>
      </c>
      <c r="CU227">
        <v>266</v>
      </c>
      <c r="CV227">
        <v>233</v>
      </c>
      <c r="CW227">
        <v>226</v>
      </c>
      <c r="CX227">
        <f t="shared" si="9"/>
        <v>2.8663793103448278E-2</v>
      </c>
      <c r="CY227">
        <f t="shared" si="10"/>
        <v>2.5107758620689657E-2</v>
      </c>
      <c r="CZ227">
        <f t="shared" si="11"/>
        <v>2.4353448275862069E-2</v>
      </c>
      <c r="DA227" t="str">
        <f>IF(CR227&lt;CX227,"yes","no")</f>
        <v>no</v>
      </c>
      <c r="DB227" t="str">
        <f>IF(CS227&lt;CY227,"yes","no")</f>
        <v>no</v>
      </c>
      <c r="DC227" t="str">
        <f>IF(CT227&lt;CZ227,"yes","no")</f>
        <v>no</v>
      </c>
    </row>
    <row r="228" spans="1:107" x14ac:dyDescent="0.2">
      <c r="A228" s="2" t="b">
        <v>0</v>
      </c>
      <c r="B228" s="2" t="s">
        <v>79</v>
      </c>
      <c r="C228" s="2" t="s">
        <v>80</v>
      </c>
      <c r="D228" s="2" t="s">
        <v>324</v>
      </c>
      <c r="E228" s="2" t="s">
        <v>325</v>
      </c>
      <c r="F228" s="2">
        <v>10</v>
      </c>
      <c r="G228" s="2">
        <v>10</v>
      </c>
      <c r="H228" s="2">
        <v>41.2</v>
      </c>
      <c r="I228" s="2">
        <v>5.83</v>
      </c>
      <c r="J228" s="2" t="s">
        <v>326</v>
      </c>
      <c r="K228" s="2" t="s">
        <v>327</v>
      </c>
      <c r="L228" s="2" t="s">
        <v>328</v>
      </c>
      <c r="M228" s="2" t="s">
        <v>329</v>
      </c>
      <c r="N228" s="2" t="s">
        <v>324</v>
      </c>
      <c r="O228" s="2">
        <v>3.2730000000000001</v>
      </c>
      <c r="P228" s="2">
        <v>0.71699999999999997</v>
      </c>
      <c r="Q228" s="2">
        <v>0.77200000000000002</v>
      </c>
      <c r="R228" s="2">
        <v>2.2930000000000001</v>
      </c>
      <c r="S228" s="2">
        <v>8.1</v>
      </c>
      <c r="T228" s="2">
        <v>1.6220000000000001</v>
      </c>
      <c r="U228" s="2">
        <v>1.4339999999999999</v>
      </c>
      <c r="V228" s="2">
        <v>0.24099999999999999</v>
      </c>
      <c r="W228" s="2">
        <v>0.31900000000000001</v>
      </c>
      <c r="X228" s="2">
        <v>1.2529999999999999</v>
      </c>
      <c r="Y228" s="2">
        <v>53.5</v>
      </c>
      <c r="Z228" s="2">
        <v>123.4</v>
      </c>
      <c r="AA228" s="2">
        <v>212</v>
      </c>
      <c r="AB228" s="2">
        <v>43.4</v>
      </c>
      <c r="AC228" s="2">
        <v>67.7</v>
      </c>
      <c r="AD228" s="2">
        <v>7732766.7441406297</v>
      </c>
      <c r="AE228" s="2">
        <v>6271407.2597656297</v>
      </c>
      <c r="AF228" s="2">
        <v>5830228.71484375</v>
      </c>
      <c r="AG228" s="2">
        <v>6302696.57421875</v>
      </c>
      <c r="AH228" s="2">
        <v>6087139.3203125</v>
      </c>
      <c r="AI228" s="2">
        <v>226737.37451171901</v>
      </c>
      <c r="AJ228" s="2">
        <v>428282.646484375</v>
      </c>
      <c r="AK228" s="2">
        <v>230113.27880859401</v>
      </c>
      <c r="AL228" s="2">
        <v>597873.67041015602</v>
      </c>
      <c r="AM228" s="2">
        <v>256690.18603515599</v>
      </c>
      <c r="AN228" s="2">
        <v>364338.17675781302</v>
      </c>
      <c r="AO228" s="2">
        <v>379124.63330078102</v>
      </c>
      <c r="AP228" s="2">
        <v>628109.21777343797</v>
      </c>
      <c r="AQ228" s="2">
        <v>647058.234375</v>
      </c>
      <c r="AR228" s="2">
        <v>843214.375</v>
      </c>
      <c r="AS228" s="2">
        <v>612286.96826171898</v>
      </c>
      <c r="AT228" s="2">
        <v>1093133.9252929699</v>
      </c>
      <c r="AU228" s="2">
        <v>1148892.50927734</v>
      </c>
      <c r="AV228" s="2">
        <v>820233.28857421898</v>
      </c>
      <c r="AW228" s="2">
        <v>877212.12207031297</v>
      </c>
      <c r="AX228" s="2">
        <v>378602.97558593802</v>
      </c>
      <c r="AY228" s="2">
        <v>2479862.32568359</v>
      </c>
      <c r="AZ228" s="2">
        <v>485192.87207031302</v>
      </c>
      <c r="BA228" s="2">
        <v>404896.7421875</v>
      </c>
      <c r="BB228" s="2">
        <v>508881.38916015602</v>
      </c>
      <c r="BC228" s="2" t="s">
        <v>79</v>
      </c>
      <c r="BD228" s="2" t="s">
        <v>79</v>
      </c>
      <c r="BE228" s="2" t="s">
        <v>79</v>
      </c>
      <c r="BF228" s="2" t="s">
        <v>79</v>
      </c>
      <c r="BG228" s="2" t="s">
        <v>79</v>
      </c>
      <c r="BH228" s="2" t="s">
        <v>91</v>
      </c>
      <c r="BI228" s="2" t="s">
        <v>91</v>
      </c>
      <c r="BJ228" s="2" t="s">
        <v>91</v>
      </c>
      <c r="BK228" s="2" t="s">
        <v>91</v>
      </c>
      <c r="BL228" s="2" t="s">
        <v>91</v>
      </c>
      <c r="BM228" s="2" t="s">
        <v>79</v>
      </c>
      <c r="BN228" s="2" t="s">
        <v>79</v>
      </c>
      <c r="BO228" s="2" t="s">
        <v>79</v>
      </c>
      <c r="BP228" s="2" t="s">
        <v>79</v>
      </c>
      <c r="BQ228" s="2" t="s">
        <v>79</v>
      </c>
      <c r="BR228" s="2" t="s">
        <v>79</v>
      </c>
      <c r="BS228" s="2" t="s">
        <v>79</v>
      </c>
      <c r="BT228" s="2" t="s">
        <v>79</v>
      </c>
      <c r="BU228" s="2" t="s">
        <v>79</v>
      </c>
      <c r="BV228" s="2" t="s">
        <v>79</v>
      </c>
      <c r="BW228" s="2" t="s">
        <v>79</v>
      </c>
      <c r="BX228" s="2" t="s">
        <v>79</v>
      </c>
      <c r="BY228" s="2" t="s">
        <v>79</v>
      </c>
      <c r="BZ228" s="2" t="s">
        <v>79</v>
      </c>
      <c r="CA228" s="2" t="s">
        <v>79</v>
      </c>
      <c r="CB228">
        <f>TTEST(AS228:AW228,AI228:AM228,2,2)</f>
        <v>1.6723748803637003E-3</v>
      </c>
      <c r="CC228">
        <f>TTEST(AD228:AH228,AI228:AM228,2,2)</f>
        <v>9.7279326790026834E-8</v>
      </c>
      <c r="CD228">
        <f>TTEST(AN228:AR228,AI228:AM228,2,2)</f>
        <v>8.8752936704658475E-2</v>
      </c>
      <c r="CE228">
        <f>TTEST(AX228:BB228,AI228:AM228,2,2)</f>
        <v>0.25880057638172937</v>
      </c>
      <c r="CF228">
        <v>107</v>
      </c>
      <c r="CG228">
        <v>19</v>
      </c>
      <c r="CH228">
        <v>131</v>
      </c>
      <c r="CI228">
        <v>139</v>
      </c>
      <c r="CJ228">
        <f>0.05*CF228/464</f>
        <v>1.1530172413793104E-2</v>
      </c>
      <c r="CK228">
        <f>0.05*CG228/464</f>
        <v>2.0474137931034485E-3</v>
      </c>
      <c r="CL228">
        <f>0.05*CH228/464</f>
        <v>1.411637931034483E-2</v>
      </c>
      <c r="CM228">
        <f>0.05*CI228/464</f>
        <v>1.4978448275862069E-2</v>
      </c>
      <c r="CN228" t="str">
        <f>IF(CB228&lt;CJ228,"yes","no")</f>
        <v>yes</v>
      </c>
      <c r="CO228" t="str">
        <f>IF(CC228&lt;CK228,"yes","no")</f>
        <v>yes</v>
      </c>
      <c r="CP228" t="str">
        <f>IF(CD228&lt;CL228,"yes","no")</f>
        <v>no</v>
      </c>
      <c r="CQ228" t="str">
        <f>IF(CE228&lt;CM228,"yes","no")</f>
        <v>no</v>
      </c>
      <c r="CR228">
        <f>TTEST(AS228:AW228,AD228:AH228,2,2)</f>
        <v>2.3727108360521149E-7</v>
      </c>
      <c r="CS228">
        <f>TTEST(AS228:AW228,AN228:AR228,2,2)</f>
        <v>3.4114250993771154E-2</v>
      </c>
      <c r="CT228">
        <f>TTEST(AS228:AW228,AX228:BB228,2,2)</f>
        <v>0.89179881344661172</v>
      </c>
      <c r="CU228">
        <v>22</v>
      </c>
      <c r="CV228">
        <v>157</v>
      </c>
      <c r="CW228">
        <v>227</v>
      </c>
      <c r="CX228">
        <f t="shared" si="9"/>
        <v>2.3706896551724142E-3</v>
      </c>
      <c r="CY228">
        <f t="shared" si="10"/>
        <v>1.6918103448275865E-2</v>
      </c>
      <c r="CZ228">
        <f t="shared" si="11"/>
        <v>2.4461206896551728E-2</v>
      </c>
      <c r="DA228" t="str">
        <f>IF(CR228&lt;CX228,"yes","no")</f>
        <v>yes</v>
      </c>
      <c r="DB228" t="str">
        <f>IF(CS228&lt;CY228,"yes","no")</f>
        <v>no</v>
      </c>
      <c r="DC228" t="str">
        <f>IF(CT228&lt;CZ228,"yes","no")</f>
        <v>no</v>
      </c>
    </row>
    <row r="229" spans="1:107" x14ac:dyDescent="0.2">
      <c r="A229" s="2" t="b">
        <v>0</v>
      </c>
      <c r="B229" s="2" t="s">
        <v>79</v>
      </c>
      <c r="C229" s="2" t="s">
        <v>80</v>
      </c>
      <c r="D229" s="2" t="s">
        <v>565</v>
      </c>
      <c r="E229" s="2" t="s">
        <v>566</v>
      </c>
      <c r="F229" s="2">
        <v>8</v>
      </c>
      <c r="G229" s="2">
        <v>5</v>
      </c>
      <c r="H229" s="2">
        <v>97.2</v>
      </c>
      <c r="I229" s="2">
        <v>7.11</v>
      </c>
      <c r="J229" s="2" t="s">
        <v>135</v>
      </c>
      <c r="K229" s="2" t="s">
        <v>319</v>
      </c>
      <c r="L229" s="2" t="s">
        <v>119</v>
      </c>
      <c r="M229" s="2" t="s">
        <v>83</v>
      </c>
      <c r="N229" s="2" t="s">
        <v>567</v>
      </c>
      <c r="O229" s="2">
        <v>5.702</v>
      </c>
      <c r="P229" s="2">
        <v>0.68700000000000006</v>
      </c>
      <c r="Q229" s="2">
        <v>3.0390000000000001</v>
      </c>
      <c r="R229" s="2">
        <v>0.29199999999999998</v>
      </c>
      <c r="S229" s="2">
        <v>1.4019999999999999</v>
      </c>
      <c r="T229" s="2">
        <v>0.24299999999999999</v>
      </c>
      <c r="U229" s="2">
        <v>1.577</v>
      </c>
      <c r="V229" s="2">
        <v>0.16500000000000001</v>
      </c>
      <c r="W229" s="2">
        <v>0.29099999999999998</v>
      </c>
      <c r="X229" s="2">
        <v>5.4390000000000001</v>
      </c>
      <c r="Y229" s="2">
        <v>60.5</v>
      </c>
      <c r="Z229" s="2">
        <v>43.8</v>
      </c>
      <c r="AA229" s="2">
        <v>346</v>
      </c>
      <c r="AB229" s="2">
        <v>14.3</v>
      </c>
      <c r="AC229" s="2">
        <v>35.4</v>
      </c>
      <c r="AD229" s="2">
        <v>523808.640625</v>
      </c>
      <c r="AE229" s="2">
        <v>90916.12890625</v>
      </c>
      <c r="AF229" s="2">
        <v>487835.72265625</v>
      </c>
      <c r="AG229" s="2">
        <v>2718065.84375</v>
      </c>
      <c r="AH229" s="2">
        <v>54628.05078125</v>
      </c>
      <c r="AI229" s="2">
        <v>4622.234375</v>
      </c>
      <c r="AJ229" s="2">
        <v>3816.45336914063</v>
      </c>
      <c r="AK229" s="2" t="s">
        <v>83</v>
      </c>
      <c r="AL229" s="2">
        <v>46236.843261718801</v>
      </c>
      <c r="AM229" s="2">
        <v>8567.1787109375</v>
      </c>
      <c r="AN229" s="2">
        <v>41528.854980468801</v>
      </c>
      <c r="AO229" s="2">
        <v>47576.6162109375</v>
      </c>
      <c r="AP229" s="2">
        <v>47672.1328125</v>
      </c>
      <c r="AQ229" s="2">
        <v>55147.2958984375</v>
      </c>
      <c r="AR229" s="2">
        <v>155639.28466796901</v>
      </c>
      <c r="AS229" s="2">
        <v>49129.110839843801</v>
      </c>
      <c r="AT229" s="2">
        <v>11081.9296875</v>
      </c>
      <c r="AU229" s="2" t="s">
        <v>83</v>
      </c>
      <c r="AV229" s="2">
        <v>11682.7236328125</v>
      </c>
      <c r="AW229" s="2">
        <v>23210.8369140625</v>
      </c>
      <c r="AX229" s="2">
        <v>13078.4912109375</v>
      </c>
      <c r="AY229" s="2">
        <v>17853.365234375</v>
      </c>
      <c r="AZ229" s="2">
        <v>57634.32421875</v>
      </c>
      <c r="BA229" s="2" t="s">
        <v>83</v>
      </c>
      <c r="BB229" s="2">
        <v>12632.2275390625</v>
      </c>
      <c r="BC229" s="2" t="s">
        <v>79</v>
      </c>
      <c r="BD229" s="2" t="s">
        <v>98</v>
      </c>
      <c r="BE229" s="2" t="s">
        <v>79</v>
      </c>
      <c r="BF229" s="2" t="s">
        <v>79</v>
      </c>
      <c r="BG229" s="2" t="s">
        <v>98</v>
      </c>
      <c r="BH229" s="2" t="s">
        <v>91</v>
      </c>
      <c r="BI229" s="2" t="s">
        <v>98</v>
      </c>
      <c r="BJ229" s="2" t="s">
        <v>98</v>
      </c>
      <c r="BK229" s="2" t="s">
        <v>91</v>
      </c>
      <c r="BL229" s="2" t="s">
        <v>91</v>
      </c>
      <c r="BM229" s="2" t="s">
        <v>91</v>
      </c>
      <c r="BN229" s="2" t="s">
        <v>91</v>
      </c>
      <c r="BO229" s="2" t="s">
        <v>91</v>
      </c>
      <c r="BP229" s="2" t="s">
        <v>91</v>
      </c>
      <c r="BQ229" s="2" t="s">
        <v>91</v>
      </c>
      <c r="BR229" s="2" t="s">
        <v>91</v>
      </c>
      <c r="BS229" s="2" t="s">
        <v>91</v>
      </c>
      <c r="BT229" s="2" t="s">
        <v>98</v>
      </c>
      <c r="BU229" s="2" t="s">
        <v>91</v>
      </c>
      <c r="BV229" s="2" t="s">
        <v>91</v>
      </c>
      <c r="BW229" s="2" t="s">
        <v>91</v>
      </c>
      <c r="BX229" s="2" t="s">
        <v>91</v>
      </c>
      <c r="BY229" s="2" t="s">
        <v>91</v>
      </c>
      <c r="BZ229" s="2" t="s">
        <v>98</v>
      </c>
      <c r="CA229" s="2" t="s">
        <v>91</v>
      </c>
      <c r="CB229">
        <f>TTEST(AS229:AW229,AI229:AM229,2,2)</f>
        <v>0.57760542763286149</v>
      </c>
      <c r="CC229">
        <f>TTEST(AD229:AH229,AI229:AM229,2,2)</f>
        <v>0.21858054894372456</v>
      </c>
      <c r="CD229">
        <f>TTEST(AN229:AR229,AI229:AM229,2,2)</f>
        <v>7.8830169979691347E-2</v>
      </c>
      <c r="CE229">
        <f>TTEST(AX229:BB229,AI229:AM229,2,2)</f>
        <v>0.54729963033103968</v>
      </c>
      <c r="CF229">
        <v>202</v>
      </c>
      <c r="CG229">
        <v>214</v>
      </c>
      <c r="CH229">
        <v>129</v>
      </c>
      <c r="CI229">
        <v>164</v>
      </c>
      <c r="CJ229">
        <f>0.05*CF229/464</f>
        <v>2.1767241379310347E-2</v>
      </c>
      <c r="CK229">
        <f>0.05*CG229/464</f>
        <v>2.3060344827586208E-2</v>
      </c>
      <c r="CL229">
        <f>0.05*CH229/464</f>
        <v>1.3900862068965517E-2</v>
      </c>
      <c r="CM229">
        <f>0.05*CI229/464</f>
        <v>1.7672413793103449E-2</v>
      </c>
      <c r="CN229" t="str">
        <f>IF(CB229&lt;CJ229,"yes","no")</f>
        <v>no</v>
      </c>
      <c r="CO229" t="str">
        <f>IF(CC229&lt;CK229,"yes","no")</f>
        <v>no</v>
      </c>
      <c r="CP229" t="str">
        <f>IF(CD229&lt;CL229,"yes","no")</f>
        <v>no</v>
      </c>
      <c r="CQ229" t="str">
        <f>IF(CE229&lt;CM229,"yes","no")</f>
        <v>no</v>
      </c>
      <c r="CR229">
        <f>TTEST(AS229:AW229,AD229:AH229,2,2)</f>
        <v>0.22292441060968274</v>
      </c>
      <c r="CS229">
        <f>TTEST(AS229:AW229,AN229:AR229,2,2)</f>
        <v>0.11898137261381173</v>
      </c>
      <c r="CT229">
        <f>TTEST(AS229:AW229,AX229:BB229,2,2)</f>
        <v>0.91705766623867746</v>
      </c>
      <c r="CU229">
        <v>275</v>
      </c>
      <c r="CV229">
        <v>187</v>
      </c>
      <c r="CW229">
        <v>228</v>
      </c>
      <c r="CX229">
        <f t="shared" si="9"/>
        <v>2.9633620689655173E-2</v>
      </c>
      <c r="CY229">
        <f t="shared" si="10"/>
        <v>2.0150862068965516E-2</v>
      </c>
      <c r="CZ229">
        <f t="shared" si="11"/>
        <v>2.456896551724138E-2</v>
      </c>
      <c r="DA229" t="str">
        <f>IF(CR229&lt;CX229,"yes","no")</f>
        <v>no</v>
      </c>
      <c r="DB229" t="str">
        <f>IF(CS229&lt;CY229,"yes","no")</f>
        <v>no</v>
      </c>
      <c r="DC229" t="str">
        <f>IF(CT229&lt;CZ229,"yes","no")</f>
        <v>no</v>
      </c>
    </row>
    <row r="230" spans="1:107" x14ac:dyDescent="0.2">
      <c r="A230" s="2" t="b">
        <v>0</v>
      </c>
      <c r="B230" s="2" t="s">
        <v>79</v>
      </c>
      <c r="C230" s="2" t="s">
        <v>80</v>
      </c>
      <c r="D230" s="2" t="s">
        <v>438</v>
      </c>
      <c r="E230" s="2" t="s">
        <v>439</v>
      </c>
      <c r="F230" s="2">
        <v>11</v>
      </c>
      <c r="G230" s="2">
        <v>10</v>
      </c>
      <c r="H230" s="2">
        <v>72.400000000000006</v>
      </c>
      <c r="I230" s="2">
        <v>5.2</v>
      </c>
      <c r="J230" s="2" t="s">
        <v>440</v>
      </c>
      <c r="K230" s="2" t="s">
        <v>441</v>
      </c>
      <c r="L230" s="2" t="s">
        <v>442</v>
      </c>
      <c r="M230" s="2" t="s">
        <v>443</v>
      </c>
      <c r="N230" s="2" t="s">
        <v>438</v>
      </c>
      <c r="O230" s="2">
        <v>3.4359999999999999</v>
      </c>
      <c r="P230" s="2">
        <v>1.1259999999999999</v>
      </c>
      <c r="Q230" s="2">
        <v>3.1349999999999998</v>
      </c>
      <c r="R230" s="2">
        <v>0.372</v>
      </c>
      <c r="S230" s="2">
        <v>1.02</v>
      </c>
      <c r="T230" s="2">
        <v>0.45200000000000001</v>
      </c>
      <c r="U230" s="2">
        <v>0.77500000000000002</v>
      </c>
      <c r="V230" s="2">
        <v>0.252</v>
      </c>
      <c r="W230" s="2">
        <v>0.59</v>
      </c>
      <c r="X230" s="2">
        <v>2.863</v>
      </c>
      <c r="Y230" s="2">
        <v>85.4</v>
      </c>
      <c r="Z230" s="2">
        <v>84.8</v>
      </c>
      <c r="AA230" s="2">
        <v>152</v>
      </c>
      <c r="AB230" s="2">
        <v>96.7</v>
      </c>
      <c r="AC230" s="2">
        <v>81.2</v>
      </c>
      <c r="AD230" s="2">
        <v>1617507.4140625</v>
      </c>
      <c r="AE230" s="2">
        <v>948629.6953125</v>
      </c>
      <c r="AF230" s="2">
        <v>851823.7265625</v>
      </c>
      <c r="AG230" s="2">
        <v>1073626.21875</v>
      </c>
      <c r="AH230" s="2">
        <v>872166.333984375</v>
      </c>
      <c r="AI230" s="2">
        <v>21217.6435546875</v>
      </c>
      <c r="AJ230" s="2">
        <v>14617.333984375</v>
      </c>
      <c r="AK230" s="2">
        <v>22364.208984375</v>
      </c>
      <c r="AL230" s="2">
        <v>97935.1064453125</v>
      </c>
      <c r="AM230" s="2">
        <v>14527.2346191406</v>
      </c>
      <c r="AN230" s="2">
        <v>13709.745605468799</v>
      </c>
      <c r="AO230" s="2">
        <v>34449.107666015603</v>
      </c>
      <c r="AP230" s="2">
        <v>31842.7229003906</v>
      </c>
      <c r="AQ230" s="2">
        <v>38165.857666015603</v>
      </c>
      <c r="AR230" s="2">
        <v>56989.5810546875</v>
      </c>
      <c r="AS230" s="2">
        <v>154842.53857421901</v>
      </c>
      <c r="AT230" s="2">
        <v>255950.26660156299</v>
      </c>
      <c r="AU230" s="2">
        <v>82838.361328125</v>
      </c>
      <c r="AV230" s="2">
        <v>147534.09814453099</v>
      </c>
      <c r="AW230" s="2">
        <v>237304.99902343799</v>
      </c>
      <c r="AX230" s="2" t="s">
        <v>83</v>
      </c>
      <c r="AY230" s="2">
        <v>63006.2119140625</v>
      </c>
      <c r="AZ230" s="2">
        <v>575061.021484375</v>
      </c>
      <c r="BA230" s="2">
        <v>36481.072265625</v>
      </c>
      <c r="BB230" s="2">
        <v>56275.65625</v>
      </c>
      <c r="BC230" s="2" t="s">
        <v>79</v>
      </c>
      <c r="BD230" s="2" t="s">
        <v>79</v>
      </c>
      <c r="BE230" s="2" t="s">
        <v>79</v>
      </c>
      <c r="BF230" s="2" t="s">
        <v>79</v>
      </c>
      <c r="BG230" s="2" t="s">
        <v>79</v>
      </c>
      <c r="BH230" s="2" t="s">
        <v>91</v>
      </c>
      <c r="BI230" s="2" t="s">
        <v>91</v>
      </c>
      <c r="BJ230" s="2" t="s">
        <v>91</v>
      </c>
      <c r="BK230" s="2" t="s">
        <v>79</v>
      </c>
      <c r="BL230" s="2" t="s">
        <v>91</v>
      </c>
      <c r="BM230" s="2" t="s">
        <v>91</v>
      </c>
      <c r="BN230" s="2" t="s">
        <v>91</v>
      </c>
      <c r="BO230" s="2" t="s">
        <v>79</v>
      </c>
      <c r="BP230" s="2" t="s">
        <v>91</v>
      </c>
      <c r="BQ230" s="2" t="s">
        <v>79</v>
      </c>
      <c r="BR230" s="2" t="s">
        <v>79</v>
      </c>
      <c r="BS230" s="2" t="s">
        <v>79</v>
      </c>
      <c r="BT230" s="2" t="s">
        <v>79</v>
      </c>
      <c r="BU230" s="2" t="s">
        <v>79</v>
      </c>
      <c r="BV230" s="2" t="s">
        <v>91</v>
      </c>
      <c r="BW230" s="2" t="s">
        <v>98</v>
      </c>
      <c r="BX230" s="2" t="s">
        <v>79</v>
      </c>
      <c r="BY230" s="2" t="s">
        <v>91</v>
      </c>
      <c r="BZ230" s="2" t="s">
        <v>91</v>
      </c>
      <c r="CA230" s="2" t="s">
        <v>91</v>
      </c>
      <c r="CB230">
        <f>TTEST(AS230:AW230,AI230:AM230,2,2)</f>
        <v>4.0287668911942465E-3</v>
      </c>
      <c r="CC230">
        <f>TTEST(AD230:AH230,AI230:AM230,2,2)</f>
        <v>8.4988515250770483E-5</v>
      </c>
      <c r="CD230">
        <f>TTEST(AN230:AR230,AI230:AM230,2,2)</f>
        <v>0.96019826317518442</v>
      </c>
      <c r="CE230">
        <f>TTEST(AX230:BB230,AI230:AM230,2,2)</f>
        <v>0.24254189312629418</v>
      </c>
      <c r="CF230">
        <v>122</v>
      </c>
      <c r="CG230">
        <v>110</v>
      </c>
      <c r="CH230">
        <v>232</v>
      </c>
      <c r="CI230">
        <v>135</v>
      </c>
      <c r="CJ230">
        <f>0.05*CF230/464</f>
        <v>1.3146551724137933E-2</v>
      </c>
      <c r="CK230">
        <f>0.05*CG230/464</f>
        <v>1.1853448275862068E-2</v>
      </c>
      <c r="CL230">
        <f>0.05*CH230/464</f>
        <v>2.5000000000000001E-2</v>
      </c>
      <c r="CM230">
        <f>0.05*CI230/464</f>
        <v>1.4547413793103448E-2</v>
      </c>
      <c r="CN230" t="str">
        <f>IF(CB230&lt;CJ230,"yes","no")</f>
        <v>yes</v>
      </c>
      <c r="CO230" t="str">
        <f>IF(CC230&lt;CK230,"yes","no")</f>
        <v>yes</v>
      </c>
      <c r="CP230" t="str">
        <f>IF(CD230&lt;CL230,"yes","no")</f>
        <v>no</v>
      </c>
      <c r="CQ230" t="str">
        <f>IF(CE230&lt;CM230,"yes","no")</f>
        <v>no</v>
      </c>
      <c r="CR230">
        <f>TTEST(AS230:AW230,AD230:AH230,2,2)</f>
        <v>2.6493398715430607E-4</v>
      </c>
      <c r="CS230">
        <f>TTEST(AS230:AW230,AN230:AR230,2,2)</f>
        <v>2.4904222236772108E-3</v>
      </c>
      <c r="CT230">
        <f>TTEST(AS230:AW230,AX230:BB230,2,2)</f>
        <v>0.95520876259046861</v>
      </c>
      <c r="CU230">
        <v>146</v>
      </c>
      <c r="CV230">
        <v>106</v>
      </c>
      <c r="CW230">
        <v>229</v>
      </c>
      <c r="CX230">
        <f t="shared" si="9"/>
        <v>1.5732758620689655E-2</v>
      </c>
      <c r="CY230">
        <f t="shared" si="10"/>
        <v>1.142241379310345E-2</v>
      </c>
      <c r="CZ230">
        <f t="shared" si="11"/>
        <v>2.4676724137931035E-2</v>
      </c>
      <c r="DA230" t="str">
        <f>IF(CR230&lt;CX230,"yes","no")</f>
        <v>yes</v>
      </c>
      <c r="DB230" t="str">
        <f>IF(CS230&lt;CY230,"yes","no")</f>
        <v>yes</v>
      </c>
      <c r="DC230" t="str">
        <f>IF(CT230&lt;CZ230,"yes","no")</f>
        <v>no</v>
      </c>
    </row>
    <row r="231" spans="1:107" x14ac:dyDescent="0.2">
      <c r="A231" s="2" t="b">
        <v>0</v>
      </c>
      <c r="B231" s="2" t="s">
        <v>79</v>
      </c>
      <c r="C231" s="2" t="s">
        <v>80</v>
      </c>
      <c r="D231" s="2" t="s">
        <v>512</v>
      </c>
      <c r="E231" s="2" t="s">
        <v>513</v>
      </c>
      <c r="F231" s="2">
        <v>9</v>
      </c>
      <c r="G231" s="2">
        <v>9</v>
      </c>
      <c r="H231" s="2">
        <v>85.4</v>
      </c>
      <c r="I231" s="2">
        <v>7.83</v>
      </c>
      <c r="J231" s="2" t="s">
        <v>135</v>
      </c>
      <c r="K231" s="2" t="s">
        <v>514</v>
      </c>
      <c r="L231" s="2" t="s">
        <v>119</v>
      </c>
      <c r="M231" s="2" t="s">
        <v>83</v>
      </c>
      <c r="N231" s="2" t="s">
        <v>515</v>
      </c>
      <c r="O231" s="2">
        <v>2.7429999999999999</v>
      </c>
      <c r="P231" s="2">
        <v>0.24399999999999999</v>
      </c>
      <c r="Q231" s="2">
        <v>1.6519999999999999</v>
      </c>
      <c r="R231" s="2">
        <v>0.33</v>
      </c>
      <c r="S231" s="2">
        <v>1.427</v>
      </c>
      <c r="T231" s="2">
        <v>6.4000000000000001E-2</v>
      </c>
      <c r="U231" s="2">
        <v>0.41299999999999998</v>
      </c>
      <c r="V231" s="2">
        <v>0.13100000000000001</v>
      </c>
      <c r="W231" s="2">
        <v>0.9</v>
      </c>
      <c r="X231" s="2">
        <v>3.802</v>
      </c>
      <c r="Y231" s="2">
        <v>77.900000000000006</v>
      </c>
      <c r="Z231" s="2">
        <v>94.7</v>
      </c>
      <c r="AA231" s="2">
        <v>193</v>
      </c>
      <c r="AB231" s="2">
        <v>39.200000000000003</v>
      </c>
      <c r="AC231" s="2">
        <v>95.2</v>
      </c>
      <c r="AD231" s="2">
        <v>764187.86328125</v>
      </c>
      <c r="AE231" s="2">
        <v>85664.693359375</v>
      </c>
      <c r="AF231" s="2">
        <v>1001476.06445313</v>
      </c>
      <c r="AG231" s="2">
        <v>2784280.6953125</v>
      </c>
      <c r="AH231" s="2" t="s">
        <v>83</v>
      </c>
      <c r="AI231" s="2">
        <v>11651.845703125</v>
      </c>
      <c r="AJ231" s="2">
        <v>27271.689453125</v>
      </c>
      <c r="AK231" s="2">
        <v>18418.0107421875</v>
      </c>
      <c r="AL231" s="2">
        <v>111242.970703125</v>
      </c>
      <c r="AM231" s="2">
        <v>13083.0400390625</v>
      </c>
      <c r="AN231" s="2">
        <v>34525.687744140603</v>
      </c>
      <c r="AO231" s="2">
        <v>29754</v>
      </c>
      <c r="AP231" s="2">
        <v>46620.952636718801</v>
      </c>
      <c r="AQ231" s="2">
        <v>49125.576171875</v>
      </c>
      <c r="AR231" s="2">
        <v>241062.27246093799</v>
      </c>
      <c r="AS231" s="2" t="s">
        <v>83</v>
      </c>
      <c r="AT231" s="2">
        <v>94846.982910156294</v>
      </c>
      <c r="AU231" s="2">
        <v>77674.161865234404</v>
      </c>
      <c r="AV231" s="2">
        <v>3757.68823242188</v>
      </c>
      <c r="AW231" s="2" t="s">
        <v>83</v>
      </c>
      <c r="AX231" s="2">
        <v>68174.3125</v>
      </c>
      <c r="AY231" s="2">
        <v>98468.8564453125</v>
      </c>
      <c r="AZ231" s="2">
        <v>96013.9296875</v>
      </c>
      <c r="BA231" s="2">
        <v>11791.19140625</v>
      </c>
      <c r="BB231" s="2">
        <v>23500.0166015625</v>
      </c>
      <c r="BC231" s="2" t="s">
        <v>79</v>
      </c>
      <c r="BD231" s="2" t="s">
        <v>91</v>
      </c>
      <c r="BE231" s="2" t="s">
        <v>79</v>
      </c>
      <c r="BF231" s="2" t="s">
        <v>79</v>
      </c>
      <c r="BG231" s="2" t="s">
        <v>98</v>
      </c>
      <c r="BH231" s="2" t="s">
        <v>91</v>
      </c>
      <c r="BI231" s="2" t="s">
        <v>91</v>
      </c>
      <c r="BJ231" s="2" t="s">
        <v>91</v>
      </c>
      <c r="BK231" s="2" t="s">
        <v>91</v>
      </c>
      <c r="BL231" s="2" t="s">
        <v>91</v>
      </c>
      <c r="BM231" s="2" t="s">
        <v>91</v>
      </c>
      <c r="BN231" s="2" t="s">
        <v>91</v>
      </c>
      <c r="BO231" s="2" t="s">
        <v>91</v>
      </c>
      <c r="BP231" s="2" t="s">
        <v>91</v>
      </c>
      <c r="BQ231" s="2" t="s">
        <v>79</v>
      </c>
      <c r="BR231" s="2" t="s">
        <v>98</v>
      </c>
      <c r="BS231" s="2" t="s">
        <v>91</v>
      </c>
      <c r="BT231" s="2" t="s">
        <v>91</v>
      </c>
      <c r="BU231" s="2" t="s">
        <v>91</v>
      </c>
      <c r="BV231" s="2" t="s">
        <v>98</v>
      </c>
      <c r="BW231" s="2" t="s">
        <v>91</v>
      </c>
      <c r="BX231" s="2" t="s">
        <v>91</v>
      </c>
      <c r="BY231" s="2" t="s">
        <v>91</v>
      </c>
      <c r="BZ231" s="2" t="s">
        <v>91</v>
      </c>
      <c r="CA231" s="2" t="s">
        <v>91</v>
      </c>
      <c r="CB231">
        <f>TTEST(AS231:AW231,AI231:AM231,2,2)</f>
        <v>0.51539423272294937</v>
      </c>
      <c r="CC231">
        <f>TTEST(AD231:AH231,AI231:AM231,2,2)</f>
        <v>6.1978775249272616E-2</v>
      </c>
      <c r="CD231">
        <f>TTEST(AN231:AR231,AI231:AM231,2,2)</f>
        <v>0.35385446228751805</v>
      </c>
      <c r="CE231">
        <f>TTEST(AX231:BB231,AI231:AM231,2,2)</f>
        <v>0.39955977421480893</v>
      </c>
      <c r="CF231">
        <v>201</v>
      </c>
      <c r="CG231">
        <v>184</v>
      </c>
      <c r="CH231">
        <v>165</v>
      </c>
      <c r="CI231">
        <v>147</v>
      </c>
      <c r="CJ231">
        <f>0.05*CF231/464</f>
        <v>2.1659482758620691E-2</v>
      </c>
      <c r="CK231">
        <f>0.05*CG231/464</f>
        <v>1.9827586206896553E-2</v>
      </c>
      <c r="CL231">
        <f>0.05*CH231/464</f>
        <v>1.7780172413793104E-2</v>
      </c>
      <c r="CM231">
        <f>0.05*CI231/464</f>
        <v>1.5840517241379311E-2</v>
      </c>
      <c r="CN231" t="str">
        <f>IF(CB231&lt;CJ231,"yes","no")</f>
        <v>no</v>
      </c>
      <c r="CO231" t="str">
        <f>IF(CC231&lt;CK231,"yes","no")</f>
        <v>no</v>
      </c>
      <c r="CP231" t="str">
        <f>IF(CD231&lt;CL231,"yes","no")</f>
        <v>no</v>
      </c>
      <c r="CQ231" t="str">
        <f>IF(CE231&lt;CM231,"yes","no")</f>
        <v>no</v>
      </c>
      <c r="CR231">
        <f>TTEST(AS231:AW231,AD231:AH231,2,2)</f>
        <v>0.16729739559173118</v>
      </c>
      <c r="CS231">
        <f>TTEST(AS231:AW231,AN231:AR231,2,2)</f>
        <v>0.7221617190483629</v>
      </c>
      <c r="CT231">
        <f>TTEST(AS231:AW231,AX231:BB231,2,2)</f>
        <v>0.97985159559173152</v>
      </c>
      <c r="CU231">
        <v>269</v>
      </c>
      <c r="CV231">
        <v>246</v>
      </c>
      <c r="CW231">
        <v>230</v>
      </c>
      <c r="CX231">
        <f t="shared" si="9"/>
        <v>2.8987068965517244E-2</v>
      </c>
      <c r="CY231">
        <f t="shared" si="10"/>
        <v>2.6508620689655173E-2</v>
      </c>
      <c r="CZ231">
        <f t="shared" si="11"/>
        <v>2.4784482758620691E-2</v>
      </c>
      <c r="DA231" t="str">
        <f>IF(CR231&lt;CX231,"yes","no")</f>
        <v>no</v>
      </c>
      <c r="DB231" t="str">
        <f>IF(CS231&lt;CY231,"yes","no")</f>
        <v>no</v>
      </c>
      <c r="DC231" t="str">
        <f>IF(CT231&lt;CZ231,"yes","no")</f>
        <v>no</v>
      </c>
    </row>
    <row r="232" spans="1:107" x14ac:dyDescent="0.2">
      <c r="A232" s="2" t="b">
        <v>0</v>
      </c>
      <c r="B232" s="2" t="s">
        <v>79</v>
      </c>
      <c r="C232" s="2" t="s">
        <v>80</v>
      </c>
      <c r="D232" s="2" t="s">
        <v>521</v>
      </c>
      <c r="E232" s="2" t="s">
        <v>522</v>
      </c>
      <c r="F232" s="2">
        <v>6</v>
      </c>
      <c r="G232" s="2">
        <v>6</v>
      </c>
      <c r="H232" s="2">
        <v>36.5</v>
      </c>
      <c r="I232" s="2">
        <v>8.2200000000000006</v>
      </c>
      <c r="J232" s="2" t="s">
        <v>89</v>
      </c>
      <c r="K232" s="2" t="s">
        <v>84</v>
      </c>
      <c r="L232" s="2" t="s">
        <v>218</v>
      </c>
      <c r="M232" s="2" t="s">
        <v>83</v>
      </c>
      <c r="N232" s="2" t="s">
        <v>83</v>
      </c>
      <c r="O232" s="2">
        <v>4.1760000000000002</v>
      </c>
      <c r="P232" s="2">
        <v>0.16700000000000001</v>
      </c>
      <c r="Q232" s="2">
        <v>0.51900000000000002</v>
      </c>
      <c r="R232" s="2">
        <v>2.2210000000000001</v>
      </c>
      <c r="S232" s="2">
        <v>11.324999999999999</v>
      </c>
      <c r="T232" s="2">
        <v>0.57199999999999995</v>
      </c>
      <c r="U232" s="2">
        <v>1.7110000000000001</v>
      </c>
      <c r="V232" s="2">
        <v>3.5000000000000003E-2</v>
      </c>
      <c r="W232" s="2">
        <v>0.126</v>
      </c>
      <c r="X232" s="2">
        <v>3.238</v>
      </c>
      <c r="Y232" s="2">
        <v>73.7</v>
      </c>
      <c r="Z232" s="2">
        <v>21.6</v>
      </c>
      <c r="AA232" s="2">
        <v>367.3</v>
      </c>
      <c r="AB232" s="2">
        <v>10.1</v>
      </c>
      <c r="AC232" s="2">
        <v>27.2</v>
      </c>
      <c r="AD232" s="2">
        <v>7049907.734375</v>
      </c>
      <c r="AE232" s="2">
        <v>5504409.1640625</v>
      </c>
      <c r="AF232" s="2">
        <v>5197106.3984375</v>
      </c>
      <c r="AG232" s="2">
        <v>5950382.16796875</v>
      </c>
      <c r="AH232" s="2">
        <v>4931439.796875</v>
      </c>
      <c r="AI232" s="2">
        <v>38150.8623046875</v>
      </c>
      <c r="AJ232" s="2">
        <v>38125.884277343801</v>
      </c>
      <c r="AK232" s="2">
        <v>30359.107421875</v>
      </c>
      <c r="AL232" s="2">
        <v>39083.995849609397</v>
      </c>
      <c r="AM232" s="2">
        <v>21072.3869628906</v>
      </c>
      <c r="AN232" s="2">
        <v>473438.552734375</v>
      </c>
      <c r="AO232" s="2">
        <v>569429.20556640602</v>
      </c>
      <c r="AP232" s="2">
        <v>787182.77734375</v>
      </c>
      <c r="AQ232" s="2">
        <v>539762.08886718797</v>
      </c>
      <c r="AR232" s="2">
        <v>713665.58691406297</v>
      </c>
      <c r="AS232" s="2">
        <v>99350.3876953125</v>
      </c>
      <c r="AT232" s="2">
        <v>177042.84375</v>
      </c>
      <c r="AU232" s="2">
        <v>81259.5068359375</v>
      </c>
      <c r="AV232" s="2">
        <v>138066.09375</v>
      </c>
      <c r="AW232" s="2">
        <v>137328.08496093799</v>
      </c>
      <c r="AX232" s="2">
        <v>109569.66503906299</v>
      </c>
      <c r="AY232" s="2">
        <v>187008.189453125</v>
      </c>
      <c r="AZ232" s="2">
        <v>167997.43359375</v>
      </c>
      <c r="BA232" s="2">
        <v>109789.228515625</v>
      </c>
      <c r="BB232" s="2">
        <v>60853.904296875</v>
      </c>
      <c r="BC232" s="2" t="s">
        <v>79</v>
      </c>
      <c r="BD232" s="2" t="s">
        <v>79</v>
      </c>
      <c r="BE232" s="2" t="s">
        <v>79</v>
      </c>
      <c r="BF232" s="2" t="s">
        <v>79</v>
      </c>
      <c r="BG232" s="2" t="s">
        <v>79</v>
      </c>
      <c r="BH232" s="2" t="s">
        <v>91</v>
      </c>
      <c r="BI232" s="2" t="s">
        <v>91</v>
      </c>
      <c r="BJ232" s="2" t="s">
        <v>91</v>
      </c>
      <c r="BK232" s="2" t="s">
        <v>91</v>
      </c>
      <c r="BL232" s="2" t="s">
        <v>91</v>
      </c>
      <c r="BM232" s="2" t="s">
        <v>79</v>
      </c>
      <c r="BN232" s="2" t="s">
        <v>79</v>
      </c>
      <c r="BO232" s="2" t="s">
        <v>79</v>
      </c>
      <c r="BP232" s="2" t="s">
        <v>79</v>
      </c>
      <c r="BQ232" s="2" t="s">
        <v>79</v>
      </c>
      <c r="BR232" s="2" t="s">
        <v>91</v>
      </c>
      <c r="BS232" s="2" t="s">
        <v>79</v>
      </c>
      <c r="BT232" s="2" t="s">
        <v>79</v>
      </c>
      <c r="BU232" s="2" t="s">
        <v>79</v>
      </c>
      <c r="BV232" s="2" t="s">
        <v>79</v>
      </c>
      <c r="BW232" s="2" t="s">
        <v>91</v>
      </c>
      <c r="BX232" s="2" t="s">
        <v>79</v>
      </c>
      <c r="BY232" s="2" t="s">
        <v>79</v>
      </c>
      <c r="BZ232" s="2" t="s">
        <v>79</v>
      </c>
      <c r="CA232" s="2" t="s">
        <v>79</v>
      </c>
      <c r="CB232">
        <f>TTEST(AS232:AW232,AI232:AM232,2,2)</f>
        <v>5.9952191229607071E-4</v>
      </c>
      <c r="CC232">
        <f>TTEST(AD232:AH232,AI232:AM232,2,2)</f>
        <v>3.2776890558342441E-7</v>
      </c>
      <c r="CD232">
        <f>TTEST(AN232:AR232,AI232:AM232,2,2)</f>
        <v>8.1787149562089975E-6</v>
      </c>
      <c r="CE232">
        <f>TTEST(AX232:BB232,AI232:AM232,2,2)</f>
        <v>3.487366539648702E-3</v>
      </c>
      <c r="CF232">
        <v>94</v>
      </c>
      <c r="CG232">
        <v>37</v>
      </c>
      <c r="CH232">
        <v>22</v>
      </c>
      <c r="CI232">
        <v>69</v>
      </c>
      <c r="CJ232">
        <f>0.05*CF232/464</f>
        <v>1.0129310344827587E-2</v>
      </c>
      <c r="CK232">
        <f>0.05*CG232/464</f>
        <v>3.9870689655172415E-3</v>
      </c>
      <c r="CL232">
        <f>0.05*CH232/464</f>
        <v>2.3706896551724142E-3</v>
      </c>
      <c r="CM232">
        <f>0.05*CI232/464</f>
        <v>7.435344827586207E-3</v>
      </c>
      <c r="CN232" t="str">
        <f>IF(CB232&lt;CJ232,"yes","no")</f>
        <v>yes</v>
      </c>
      <c r="CO232" t="str">
        <f>IF(CC232&lt;CK232,"yes","no")</f>
        <v>yes</v>
      </c>
      <c r="CP232" t="str">
        <f>IF(CD232&lt;CL232,"yes","no")</f>
        <v>yes</v>
      </c>
      <c r="CQ232" t="str">
        <f>IF(CE232&lt;CM232,"yes","no")</f>
        <v>yes</v>
      </c>
      <c r="CR232">
        <f>TTEST(AS232:AW232,AD232:AH232,2,2)</f>
        <v>3.753804105764862E-7</v>
      </c>
      <c r="CS232">
        <f>TTEST(AS232:AW232,AN232:AR232,2,2)</f>
        <v>3.8987949028821652E-5</v>
      </c>
      <c r="CT232">
        <f>TTEST(AS232:AW232,AX232:BB232,2,2)</f>
        <v>0.98806772030272472</v>
      </c>
      <c r="CU232">
        <v>32</v>
      </c>
      <c r="CV232">
        <v>26</v>
      </c>
      <c r="CW232">
        <v>231</v>
      </c>
      <c r="CX232">
        <f t="shared" si="9"/>
        <v>3.4482758620689659E-3</v>
      </c>
      <c r="CY232">
        <f t="shared" si="10"/>
        <v>2.8017241379310344E-3</v>
      </c>
      <c r="CZ232">
        <f t="shared" si="11"/>
        <v>2.4892241379310346E-2</v>
      </c>
      <c r="DA232" t="str">
        <f>IF(CR232&lt;CX232,"yes","no")</f>
        <v>yes</v>
      </c>
      <c r="DB232" t="str">
        <f>IF(CS232&lt;CY232,"yes","no")</f>
        <v>yes</v>
      </c>
      <c r="DC232" t="str">
        <f>IF(CT232&lt;CZ232,"yes","no")</f>
        <v>no</v>
      </c>
    </row>
    <row r="233" spans="1:107" x14ac:dyDescent="0.2">
      <c r="A233" s="2" t="b">
        <v>0</v>
      </c>
      <c r="B233" s="2" t="s">
        <v>79</v>
      </c>
      <c r="C233" s="2" t="s">
        <v>80</v>
      </c>
      <c r="D233" s="2" t="s">
        <v>1555</v>
      </c>
      <c r="E233" s="2" t="s">
        <v>1556</v>
      </c>
      <c r="F233" s="2">
        <v>1</v>
      </c>
      <c r="G233" s="2">
        <v>1</v>
      </c>
      <c r="H233" s="2">
        <v>28.2</v>
      </c>
      <c r="I233" s="2">
        <v>5.3</v>
      </c>
      <c r="J233" s="2" t="s">
        <v>135</v>
      </c>
      <c r="K233" s="2" t="s">
        <v>84</v>
      </c>
      <c r="L233" s="2" t="s">
        <v>83</v>
      </c>
      <c r="M233" s="2" t="s">
        <v>1557</v>
      </c>
      <c r="N233" s="2" t="s">
        <v>1558</v>
      </c>
      <c r="O233" s="2">
        <v>1.9830000000000001</v>
      </c>
      <c r="P233" s="2">
        <v>0.84399999999999997</v>
      </c>
      <c r="Q233" s="2">
        <v>2.633</v>
      </c>
      <c r="R233" s="2">
        <v>0.50900000000000001</v>
      </c>
      <c r="S233" s="2">
        <v>1.0089999999999999</v>
      </c>
      <c r="T233" s="2">
        <v>0.48</v>
      </c>
      <c r="U233" s="2">
        <v>1.266</v>
      </c>
      <c r="V233" s="2">
        <v>0.47599999999999998</v>
      </c>
      <c r="W233" s="2">
        <v>1.2549999999999999</v>
      </c>
      <c r="X233" s="2">
        <v>2.6360000000000001</v>
      </c>
      <c r="Y233" s="2">
        <v>59.7</v>
      </c>
      <c r="Z233" s="2">
        <v>117.2</v>
      </c>
      <c r="AA233" s="2">
        <v>118.3</v>
      </c>
      <c r="AB233" s="2">
        <v>56.3</v>
      </c>
      <c r="AC233" s="2">
        <v>148.5</v>
      </c>
      <c r="AD233" s="2">
        <v>133240.75</v>
      </c>
      <c r="AE233" s="2">
        <v>67040.5859375</v>
      </c>
      <c r="AF233" s="2">
        <v>84996.328125</v>
      </c>
      <c r="AG233" s="2" t="s">
        <v>83</v>
      </c>
      <c r="AH233" s="2">
        <v>33585.59375</v>
      </c>
      <c r="AI233" s="2" t="s">
        <v>83</v>
      </c>
      <c r="AJ233" s="2" t="s">
        <v>83</v>
      </c>
      <c r="AK233" s="2" t="s">
        <v>83</v>
      </c>
      <c r="AL233" s="2" t="s">
        <v>83</v>
      </c>
      <c r="AM233" s="2">
        <v>2757.70263671875</v>
      </c>
      <c r="AN233" s="2" t="s">
        <v>83</v>
      </c>
      <c r="AO233" s="2" t="s">
        <v>83</v>
      </c>
      <c r="AP233" s="2" t="s">
        <v>83</v>
      </c>
      <c r="AQ233" s="2">
        <v>3687.79077148438</v>
      </c>
      <c r="AR233" s="2">
        <v>4239.18212890625</v>
      </c>
      <c r="AS233" s="2">
        <v>11431.9541015625</v>
      </c>
      <c r="AT233" s="2">
        <v>12953.181640625</v>
      </c>
      <c r="AU233" s="2">
        <v>11158.8466796875</v>
      </c>
      <c r="AV233" s="2" t="s">
        <v>83</v>
      </c>
      <c r="AW233" s="2">
        <v>12532.572265625</v>
      </c>
      <c r="AX233" s="2">
        <v>11835.1923828125</v>
      </c>
      <c r="AY233" s="2">
        <v>14129.60546875</v>
      </c>
      <c r="AZ233" s="2">
        <v>7918.5869140625</v>
      </c>
      <c r="BA233" s="2">
        <v>16119.1630859375</v>
      </c>
      <c r="BB233" s="2">
        <v>9975.703125</v>
      </c>
      <c r="BC233" s="2" t="s">
        <v>79</v>
      </c>
      <c r="BD233" s="2" t="s">
        <v>79</v>
      </c>
      <c r="BE233" s="2" t="s">
        <v>79</v>
      </c>
      <c r="BF233" s="2" t="s">
        <v>79</v>
      </c>
      <c r="BG233" s="2" t="s">
        <v>79</v>
      </c>
      <c r="BH233" s="2" t="s">
        <v>98</v>
      </c>
      <c r="BI233" s="2" t="s">
        <v>98</v>
      </c>
      <c r="BJ233" s="2" t="s">
        <v>98</v>
      </c>
      <c r="BK233" s="2" t="s">
        <v>98</v>
      </c>
      <c r="BL233" s="2" t="s">
        <v>91</v>
      </c>
      <c r="BM233" s="2" t="s">
        <v>98</v>
      </c>
      <c r="BN233" s="2" t="s">
        <v>98</v>
      </c>
      <c r="BO233" s="2" t="s">
        <v>98</v>
      </c>
      <c r="BP233" s="2" t="s">
        <v>91</v>
      </c>
      <c r="BQ233" s="2" t="s">
        <v>91</v>
      </c>
      <c r="BR233" s="2" t="s">
        <v>91</v>
      </c>
      <c r="BS233" s="2" t="s">
        <v>91</v>
      </c>
      <c r="BT233" s="2" t="s">
        <v>91</v>
      </c>
      <c r="BU233" s="2" t="s">
        <v>98</v>
      </c>
      <c r="BV233" s="2" t="s">
        <v>91</v>
      </c>
      <c r="BW233" s="2" t="s">
        <v>91</v>
      </c>
      <c r="BX233" s="2" t="s">
        <v>91</v>
      </c>
      <c r="BY233" s="2" t="s">
        <v>91</v>
      </c>
      <c r="BZ233" s="2" t="s">
        <v>91</v>
      </c>
      <c r="CA233" s="2" t="s">
        <v>91</v>
      </c>
      <c r="CB233" t="e">
        <f>TTEST(AS233:AW233,AI233:AM233,2,2)</f>
        <v>#DIV/0!</v>
      </c>
      <c r="CC233" t="e">
        <f>TTEST(AD233:AH233,AI233:AM233,2,2)</f>
        <v>#DIV/0!</v>
      </c>
      <c r="CD233" t="e">
        <f>TTEST(AN233:AR233,AI233:AM233,2,2)</f>
        <v>#DIV/0!</v>
      </c>
      <c r="CE233" t="e">
        <f>TTEST(AX233:BB233,AI233:AM233,2,2)</f>
        <v>#DIV/0!</v>
      </c>
      <c r="CF233">
        <v>279</v>
      </c>
      <c r="CG233">
        <v>293</v>
      </c>
      <c r="CH233">
        <v>297</v>
      </c>
      <c r="CI233">
        <v>213</v>
      </c>
      <c r="CJ233">
        <f>0.05*CF233/464</f>
        <v>3.0064655172413794E-2</v>
      </c>
      <c r="CK233">
        <f>0.05*CG233/464</f>
        <v>3.157327586206897E-2</v>
      </c>
      <c r="CL233">
        <f>0.05*CH233/464</f>
        <v>3.2004310344827591E-2</v>
      </c>
      <c r="CM233">
        <f>0.05*CI233/464</f>
        <v>2.2952586206896552E-2</v>
      </c>
      <c r="CN233" t="e">
        <f>IF(CB233&lt;CJ233,"yes","no")</f>
        <v>#DIV/0!</v>
      </c>
      <c r="CO233" t="e">
        <f>IF(CC233&lt;CK233,"yes","no")</f>
        <v>#DIV/0!</v>
      </c>
      <c r="CP233" t="e">
        <f>IF(CD233&lt;CL233,"yes","no")</f>
        <v>#DIV/0!</v>
      </c>
      <c r="CQ233" t="e">
        <f>IF(CE233&lt;CM233,"yes","no")</f>
        <v>#DIV/0!</v>
      </c>
      <c r="CR233">
        <f>TTEST(AS233:AW233,AD233:AH233,2,2)</f>
        <v>1.7310331795006823E-2</v>
      </c>
      <c r="CS233">
        <f>TTEST(AS233:AW233,AN233:AR233,2,2)</f>
        <v>2.6960943715562103E-4</v>
      </c>
      <c r="CT233">
        <f>TTEST(AS233:AW233,AX233:BB233,2,2)</f>
        <v>0.98930818796432374</v>
      </c>
      <c r="CU233">
        <v>202</v>
      </c>
      <c r="CV233">
        <v>70</v>
      </c>
      <c r="CW233">
        <v>232</v>
      </c>
      <c r="CX233">
        <f t="shared" si="9"/>
        <v>2.1767241379310347E-2</v>
      </c>
      <c r="CY233">
        <f t="shared" si="10"/>
        <v>7.5431034482758624E-3</v>
      </c>
      <c r="CZ233">
        <f t="shared" si="11"/>
        <v>2.5000000000000001E-2</v>
      </c>
      <c r="DA233" t="str">
        <f>IF(CR233&lt;CX233,"yes","no")</f>
        <v>yes</v>
      </c>
      <c r="DB233" t="str">
        <f>IF(CS233&lt;CY233,"yes","no")</f>
        <v>yes</v>
      </c>
      <c r="DC233" t="str">
        <f>IF(CT233&lt;CZ233,"yes","no")</f>
        <v>no</v>
      </c>
    </row>
    <row r="234" spans="1:107" x14ac:dyDescent="0.2">
      <c r="A234" s="2" t="b">
        <v>0</v>
      </c>
      <c r="B234" s="2" t="s">
        <v>79</v>
      </c>
      <c r="C234" s="2" t="s">
        <v>80</v>
      </c>
      <c r="D234" s="2" t="s">
        <v>279</v>
      </c>
      <c r="E234" s="2" t="s">
        <v>280</v>
      </c>
      <c r="F234" s="2">
        <v>8</v>
      </c>
      <c r="G234" s="2">
        <v>1</v>
      </c>
      <c r="H234" s="2">
        <v>59.3</v>
      </c>
      <c r="I234" s="2">
        <v>8.6300000000000008</v>
      </c>
      <c r="J234" s="2" t="s">
        <v>83</v>
      </c>
      <c r="K234" s="2" t="s">
        <v>247</v>
      </c>
      <c r="L234" s="2" t="s">
        <v>119</v>
      </c>
      <c r="M234" s="2" t="s">
        <v>281</v>
      </c>
      <c r="N234" s="2" t="s">
        <v>279</v>
      </c>
      <c r="O234" s="2">
        <v>100</v>
      </c>
      <c r="P234" s="2" t="s">
        <v>83</v>
      </c>
      <c r="Q234" s="2">
        <v>100</v>
      </c>
      <c r="R234" s="2">
        <v>0.01</v>
      </c>
      <c r="S234" s="2">
        <v>1.4870000000000001</v>
      </c>
      <c r="T234" s="2">
        <v>0.01</v>
      </c>
      <c r="U234" s="2">
        <v>7.1790000000000003</v>
      </c>
      <c r="V234" s="2">
        <v>0.01</v>
      </c>
      <c r="W234" s="2">
        <v>3.1080000000000001</v>
      </c>
      <c r="X234" s="2">
        <v>100</v>
      </c>
      <c r="Y234" s="2" t="s">
        <v>83</v>
      </c>
      <c r="Z234" s="2">
        <v>46.6</v>
      </c>
      <c r="AA234" s="2">
        <v>106.7</v>
      </c>
      <c r="AB234" s="2" t="s">
        <v>83</v>
      </c>
      <c r="AC234" s="2">
        <v>346.7</v>
      </c>
      <c r="AD234" s="2" t="s">
        <v>83</v>
      </c>
      <c r="AE234" s="2" t="s">
        <v>83</v>
      </c>
      <c r="AF234" s="2" t="s">
        <v>83</v>
      </c>
      <c r="AG234" s="2" t="s">
        <v>83</v>
      </c>
      <c r="AH234" s="2" t="s">
        <v>83</v>
      </c>
      <c r="AI234" s="2">
        <v>9366.314453125</v>
      </c>
      <c r="AJ234" s="2">
        <v>11849.2021484375</v>
      </c>
      <c r="AK234" s="2" t="s">
        <v>83</v>
      </c>
      <c r="AL234" s="2">
        <v>111138.015625</v>
      </c>
      <c r="AM234" s="2">
        <v>10708.0576171875</v>
      </c>
      <c r="AN234" s="2" t="s">
        <v>83</v>
      </c>
      <c r="AO234" s="2" t="s">
        <v>83</v>
      </c>
      <c r="AP234" s="2">
        <v>17245.94140625</v>
      </c>
      <c r="AQ234" s="2" t="s">
        <v>83</v>
      </c>
      <c r="AR234" s="2">
        <v>66123.583984375</v>
      </c>
      <c r="AS234" s="2" t="s">
        <v>83</v>
      </c>
      <c r="AT234" s="2" t="s">
        <v>83</v>
      </c>
      <c r="AU234" s="2" t="s">
        <v>83</v>
      </c>
      <c r="AV234" s="2" t="s">
        <v>83</v>
      </c>
      <c r="AW234" s="2" t="s">
        <v>83</v>
      </c>
      <c r="AX234" s="2">
        <v>257856.5625</v>
      </c>
      <c r="AY234" s="2">
        <v>293511.09375</v>
      </c>
      <c r="AZ234" s="2">
        <v>327820.90625</v>
      </c>
      <c r="BA234" s="2">
        <v>222679.515625</v>
      </c>
      <c r="BB234" s="2">
        <v>181993.765625</v>
      </c>
      <c r="BC234" s="2" t="s">
        <v>98</v>
      </c>
      <c r="BD234" s="2" t="s">
        <v>98</v>
      </c>
      <c r="BE234" s="2" t="s">
        <v>98</v>
      </c>
      <c r="BF234" s="2" t="s">
        <v>98</v>
      </c>
      <c r="BG234" s="2" t="s">
        <v>98</v>
      </c>
      <c r="BH234" s="2" t="s">
        <v>91</v>
      </c>
      <c r="BI234" s="2" t="s">
        <v>91</v>
      </c>
      <c r="BJ234" s="2" t="s">
        <v>98</v>
      </c>
      <c r="BK234" s="2" t="s">
        <v>79</v>
      </c>
      <c r="BL234" s="2" t="s">
        <v>91</v>
      </c>
      <c r="BM234" s="2" t="s">
        <v>98</v>
      </c>
      <c r="BN234" s="2" t="s">
        <v>98</v>
      </c>
      <c r="BO234" s="2" t="s">
        <v>91</v>
      </c>
      <c r="BP234" s="2" t="s">
        <v>98</v>
      </c>
      <c r="BQ234" s="2" t="s">
        <v>91</v>
      </c>
      <c r="BR234" s="2" t="s">
        <v>98</v>
      </c>
      <c r="BS234" s="2" t="s">
        <v>98</v>
      </c>
      <c r="BT234" s="2" t="s">
        <v>98</v>
      </c>
      <c r="BU234" s="2" t="s">
        <v>98</v>
      </c>
      <c r="BV234" s="2" t="s">
        <v>98</v>
      </c>
      <c r="BW234" s="2" t="s">
        <v>91</v>
      </c>
      <c r="BX234" s="2" t="s">
        <v>91</v>
      </c>
      <c r="BY234" s="2" t="s">
        <v>91</v>
      </c>
      <c r="BZ234" s="2" t="s">
        <v>91</v>
      </c>
      <c r="CA234" s="2" t="s">
        <v>91</v>
      </c>
      <c r="CB234" t="e">
        <f>TTEST(AS234:AW234,AI234:AM234,2,2)</f>
        <v>#DIV/0!</v>
      </c>
      <c r="CC234" t="e">
        <f>TTEST(AD234:AH234,AI234:AM234,2,2)</f>
        <v>#DIV/0!</v>
      </c>
      <c r="CD234">
        <f>TTEST(AN234:AR234,AI234:AM234,2,2)</f>
        <v>0.89101723266195354</v>
      </c>
      <c r="CE234">
        <f>TTEST(AX234:BB234,AI234:AM234,2,2)</f>
        <v>5.1392809697628614E-4</v>
      </c>
      <c r="CF234">
        <v>434</v>
      </c>
      <c r="CG234">
        <v>442</v>
      </c>
      <c r="CH234">
        <v>227</v>
      </c>
      <c r="CI234">
        <v>47</v>
      </c>
      <c r="CJ234">
        <f>0.05*CF234/464</f>
        <v>4.6767241379310348E-2</v>
      </c>
      <c r="CK234">
        <f>0.05*CG234/464</f>
        <v>4.7629310344827591E-2</v>
      </c>
      <c r="CL234">
        <f>0.05*CH234/464</f>
        <v>2.4461206896551728E-2</v>
      </c>
      <c r="CM234">
        <f>0.05*CI234/464</f>
        <v>5.0646551724137937E-3</v>
      </c>
      <c r="CN234" t="e">
        <f>IF(CB234&lt;CJ234,"yes","no")</f>
        <v>#DIV/0!</v>
      </c>
      <c r="CO234" t="e">
        <f>IF(CC234&lt;CK234,"yes","no")</f>
        <v>#DIV/0!</v>
      </c>
      <c r="CP234" t="str">
        <f>IF(CD234&lt;CL234,"yes","no")</f>
        <v>no</v>
      </c>
      <c r="CQ234" t="str">
        <f>IF(CE234&lt;CM234,"yes","no")</f>
        <v>yes</v>
      </c>
      <c r="CR234" t="e">
        <f>TTEST(AS234:AW234,AD234:AH234,2,2)</f>
        <v>#DIV/0!</v>
      </c>
      <c r="CS234" t="e">
        <f>TTEST(AS234:AW234,AN234:AR234,2,2)</f>
        <v>#DIV/0!</v>
      </c>
      <c r="CT234" t="e">
        <f>TTEST(AS234:AW234,AX234:BB234,2,2)</f>
        <v>#DIV/0!</v>
      </c>
      <c r="CU234">
        <v>320</v>
      </c>
      <c r="CV234">
        <v>323</v>
      </c>
      <c r="CW234">
        <v>233</v>
      </c>
      <c r="CX234">
        <f t="shared" si="9"/>
        <v>3.4482758620689655E-2</v>
      </c>
      <c r="CY234">
        <f t="shared" si="10"/>
        <v>3.4806034482758624E-2</v>
      </c>
      <c r="CZ234">
        <f t="shared" si="11"/>
        <v>2.5107758620689657E-2</v>
      </c>
      <c r="DA234" t="e">
        <f>IF(CR234&lt;CX234,"yes","no")</f>
        <v>#DIV/0!</v>
      </c>
      <c r="DB234" t="e">
        <f>IF(CS234&lt;CY234,"yes","no")</f>
        <v>#DIV/0!</v>
      </c>
      <c r="DC234" t="e">
        <f>IF(CT234&lt;CZ234,"yes","no")</f>
        <v>#DIV/0!</v>
      </c>
    </row>
    <row r="235" spans="1:107" x14ac:dyDescent="0.2">
      <c r="A235" s="2" t="b">
        <v>0</v>
      </c>
      <c r="B235" s="2" t="s">
        <v>79</v>
      </c>
      <c r="C235" s="2" t="s">
        <v>80</v>
      </c>
      <c r="D235" s="2" t="s">
        <v>562</v>
      </c>
      <c r="E235" s="2" t="s">
        <v>563</v>
      </c>
      <c r="F235" s="2">
        <v>7</v>
      </c>
      <c r="G235" s="2">
        <v>7</v>
      </c>
      <c r="H235" s="2">
        <v>66.8</v>
      </c>
      <c r="I235" s="2">
        <v>6.05</v>
      </c>
      <c r="J235" s="2" t="s">
        <v>89</v>
      </c>
      <c r="K235" s="2" t="s">
        <v>391</v>
      </c>
      <c r="L235" s="2" t="s">
        <v>119</v>
      </c>
      <c r="M235" s="2" t="s">
        <v>564</v>
      </c>
      <c r="N235" s="2" t="s">
        <v>562</v>
      </c>
      <c r="O235" s="2">
        <v>1.6459999999999999</v>
      </c>
      <c r="P235" s="2">
        <v>0.01</v>
      </c>
      <c r="Q235" s="2">
        <v>5.8529999999999998</v>
      </c>
      <c r="R235" s="2">
        <v>0.191</v>
      </c>
      <c r="S235" s="2">
        <v>0.72299999999999998</v>
      </c>
      <c r="T235" s="2">
        <v>0.01</v>
      </c>
      <c r="U235" s="2" t="s">
        <v>83</v>
      </c>
      <c r="V235" s="2">
        <v>0.01</v>
      </c>
      <c r="W235" s="2" t="s">
        <v>83</v>
      </c>
      <c r="X235" s="2">
        <v>100</v>
      </c>
      <c r="Y235" s="2">
        <v>135.80000000000001</v>
      </c>
      <c r="Z235" s="2">
        <v>57.7</v>
      </c>
      <c r="AA235" s="2">
        <v>135.80000000000001</v>
      </c>
      <c r="AB235" s="2" t="s">
        <v>83</v>
      </c>
      <c r="AC235" s="2">
        <v>170.6</v>
      </c>
      <c r="AD235" s="2">
        <v>2206453.046875</v>
      </c>
      <c r="AE235" s="2">
        <v>1812166.828125</v>
      </c>
      <c r="AF235" s="2">
        <v>1487877.8046875</v>
      </c>
      <c r="AG235" s="2">
        <v>1885873.1328125</v>
      </c>
      <c r="AH235" s="2">
        <v>1526227.34375</v>
      </c>
      <c r="AI235" s="2">
        <v>16269.19921875</v>
      </c>
      <c r="AJ235" s="2">
        <v>28044.29296875</v>
      </c>
      <c r="AK235" s="2" t="s">
        <v>83</v>
      </c>
      <c r="AL235" s="2">
        <v>9943.7021484375</v>
      </c>
      <c r="AM235" s="2">
        <v>11780.5888671875</v>
      </c>
      <c r="AN235" s="2">
        <v>27205.05078125</v>
      </c>
      <c r="AO235" s="2">
        <v>36047.32421875</v>
      </c>
      <c r="AP235" s="2">
        <v>35690.1953125</v>
      </c>
      <c r="AQ235" s="2">
        <v>31620.70703125</v>
      </c>
      <c r="AR235" s="2">
        <v>51060.96484375</v>
      </c>
      <c r="AS235" s="2" t="s">
        <v>83</v>
      </c>
      <c r="AT235" s="2" t="s">
        <v>83</v>
      </c>
      <c r="AU235" s="2" t="s">
        <v>83</v>
      </c>
      <c r="AV235" s="2" t="s">
        <v>83</v>
      </c>
      <c r="AW235" s="2" t="s">
        <v>83</v>
      </c>
      <c r="AX235" s="2">
        <v>90695.2265625</v>
      </c>
      <c r="AY235" s="2" t="s">
        <v>83</v>
      </c>
      <c r="AZ235" s="2">
        <v>165942.515625</v>
      </c>
      <c r="BA235" s="2">
        <v>123531.9296875</v>
      </c>
      <c r="BB235" s="2">
        <v>72705.34375</v>
      </c>
      <c r="BC235" s="2" t="s">
        <v>79</v>
      </c>
      <c r="BD235" s="2" t="s">
        <v>79</v>
      </c>
      <c r="BE235" s="2" t="s">
        <v>79</v>
      </c>
      <c r="BF235" s="2" t="s">
        <v>79</v>
      </c>
      <c r="BG235" s="2" t="s">
        <v>79</v>
      </c>
      <c r="BH235" s="2" t="s">
        <v>91</v>
      </c>
      <c r="BI235" s="2" t="s">
        <v>91</v>
      </c>
      <c r="BJ235" s="2" t="s">
        <v>98</v>
      </c>
      <c r="BK235" s="2" t="s">
        <v>91</v>
      </c>
      <c r="BL235" s="2" t="s">
        <v>91</v>
      </c>
      <c r="BM235" s="2" t="s">
        <v>79</v>
      </c>
      <c r="BN235" s="2" t="s">
        <v>91</v>
      </c>
      <c r="BO235" s="2" t="s">
        <v>91</v>
      </c>
      <c r="BP235" s="2" t="s">
        <v>91</v>
      </c>
      <c r="BQ235" s="2" t="s">
        <v>79</v>
      </c>
      <c r="BR235" s="2" t="s">
        <v>98</v>
      </c>
      <c r="BS235" s="2" t="s">
        <v>98</v>
      </c>
      <c r="BT235" s="2" t="s">
        <v>98</v>
      </c>
      <c r="BU235" s="2" t="s">
        <v>98</v>
      </c>
      <c r="BV235" s="2" t="s">
        <v>98</v>
      </c>
      <c r="BW235" s="2" t="s">
        <v>91</v>
      </c>
      <c r="BX235" s="2" t="s">
        <v>98</v>
      </c>
      <c r="BY235" s="2" t="s">
        <v>91</v>
      </c>
      <c r="BZ235" s="2" t="s">
        <v>91</v>
      </c>
      <c r="CA235" s="2" t="s">
        <v>91</v>
      </c>
      <c r="CB235" t="e">
        <f>TTEST(AS235:AW235,AI235:AM235,2,2)</f>
        <v>#DIV/0!</v>
      </c>
      <c r="CC235">
        <f>TTEST(AD235:AH235,AI235:AM235,2,2)</f>
        <v>6.785696307936225E-6</v>
      </c>
      <c r="CD235">
        <f>TTEST(AN235:AR235,AI235:AM235,2,2)</f>
        <v>1.1101315502234296E-2</v>
      </c>
      <c r="CE235">
        <f>TTEST(AX235:BB235,AI235:AM235,2,2)</f>
        <v>3.57424192361849E-3</v>
      </c>
      <c r="CF235">
        <v>435</v>
      </c>
      <c r="CG235">
        <v>79</v>
      </c>
      <c r="CH235">
        <v>97</v>
      </c>
      <c r="CI235">
        <v>70</v>
      </c>
      <c r="CJ235">
        <f>0.05*CF235/464</f>
        <v>4.6875E-2</v>
      </c>
      <c r="CK235">
        <f>0.05*CG235/464</f>
        <v>8.5129310344827583E-3</v>
      </c>
      <c r="CL235">
        <f>0.05*CH235/464</f>
        <v>1.0452586206896554E-2</v>
      </c>
      <c r="CM235">
        <f>0.05*CI235/464</f>
        <v>7.5431034482758624E-3</v>
      </c>
      <c r="CN235" t="e">
        <f>IF(CB235&lt;CJ235,"yes","no")</f>
        <v>#DIV/0!</v>
      </c>
      <c r="CO235" t="str">
        <f>IF(CC235&lt;CK235,"yes","no")</f>
        <v>yes</v>
      </c>
      <c r="CP235" t="str">
        <f>IF(CD235&lt;CL235,"yes","no")</f>
        <v>no</v>
      </c>
      <c r="CQ235" t="str">
        <f>IF(CE235&lt;CM235,"yes","no")</f>
        <v>yes</v>
      </c>
      <c r="CR235" t="e">
        <f>TTEST(AS235:AW235,AD235:AH235,2,2)</f>
        <v>#DIV/0!</v>
      </c>
      <c r="CS235" t="e">
        <f>TTEST(AS235:AW235,AN235:AR235,2,2)</f>
        <v>#DIV/0!</v>
      </c>
      <c r="CT235" t="e">
        <f>TTEST(AS235:AW235,AX235:BB235,2,2)</f>
        <v>#DIV/0!</v>
      </c>
      <c r="CU235">
        <v>306</v>
      </c>
      <c r="CV235">
        <v>311</v>
      </c>
      <c r="CW235">
        <v>234</v>
      </c>
      <c r="CX235">
        <f t="shared" si="9"/>
        <v>3.2974137931034486E-2</v>
      </c>
      <c r="CY235">
        <f t="shared" si="10"/>
        <v>3.351293103448276E-2</v>
      </c>
      <c r="CZ235">
        <f t="shared" si="11"/>
        <v>2.5215517241379312E-2</v>
      </c>
      <c r="DA235" t="e">
        <f>IF(CR235&lt;CX235,"yes","no")</f>
        <v>#DIV/0!</v>
      </c>
      <c r="DB235" t="e">
        <f>IF(CS235&lt;CY235,"yes","no")</f>
        <v>#DIV/0!</v>
      </c>
      <c r="DC235" t="e">
        <f>IF(CT235&lt;CZ235,"yes","no")</f>
        <v>#DIV/0!</v>
      </c>
    </row>
    <row r="236" spans="1:107" x14ac:dyDescent="0.2">
      <c r="A236" s="2" t="b">
        <v>0</v>
      </c>
      <c r="B236" s="2" t="s">
        <v>79</v>
      </c>
      <c r="C236" s="2" t="s">
        <v>80</v>
      </c>
      <c r="D236" s="2" t="s">
        <v>887</v>
      </c>
      <c r="E236" s="2" t="s">
        <v>888</v>
      </c>
      <c r="F236" s="2">
        <v>3</v>
      </c>
      <c r="G236" s="2">
        <v>3</v>
      </c>
      <c r="H236" s="2">
        <v>34.9</v>
      </c>
      <c r="I236" s="2">
        <v>8.3800000000000008</v>
      </c>
      <c r="J236" s="2" t="s">
        <v>135</v>
      </c>
      <c r="K236" s="2" t="s">
        <v>514</v>
      </c>
      <c r="L236" s="2" t="s">
        <v>119</v>
      </c>
      <c r="M236" s="2" t="s">
        <v>83</v>
      </c>
      <c r="N236" s="2" t="s">
        <v>889</v>
      </c>
      <c r="O236" s="2">
        <v>1.851</v>
      </c>
      <c r="P236" s="2">
        <v>0.214</v>
      </c>
      <c r="Q236" s="2">
        <v>2.238</v>
      </c>
      <c r="R236" s="2">
        <v>1.0649999999999999</v>
      </c>
      <c r="S236" s="2">
        <v>1.923</v>
      </c>
      <c r="T236" s="2">
        <v>0.22800000000000001</v>
      </c>
      <c r="U236" s="2">
        <v>2.3839999999999999</v>
      </c>
      <c r="V236" s="2">
        <v>0.115</v>
      </c>
      <c r="W236" s="2">
        <v>1.1990000000000001</v>
      </c>
      <c r="X236" s="2">
        <v>10.451000000000001</v>
      </c>
      <c r="Y236" s="2">
        <v>79.900000000000006</v>
      </c>
      <c r="Z236" s="2">
        <v>75</v>
      </c>
      <c r="AA236" s="2">
        <v>149.19999999999999</v>
      </c>
      <c r="AB236" s="2">
        <v>17.100000000000001</v>
      </c>
      <c r="AC236" s="2">
        <v>178.8</v>
      </c>
      <c r="AD236" s="2">
        <v>215271.765625</v>
      </c>
      <c r="AE236" s="2" t="s">
        <v>83</v>
      </c>
      <c r="AF236" s="2">
        <v>229405.984375</v>
      </c>
      <c r="AG236" s="2">
        <v>916350.140625</v>
      </c>
      <c r="AH236" s="2" t="s">
        <v>83</v>
      </c>
      <c r="AI236" s="2" t="s">
        <v>83</v>
      </c>
      <c r="AJ236" s="2" t="s">
        <v>83</v>
      </c>
      <c r="AK236" s="2">
        <v>4283.6806640625</v>
      </c>
      <c r="AL236" s="2">
        <v>12063.3203125</v>
      </c>
      <c r="AM236" s="2">
        <v>3075.96752929688</v>
      </c>
      <c r="AN236" s="2" t="s">
        <v>83</v>
      </c>
      <c r="AO236" s="2">
        <v>6259.63916015625</v>
      </c>
      <c r="AP236" s="2" t="s">
        <v>83</v>
      </c>
      <c r="AQ236" s="2" t="s">
        <v>83</v>
      </c>
      <c r="AR236" s="2">
        <v>14993.6201171875</v>
      </c>
      <c r="AS236" s="2" t="s">
        <v>83</v>
      </c>
      <c r="AT236" s="2" t="s">
        <v>83</v>
      </c>
      <c r="AU236" s="2" t="s">
        <v>83</v>
      </c>
      <c r="AV236" s="2">
        <v>8169.6240234375</v>
      </c>
      <c r="AW236" s="2" t="s">
        <v>83</v>
      </c>
      <c r="AX236" s="2">
        <v>31758.701171875</v>
      </c>
      <c r="AY236" s="2" t="s">
        <v>83</v>
      </c>
      <c r="AZ236" s="2" t="s">
        <v>83</v>
      </c>
      <c r="BA236" s="2" t="s">
        <v>83</v>
      </c>
      <c r="BB236" s="2">
        <v>25349.576171875</v>
      </c>
      <c r="BC236" s="2" t="s">
        <v>79</v>
      </c>
      <c r="BD236" s="2" t="s">
        <v>91</v>
      </c>
      <c r="BE236" s="2" t="s">
        <v>79</v>
      </c>
      <c r="BF236" s="2" t="s">
        <v>79</v>
      </c>
      <c r="BG236" s="2" t="s">
        <v>91</v>
      </c>
      <c r="BH236" s="2" t="s">
        <v>91</v>
      </c>
      <c r="BI236" s="2" t="s">
        <v>91</v>
      </c>
      <c r="BJ236" s="2" t="s">
        <v>91</v>
      </c>
      <c r="BK236" s="2" t="s">
        <v>91</v>
      </c>
      <c r="BL236" s="2" t="s">
        <v>91</v>
      </c>
      <c r="BM236" s="2" t="s">
        <v>91</v>
      </c>
      <c r="BN236" s="2" t="s">
        <v>91</v>
      </c>
      <c r="BO236" s="2" t="s">
        <v>91</v>
      </c>
      <c r="BP236" s="2" t="s">
        <v>91</v>
      </c>
      <c r="BQ236" s="2" t="s">
        <v>91</v>
      </c>
      <c r="BR236" s="2" t="s">
        <v>91</v>
      </c>
      <c r="BS236" s="2" t="s">
        <v>91</v>
      </c>
      <c r="BT236" s="2" t="s">
        <v>91</v>
      </c>
      <c r="BU236" s="2" t="s">
        <v>91</v>
      </c>
      <c r="BV236" s="2" t="s">
        <v>91</v>
      </c>
      <c r="BW236" s="2" t="s">
        <v>91</v>
      </c>
      <c r="BX236" s="2" t="s">
        <v>91</v>
      </c>
      <c r="BY236" s="2" t="s">
        <v>98</v>
      </c>
      <c r="BZ236" s="2" t="s">
        <v>98</v>
      </c>
      <c r="CA236" s="2" t="s">
        <v>91</v>
      </c>
      <c r="CB236" t="e">
        <f>TTEST(AS236:AW236,AI236:AM236,2,2)</f>
        <v>#DIV/0!</v>
      </c>
      <c r="CC236">
        <f>TTEST(AD236:AH236,AI236:AM236,2,2)</f>
        <v>0.12542922405002668</v>
      </c>
      <c r="CD236">
        <f>TTEST(AN236:AR236,AI236:AM236,2,2)</f>
        <v>0.45734474820224308</v>
      </c>
      <c r="CE236">
        <f>TTEST(AX236:BB236,AI236:AM236,2,2)</f>
        <v>1.4770184150804928E-2</v>
      </c>
      <c r="CF236">
        <v>427</v>
      </c>
      <c r="CG236">
        <v>199</v>
      </c>
      <c r="CH236">
        <v>179</v>
      </c>
      <c r="CI236">
        <v>87</v>
      </c>
      <c r="CJ236">
        <f>0.05*CF236/464</f>
        <v>4.6012931034482764E-2</v>
      </c>
      <c r="CK236">
        <f>0.05*CG236/464</f>
        <v>2.1443965517241381E-2</v>
      </c>
      <c r="CL236">
        <f>0.05*CH236/464</f>
        <v>1.928879310344828E-2</v>
      </c>
      <c r="CM236">
        <f>0.05*CI236/464</f>
        <v>9.3750000000000014E-3</v>
      </c>
      <c r="CN236" t="e">
        <f>IF(CB236&lt;CJ236,"yes","no")</f>
        <v>#DIV/0!</v>
      </c>
      <c r="CO236" t="str">
        <f>IF(CC236&lt;CK236,"yes","no")</f>
        <v>no</v>
      </c>
      <c r="CP236" t="str">
        <f>IF(CD236&lt;CL236,"yes","no")</f>
        <v>no</v>
      </c>
      <c r="CQ236" t="str">
        <f>IF(CE236&lt;CM236,"yes","no")</f>
        <v>no</v>
      </c>
      <c r="CR236" t="e">
        <f>TTEST(AS236:AW236,AD236:AH236,2,2)</f>
        <v>#DIV/0!</v>
      </c>
      <c r="CS236" t="e">
        <f>TTEST(AS236:AW236,AN236:AR236,2,2)</f>
        <v>#DIV/0!</v>
      </c>
      <c r="CT236" t="e">
        <f>TTEST(AS236:AW236,AX236:BB236,2,2)</f>
        <v>#DIV/0!</v>
      </c>
      <c r="CU236">
        <v>316</v>
      </c>
      <c r="CV236">
        <v>320</v>
      </c>
      <c r="CW236">
        <v>235</v>
      </c>
      <c r="CX236">
        <f t="shared" si="9"/>
        <v>3.4051724137931033E-2</v>
      </c>
      <c r="CY236">
        <f t="shared" si="10"/>
        <v>3.4482758620689655E-2</v>
      </c>
      <c r="CZ236">
        <f t="shared" si="11"/>
        <v>2.5323275862068964E-2</v>
      </c>
      <c r="DA236" t="e">
        <f>IF(CR236&lt;CX236,"yes","no")</f>
        <v>#DIV/0!</v>
      </c>
      <c r="DB236" t="e">
        <f>IF(CS236&lt;CY236,"yes","no")</f>
        <v>#DIV/0!</v>
      </c>
      <c r="DC236" t="e">
        <f>IF(CT236&lt;CZ236,"yes","no")</f>
        <v>#DIV/0!</v>
      </c>
    </row>
    <row r="237" spans="1:107" x14ac:dyDescent="0.2">
      <c r="A237" s="2" t="b">
        <v>0</v>
      </c>
      <c r="B237" s="2" t="s">
        <v>79</v>
      </c>
      <c r="C237" s="2" t="s">
        <v>80</v>
      </c>
      <c r="D237" s="2" t="s">
        <v>865</v>
      </c>
      <c r="E237" s="2" t="s">
        <v>866</v>
      </c>
      <c r="F237" s="2">
        <v>4</v>
      </c>
      <c r="G237" s="2">
        <v>4</v>
      </c>
      <c r="H237" s="2">
        <v>122.3</v>
      </c>
      <c r="I237" s="2">
        <v>5.86</v>
      </c>
      <c r="J237" s="2" t="s">
        <v>528</v>
      </c>
      <c r="K237" s="2" t="s">
        <v>629</v>
      </c>
      <c r="L237" s="2" t="s">
        <v>119</v>
      </c>
      <c r="M237" s="2" t="s">
        <v>83</v>
      </c>
      <c r="N237" s="2" t="s">
        <v>865</v>
      </c>
      <c r="O237" s="2">
        <v>4.2350000000000003</v>
      </c>
      <c r="P237" s="2">
        <v>0.01</v>
      </c>
      <c r="Q237" s="2">
        <v>5.5350000000000001</v>
      </c>
      <c r="R237" s="2">
        <v>0.37</v>
      </c>
      <c r="S237" s="2">
        <v>1.2490000000000001</v>
      </c>
      <c r="T237" s="2">
        <v>0.01</v>
      </c>
      <c r="U237" s="2">
        <v>2.5659999999999998</v>
      </c>
      <c r="V237" s="2">
        <v>0.01</v>
      </c>
      <c r="W237" s="2">
        <v>0.999</v>
      </c>
      <c r="X237" s="2">
        <v>100</v>
      </c>
      <c r="Y237" s="2">
        <v>124.3</v>
      </c>
      <c r="Z237" s="2">
        <v>80.400000000000006</v>
      </c>
      <c r="AA237" s="2">
        <v>153.9</v>
      </c>
      <c r="AB237" s="2" t="s">
        <v>83</v>
      </c>
      <c r="AC237" s="2">
        <v>141.4</v>
      </c>
      <c r="AD237" s="2">
        <v>566167.515625</v>
      </c>
      <c r="AE237" s="2">
        <v>540879.2734375</v>
      </c>
      <c r="AF237" s="2">
        <v>516543.0234375</v>
      </c>
      <c r="AG237" s="2">
        <v>752040.44921875</v>
      </c>
      <c r="AH237" s="2">
        <v>248483.609375</v>
      </c>
      <c r="AI237" s="2">
        <v>12111.3857421875</v>
      </c>
      <c r="AJ237" s="2">
        <v>5529.947265625</v>
      </c>
      <c r="AK237" s="2" t="s">
        <v>83</v>
      </c>
      <c r="AL237" s="2" t="s">
        <v>83</v>
      </c>
      <c r="AM237" s="2" t="s">
        <v>83</v>
      </c>
      <c r="AN237" s="2">
        <v>11603.6455078125</v>
      </c>
      <c r="AO237" s="2">
        <v>16721.591796875</v>
      </c>
      <c r="AP237" s="2">
        <v>13469.009765625</v>
      </c>
      <c r="AQ237" s="2">
        <v>7143.775390625</v>
      </c>
      <c r="AR237" s="2">
        <v>34608.423828125</v>
      </c>
      <c r="AS237" s="2" t="s">
        <v>83</v>
      </c>
      <c r="AT237" s="2" t="s">
        <v>83</v>
      </c>
      <c r="AU237" s="2" t="s">
        <v>83</v>
      </c>
      <c r="AV237" s="2" t="s">
        <v>83</v>
      </c>
      <c r="AW237" s="2" t="s">
        <v>83</v>
      </c>
      <c r="AX237" s="2" t="s">
        <v>83</v>
      </c>
      <c r="AY237" s="2" t="s">
        <v>83</v>
      </c>
      <c r="AZ237" s="2">
        <v>39915.15234375</v>
      </c>
      <c r="BA237" s="2">
        <v>32102.251953125</v>
      </c>
      <c r="BB237" s="2" t="s">
        <v>83</v>
      </c>
      <c r="BC237" s="2" t="s">
        <v>79</v>
      </c>
      <c r="BD237" s="2" t="s">
        <v>79</v>
      </c>
      <c r="BE237" s="2" t="s">
        <v>79</v>
      </c>
      <c r="BF237" s="2" t="s">
        <v>79</v>
      </c>
      <c r="BG237" s="2" t="s">
        <v>79</v>
      </c>
      <c r="BH237" s="2" t="s">
        <v>91</v>
      </c>
      <c r="BI237" s="2" t="s">
        <v>91</v>
      </c>
      <c r="BJ237" s="2" t="s">
        <v>98</v>
      </c>
      <c r="BK237" s="2" t="s">
        <v>98</v>
      </c>
      <c r="BL237" s="2" t="s">
        <v>98</v>
      </c>
      <c r="BM237" s="2" t="s">
        <v>91</v>
      </c>
      <c r="BN237" s="2" t="s">
        <v>91</v>
      </c>
      <c r="BO237" s="2" t="s">
        <v>91</v>
      </c>
      <c r="BP237" s="2" t="s">
        <v>91</v>
      </c>
      <c r="BQ237" s="2" t="s">
        <v>91</v>
      </c>
      <c r="BR237" s="2" t="s">
        <v>98</v>
      </c>
      <c r="BS237" s="2" t="s">
        <v>98</v>
      </c>
      <c r="BT237" s="2" t="s">
        <v>98</v>
      </c>
      <c r="BU237" s="2" t="s">
        <v>98</v>
      </c>
      <c r="BV237" s="2" t="s">
        <v>98</v>
      </c>
      <c r="BW237" s="2" t="s">
        <v>98</v>
      </c>
      <c r="BX237" s="2" t="s">
        <v>98</v>
      </c>
      <c r="BY237" s="2" t="s">
        <v>91</v>
      </c>
      <c r="BZ237" s="2" t="s">
        <v>91</v>
      </c>
      <c r="CA237" s="2" t="s">
        <v>98</v>
      </c>
      <c r="CB237" t="e">
        <f>TTEST(AS237:AW237,AI237:AM237,2,2)</f>
        <v>#DIV/0!</v>
      </c>
      <c r="CC237">
        <f>TTEST(AD237:AH237,AI237:AM237,2,2)</f>
        <v>1.2320928936628631E-2</v>
      </c>
      <c r="CD237">
        <f>TTEST(AN237:AR237,AI237:AM237,2,2)</f>
        <v>0.37551592209213802</v>
      </c>
      <c r="CE237">
        <f>TTEST(AX237:BB237,AI237:AM237,2,2)</f>
        <v>3.3529320934720504E-2</v>
      </c>
      <c r="CF237">
        <v>440</v>
      </c>
      <c r="CG237">
        <v>164</v>
      </c>
      <c r="CH237">
        <v>168</v>
      </c>
      <c r="CI237">
        <v>101</v>
      </c>
      <c r="CJ237">
        <f>0.05*CF237/464</f>
        <v>4.7413793103448273E-2</v>
      </c>
      <c r="CK237">
        <f>0.05*CG237/464</f>
        <v>1.7672413793103449E-2</v>
      </c>
      <c r="CL237">
        <f>0.05*CH237/464</f>
        <v>1.810344827586207E-2</v>
      </c>
      <c r="CM237">
        <f>0.05*CI237/464</f>
        <v>1.0883620689655173E-2</v>
      </c>
      <c r="CN237" t="e">
        <f>IF(CB237&lt;CJ237,"yes","no")</f>
        <v>#DIV/0!</v>
      </c>
      <c r="CO237" t="str">
        <f>IF(CC237&lt;CK237,"yes","no")</f>
        <v>yes</v>
      </c>
      <c r="CP237" t="str">
        <f>IF(CD237&lt;CL237,"yes","no")</f>
        <v>no</v>
      </c>
      <c r="CQ237" t="str">
        <f>IF(CE237&lt;CM237,"yes","no")</f>
        <v>no</v>
      </c>
      <c r="CR237" t="e">
        <f>TTEST(AS237:AW237,AD237:AH237,2,2)</f>
        <v>#DIV/0!</v>
      </c>
      <c r="CS237" t="e">
        <f>TTEST(AS237:AW237,AN237:AR237,2,2)</f>
        <v>#DIV/0!</v>
      </c>
      <c r="CT237" t="e">
        <f>TTEST(AS237:AW237,AX237:BB237,2,2)</f>
        <v>#DIV/0!</v>
      </c>
      <c r="CU237">
        <v>315</v>
      </c>
      <c r="CV237">
        <v>319</v>
      </c>
      <c r="CW237">
        <v>236</v>
      </c>
      <c r="CX237">
        <f t="shared" si="9"/>
        <v>3.3943965517241381E-2</v>
      </c>
      <c r="CY237">
        <f t="shared" si="10"/>
        <v>3.4375000000000003E-2</v>
      </c>
      <c r="CZ237">
        <f t="shared" si="11"/>
        <v>2.5431034482758623E-2</v>
      </c>
      <c r="DA237" t="e">
        <f>IF(CR237&lt;CX237,"yes","no")</f>
        <v>#DIV/0!</v>
      </c>
      <c r="DB237" t="e">
        <f>IF(CS237&lt;CY237,"yes","no")</f>
        <v>#DIV/0!</v>
      </c>
      <c r="DC237" t="e">
        <f>IF(CT237&lt;CZ237,"yes","no")</f>
        <v>#DIV/0!</v>
      </c>
    </row>
    <row r="238" spans="1:107" x14ac:dyDescent="0.2">
      <c r="A238" s="2" t="b">
        <v>0</v>
      </c>
      <c r="B238" s="2" t="s">
        <v>79</v>
      </c>
      <c r="C238" s="2" t="s">
        <v>80</v>
      </c>
      <c r="D238" s="2" t="s">
        <v>559</v>
      </c>
      <c r="E238" s="2" t="s">
        <v>560</v>
      </c>
      <c r="F238" s="2">
        <v>8</v>
      </c>
      <c r="G238" s="2">
        <v>1</v>
      </c>
      <c r="H238" s="2">
        <v>48.8</v>
      </c>
      <c r="I238" s="2">
        <v>4.8600000000000003</v>
      </c>
      <c r="J238" s="2" t="s">
        <v>83</v>
      </c>
      <c r="K238" s="2" t="s">
        <v>247</v>
      </c>
      <c r="L238" s="2" t="s">
        <v>119</v>
      </c>
      <c r="M238" s="2" t="s">
        <v>83</v>
      </c>
      <c r="N238" s="2" t="s">
        <v>561</v>
      </c>
      <c r="O238" s="2">
        <v>4.0979999999999999</v>
      </c>
      <c r="P238" s="2">
        <v>11.497</v>
      </c>
      <c r="Q238" s="2">
        <v>3.0150000000000001</v>
      </c>
      <c r="R238" s="2">
        <v>0.01</v>
      </c>
      <c r="S238" s="2">
        <v>1.1180000000000001</v>
      </c>
      <c r="T238" s="2">
        <v>4.3999999999999997E-2</v>
      </c>
      <c r="U238" s="2">
        <v>0.183</v>
      </c>
      <c r="V238" s="2">
        <v>2.806</v>
      </c>
      <c r="W238" s="2">
        <v>0.32400000000000001</v>
      </c>
      <c r="X238" s="2">
        <v>0.247</v>
      </c>
      <c r="Y238" s="2">
        <v>8.3000000000000007</v>
      </c>
      <c r="Z238" s="2">
        <v>164.2</v>
      </c>
      <c r="AA238" s="2">
        <v>202.5</v>
      </c>
      <c r="AB238" s="2">
        <v>95.7</v>
      </c>
      <c r="AC238" s="2">
        <v>29.3</v>
      </c>
      <c r="AD238" s="2" t="s">
        <v>83</v>
      </c>
      <c r="AE238" s="2" t="s">
        <v>83</v>
      </c>
      <c r="AF238" s="2">
        <v>31638.98828125</v>
      </c>
      <c r="AG238" s="2">
        <v>65020.078125</v>
      </c>
      <c r="AH238" s="2" t="s">
        <v>83</v>
      </c>
      <c r="AI238" s="2" t="s">
        <v>83</v>
      </c>
      <c r="AJ238" s="2">
        <v>13996.34765625</v>
      </c>
      <c r="AK238" s="2">
        <v>15971.54296875</v>
      </c>
      <c r="AL238" s="2">
        <v>486049.078125</v>
      </c>
      <c r="AM238" s="2">
        <v>14381.2548828125</v>
      </c>
      <c r="AN238" s="2">
        <v>19694.5339355469</v>
      </c>
      <c r="AO238" s="2">
        <v>14100.7890625</v>
      </c>
      <c r="AP238" s="2">
        <v>26074.111328125</v>
      </c>
      <c r="AQ238" s="2">
        <v>18123.51171875</v>
      </c>
      <c r="AR238" s="2">
        <v>35148.030761718801</v>
      </c>
      <c r="AS238" s="2" t="s">
        <v>83</v>
      </c>
      <c r="AT238" s="2" t="s">
        <v>83</v>
      </c>
      <c r="AU238" s="2" t="s">
        <v>83</v>
      </c>
      <c r="AV238" s="2">
        <v>75353.796875</v>
      </c>
      <c r="AW238" s="2" t="s">
        <v>83</v>
      </c>
      <c r="AX238" s="2">
        <v>6034.21875</v>
      </c>
      <c r="AY238" s="2">
        <v>15563.2919921875</v>
      </c>
      <c r="AZ238" s="2" t="s">
        <v>83</v>
      </c>
      <c r="BA238" s="2">
        <v>7501.98193359375</v>
      </c>
      <c r="BB238" s="2">
        <v>21473.984863281301</v>
      </c>
      <c r="BC238" s="2" t="s">
        <v>98</v>
      </c>
      <c r="BD238" s="2" t="s">
        <v>98</v>
      </c>
      <c r="BE238" s="2" t="s">
        <v>91</v>
      </c>
      <c r="BF238" s="2" t="s">
        <v>79</v>
      </c>
      <c r="BG238" s="2" t="s">
        <v>98</v>
      </c>
      <c r="BH238" s="2" t="s">
        <v>98</v>
      </c>
      <c r="BI238" s="2" t="s">
        <v>98</v>
      </c>
      <c r="BJ238" s="2" t="s">
        <v>98</v>
      </c>
      <c r="BK238" s="2" t="s">
        <v>79</v>
      </c>
      <c r="BL238" s="2" t="s">
        <v>98</v>
      </c>
      <c r="BM238" s="2" t="s">
        <v>91</v>
      </c>
      <c r="BN238" s="2" t="s">
        <v>98</v>
      </c>
      <c r="BO238" s="2" t="s">
        <v>98</v>
      </c>
      <c r="BP238" s="2" t="s">
        <v>98</v>
      </c>
      <c r="BQ238" s="2" t="s">
        <v>91</v>
      </c>
      <c r="BR238" s="2" t="s">
        <v>98</v>
      </c>
      <c r="BS238" s="2" t="s">
        <v>98</v>
      </c>
      <c r="BT238" s="2" t="s">
        <v>98</v>
      </c>
      <c r="BU238" s="2" t="s">
        <v>79</v>
      </c>
      <c r="BV238" s="2" t="s">
        <v>98</v>
      </c>
      <c r="BW238" s="2" t="s">
        <v>91</v>
      </c>
      <c r="BX238" s="2" t="s">
        <v>98</v>
      </c>
      <c r="BY238" s="2" t="s">
        <v>98</v>
      </c>
      <c r="BZ238" s="2" t="s">
        <v>91</v>
      </c>
      <c r="CA238" s="2" t="s">
        <v>91</v>
      </c>
      <c r="CB238" t="e">
        <f>TTEST(AS238:AW238,AI238:AM238,2,2)</f>
        <v>#DIV/0!</v>
      </c>
      <c r="CC238">
        <f>TTEST(AD238:AH238,AI238:AM238,2,2)</f>
        <v>0.65887745608617188</v>
      </c>
      <c r="CD238">
        <f>TTEST(AN238:AR238,AI238:AM238,2,2)</f>
        <v>0.32355119317515563</v>
      </c>
      <c r="CE238">
        <f>TTEST(AX238:BB238,AI238:AM238,2,2)</f>
        <v>0.34809871883906124</v>
      </c>
      <c r="CF238">
        <v>433</v>
      </c>
      <c r="CG238">
        <v>233</v>
      </c>
      <c r="CH238">
        <v>158</v>
      </c>
      <c r="CI238">
        <v>143</v>
      </c>
      <c r="CJ238">
        <f>0.05*CF238/464</f>
        <v>4.6659482758620696E-2</v>
      </c>
      <c r="CK238">
        <f>0.05*CG238/464</f>
        <v>2.5107758620689657E-2</v>
      </c>
      <c r="CL238">
        <f>0.05*CH238/464</f>
        <v>1.7025862068965517E-2</v>
      </c>
      <c r="CM238">
        <f>0.05*CI238/464</f>
        <v>1.5409482758620691E-2</v>
      </c>
      <c r="CN238" t="e">
        <f>IF(CB238&lt;CJ238,"yes","no")</f>
        <v>#DIV/0!</v>
      </c>
      <c r="CO238" t="str">
        <f>IF(CC238&lt;CK238,"yes","no")</f>
        <v>no</v>
      </c>
      <c r="CP238" t="str">
        <f>IF(CD238&lt;CL238,"yes","no")</f>
        <v>no</v>
      </c>
      <c r="CQ238" t="str">
        <f>IF(CE238&lt;CM238,"yes","no")</f>
        <v>no</v>
      </c>
      <c r="CR238" t="e">
        <f>TTEST(AS238:AW238,AD238:AH238,2,2)</f>
        <v>#DIV/0!</v>
      </c>
      <c r="CS238" t="e">
        <f>TTEST(AS238:AW238,AN238:AR238,2,2)</f>
        <v>#DIV/0!</v>
      </c>
      <c r="CT238" t="e">
        <f>TTEST(AS238:AW238,AX238:BB238,2,2)</f>
        <v>#DIV/0!</v>
      </c>
      <c r="CU238">
        <v>314</v>
      </c>
      <c r="CV238">
        <v>318</v>
      </c>
      <c r="CW238">
        <v>237</v>
      </c>
      <c r="CX238">
        <f t="shared" si="9"/>
        <v>3.3836206896551729E-2</v>
      </c>
      <c r="CY238">
        <f t="shared" si="10"/>
        <v>3.4267241379310344E-2</v>
      </c>
      <c r="CZ238">
        <f t="shared" si="11"/>
        <v>2.5538793103448278E-2</v>
      </c>
      <c r="DA238" t="e">
        <f>IF(CR238&lt;CX238,"yes","no")</f>
        <v>#DIV/0!</v>
      </c>
      <c r="DB238" t="e">
        <f>IF(CS238&lt;CY238,"yes","no")</f>
        <v>#DIV/0!</v>
      </c>
      <c r="DC238" t="e">
        <f>IF(CT238&lt;CZ238,"yes","no")</f>
        <v>#DIV/0!</v>
      </c>
    </row>
    <row r="239" spans="1:107" x14ac:dyDescent="0.2">
      <c r="A239" s="2" t="b">
        <v>0</v>
      </c>
      <c r="B239" s="2" t="s">
        <v>79</v>
      </c>
      <c r="C239" s="2" t="s">
        <v>80</v>
      </c>
      <c r="D239" s="2" t="s">
        <v>1671</v>
      </c>
      <c r="E239" s="2" t="s">
        <v>1672</v>
      </c>
      <c r="F239" s="2">
        <v>1</v>
      </c>
      <c r="G239" s="2">
        <v>1</v>
      </c>
      <c r="H239" s="2">
        <v>32.4</v>
      </c>
      <c r="I239" s="2">
        <v>7.25</v>
      </c>
      <c r="J239" s="2" t="s">
        <v>150</v>
      </c>
      <c r="K239" s="2" t="s">
        <v>654</v>
      </c>
      <c r="L239" s="2" t="s">
        <v>375</v>
      </c>
      <c r="M239" s="2" t="s">
        <v>1673</v>
      </c>
      <c r="N239" s="2" t="s">
        <v>1671</v>
      </c>
      <c r="O239" s="2">
        <v>100</v>
      </c>
      <c r="P239" s="2">
        <v>100</v>
      </c>
      <c r="Q239" s="2">
        <v>100</v>
      </c>
      <c r="R239" s="2">
        <v>0.01</v>
      </c>
      <c r="S239" s="2">
        <v>0.73399999999999999</v>
      </c>
      <c r="T239" s="2">
        <v>0.57099999999999995</v>
      </c>
      <c r="U239" s="2">
        <v>0.31</v>
      </c>
      <c r="V239" s="2">
        <v>0.754</v>
      </c>
      <c r="W239" s="2">
        <v>0.40300000000000002</v>
      </c>
      <c r="X239" s="2">
        <v>0.54400000000000004</v>
      </c>
      <c r="Y239" s="2" t="s">
        <v>83</v>
      </c>
      <c r="Z239" s="2">
        <v>189.6</v>
      </c>
      <c r="AA239" s="2">
        <v>143.4</v>
      </c>
      <c r="AB239" s="2">
        <v>108.2</v>
      </c>
      <c r="AC239" s="2">
        <v>58.8</v>
      </c>
      <c r="AD239" s="2" t="s">
        <v>83</v>
      </c>
      <c r="AE239" s="2" t="s">
        <v>83</v>
      </c>
      <c r="AF239" s="2" t="s">
        <v>83</v>
      </c>
      <c r="AG239" s="2" t="s">
        <v>83</v>
      </c>
      <c r="AH239" s="2" t="s">
        <v>83</v>
      </c>
      <c r="AI239" s="2" t="s">
        <v>83</v>
      </c>
      <c r="AJ239" s="2">
        <v>14748.62890625</v>
      </c>
      <c r="AK239" s="2">
        <v>13890.37890625</v>
      </c>
      <c r="AL239" s="2">
        <v>52093.4921875</v>
      </c>
      <c r="AM239" s="2">
        <v>12881.7470703125</v>
      </c>
      <c r="AN239" s="2">
        <v>10448.0029296875</v>
      </c>
      <c r="AO239" s="2">
        <v>17633.134765625</v>
      </c>
      <c r="AP239" s="2">
        <v>9683.6376953125</v>
      </c>
      <c r="AQ239" s="2">
        <v>12298.171875</v>
      </c>
      <c r="AR239" s="2">
        <v>15201.646484375</v>
      </c>
      <c r="AS239" s="2">
        <v>62849.33203125</v>
      </c>
      <c r="AT239" s="2" t="s">
        <v>83</v>
      </c>
      <c r="AU239" s="2" t="s">
        <v>83</v>
      </c>
      <c r="AV239" s="2" t="s">
        <v>83</v>
      </c>
      <c r="AW239" s="2" t="s">
        <v>83</v>
      </c>
      <c r="AX239" s="2" t="s">
        <v>83</v>
      </c>
      <c r="AY239" s="2">
        <v>23591.9296875</v>
      </c>
      <c r="AZ239" s="2">
        <v>13371.4052734375</v>
      </c>
      <c r="BA239" s="2" t="s">
        <v>83</v>
      </c>
      <c r="BB239" s="2" t="s">
        <v>83</v>
      </c>
      <c r="BC239" s="2" t="s">
        <v>98</v>
      </c>
      <c r="BD239" s="2" t="s">
        <v>98</v>
      </c>
      <c r="BE239" s="2" t="s">
        <v>98</v>
      </c>
      <c r="BF239" s="2" t="s">
        <v>98</v>
      </c>
      <c r="BG239" s="2" t="s">
        <v>98</v>
      </c>
      <c r="BH239" s="2" t="s">
        <v>98</v>
      </c>
      <c r="BI239" s="2" t="s">
        <v>91</v>
      </c>
      <c r="BJ239" s="2" t="s">
        <v>91</v>
      </c>
      <c r="BK239" s="2" t="s">
        <v>79</v>
      </c>
      <c r="BL239" s="2" t="s">
        <v>91</v>
      </c>
      <c r="BM239" s="2" t="s">
        <v>91</v>
      </c>
      <c r="BN239" s="2" t="s">
        <v>91</v>
      </c>
      <c r="BO239" s="2" t="s">
        <v>91</v>
      </c>
      <c r="BP239" s="2" t="s">
        <v>91</v>
      </c>
      <c r="BQ239" s="2" t="s">
        <v>79</v>
      </c>
      <c r="BR239" s="2" t="s">
        <v>91</v>
      </c>
      <c r="BS239" s="2" t="s">
        <v>98</v>
      </c>
      <c r="BT239" s="2" t="s">
        <v>98</v>
      </c>
      <c r="BU239" s="2" t="s">
        <v>98</v>
      </c>
      <c r="BV239" s="2" t="s">
        <v>98</v>
      </c>
      <c r="BW239" s="2" t="s">
        <v>98</v>
      </c>
      <c r="BX239" s="2" t="s">
        <v>91</v>
      </c>
      <c r="BY239" s="2" t="s">
        <v>91</v>
      </c>
      <c r="BZ239" s="2" t="s">
        <v>98</v>
      </c>
      <c r="CA239" s="2" t="s">
        <v>98</v>
      </c>
      <c r="CB239" t="e">
        <f>TTEST(AS239:AW239,AI239:AM239,2,2)</f>
        <v>#DIV/0!</v>
      </c>
      <c r="CC239" t="e">
        <f>TTEST(AD239:AH239,AI239:AM239,2,2)</f>
        <v>#DIV/0!</v>
      </c>
      <c r="CD239">
        <f>TTEST(AN239:AR239,AI239:AM239,2,2)</f>
        <v>0.26655268031764351</v>
      </c>
      <c r="CE239">
        <f>TTEST(AX239:BB239,AI239:AM239,2,2)</f>
        <v>0.75447644321155405</v>
      </c>
      <c r="CF239">
        <v>425</v>
      </c>
      <c r="CG239">
        <v>438</v>
      </c>
      <c r="CH239">
        <v>151</v>
      </c>
      <c r="CI239">
        <v>184</v>
      </c>
      <c r="CJ239">
        <f>0.05*CF239/464</f>
        <v>4.5797413793103446E-2</v>
      </c>
      <c r="CK239">
        <f>0.05*CG239/464</f>
        <v>4.719827586206897E-2</v>
      </c>
      <c r="CL239">
        <f>0.05*CH239/464</f>
        <v>1.6271551724137932E-2</v>
      </c>
      <c r="CM239">
        <f>0.05*CI239/464</f>
        <v>1.9827586206896553E-2</v>
      </c>
      <c r="CN239" t="e">
        <f>IF(CB239&lt;CJ239,"yes","no")</f>
        <v>#DIV/0!</v>
      </c>
      <c r="CO239" t="e">
        <f>IF(CC239&lt;CK239,"yes","no")</f>
        <v>#DIV/0!</v>
      </c>
      <c r="CP239" t="str">
        <f>IF(CD239&lt;CL239,"yes","no")</f>
        <v>no</v>
      </c>
      <c r="CQ239" t="str">
        <f>IF(CE239&lt;CM239,"yes","no")</f>
        <v>no</v>
      </c>
      <c r="CR239" t="e">
        <f>TTEST(AS239:AW239,AD239:AH239,2,2)</f>
        <v>#DIV/0!</v>
      </c>
      <c r="CS239" t="e">
        <f>TTEST(AS239:AW239,AN239:AR239,2,2)</f>
        <v>#DIV/0!</v>
      </c>
      <c r="CT239" t="e">
        <f>TTEST(AS239:AW239,AX239:BB239,2,2)</f>
        <v>#DIV/0!</v>
      </c>
      <c r="CU239">
        <v>313</v>
      </c>
      <c r="CV239">
        <v>317</v>
      </c>
      <c r="CW239">
        <v>238</v>
      </c>
      <c r="CX239">
        <f t="shared" si="9"/>
        <v>3.372844827586207E-2</v>
      </c>
      <c r="CY239">
        <f t="shared" si="10"/>
        <v>3.4159482758620692E-2</v>
      </c>
      <c r="CZ239">
        <f t="shared" si="11"/>
        <v>2.564655172413793E-2</v>
      </c>
      <c r="DA239" t="e">
        <f>IF(CR239&lt;CX239,"yes","no")</f>
        <v>#DIV/0!</v>
      </c>
      <c r="DB239" t="e">
        <f>IF(CS239&lt;CY239,"yes","no")</f>
        <v>#DIV/0!</v>
      </c>
      <c r="DC239" t="e">
        <f>IF(CT239&lt;CZ239,"yes","no")</f>
        <v>#DIV/0!</v>
      </c>
    </row>
    <row r="240" spans="1:107" x14ac:dyDescent="0.2">
      <c r="A240" s="2" t="b">
        <v>0</v>
      </c>
      <c r="B240" s="2" t="s">
        <v>79</v>
      </c>
      <c r="C240" s="2" t="s">
        <v>80</v>
      </c>
      <c r="D240" s="2" t="s">
        <v>821</v>
      </c>
      <c r="E240" s="2" t="s">
        <v>822</v>
      </c>
      <c r="F240" s="2">
        <v>2</v>
      </c>
      <c r="G240" s="2">
        <v>1</v>
      </c>
      <c r="H240" s="2">
        <v>14.9</v>
      </c>
      <c r="I240" s="2">
        <v>7.37</v>
      </c>
      <c r="J240" s="2" t="s">
        <v>254</v>
      </c>
      <c r="K240" s="2" t="s">
        <v>84</v>
      </c>
      <c r="L240" s="2" t="s">
        <v>83</v>
      </c>
      <c r="M240" s="2" t="s">
        <v>83</v>
      </c>
      <c r="N240" s="2" t="s">
        <v>821</v>
      </c>
      <c r="O240" s="2">
        <v>2.8759999999999999</v>
      </c>
      <c r="P240" s="2">
        <v>0.99199999999999999</v>
      </c>
      <c r="Q240" s="2">
        <v>0.01</v>
      </c>
      <c r="R240" s="2">
        <v>100</v>
      </c>
      <c r="S240" s="2">
        <v>100</v>
      </c>
      <c r="T240" s="2">
        <v>100</v>
      </c>
      <c r="U240" s="2" t="s">
        <v>83</v>
      </c>
      <c r="V240" s="2">
        <v>0.33800000000000002</v>
      </c>
      <c r="W240" s="2">
        <v>0.01</v>
      </c>
      <c r="X240" s="2">
        <v>0.01</v>
      </c>
      <c r="Y240" s="2">
        <v>101.5</v>
      </c>
      <c r="Z240" s="2" t="s">
        <v>83</v>
      </c>
      <c r="AA240" s="2">
        <v>297.8</v>
      </c>
      <c r="AB240" s="2">
        <v>100.7</v>
      </c>
      <c r="AC240" s="2" t="s">
        <v>83</v>
      </c>
      <c r="AD240" s="2">
        <v>301101.53125</v>
      </c>
      <c r="AE240" s="2">
        <v>250552.78125</v>
      </c>
      <c r="AF240" s="2">
        <v>163876</v>
      </c>
      <c r="AG240" s="2">
        <v>775360.5625</v>
      </c>
      <c r="AH240" s="2">
        <v>657735.1875</v>
      </c>
      <c r="AI240" s="2" t="s">
        <v>83</v>
      </c>
      <c r="AJ240" s="2" t="s">
        <v>83</v>
      </c>
      <c r="AK240" s="2" t="s">
        <v>83</v>
      </c>
      <c r="AL240" s="2" t="s">
        <v>83</v>
      </c>
      <c r="AM240" s="2" t="s">
        <v>83</v>
      </c>
      <c r="AN240" s="2">
        <v>15352.150390625</v>
      </c>
      <c r="AO240" s="2">
        <v>19358.01171875</v>
      </c>
      <c r="AP240" s="2">
        <v>18932.65234375</v>
      </c>
      <c r="AQ240" s="2">
        <v>17175.5390625</v>
      </c>
      <c r="AR240" s="2">
        <v>16272.9248046875</v>
      </c>
      <c r="AS240" s="2" t="s">
        <v>83</v>
      </c>
      <c r="AT240" s="2" t="s">
        <v>83</v>
      </c>
      <c r="AU240" s="2" t="s">
        <v>83</v>
      </c>
      <c r="AV240" s="2">
        <v>39075.94921875</v>
      </c>
      <c r="AW240" s="2">
        <v>43800.78125</v>
      </c>
      <c r="AX240" s="2" t="s">
        <v>83</v>
      </c>
      <c r="AY240" s="2" t="s">
        <v>83</v>
      </c>
      <c r="AZ240" s="2" t="s">
        <v>83</v>
      </c>
      <c r="BA240" s="2" t="s">
        <v>83</v>
      </c>
      <c r="BB240" s="2" t="s">
        <v>83</v>
      </c>
      <c r="BC240" s="2" t="s">
        <v>79</v>
      </c>
      <c r="BD240" s="2" t="s">
        <v>79</v>
      </c>
      <c r="BE240" s="2" t="s">
        <v>79</v>
      </c>
      <c r="BF240" s="2" t="s">
        <v>79</v>
      </c>
      <c r="BG240" s="2" t="s">
        <v>79</v>
      </c>
      <c r="BH240" s="2" t="s">
        <v>98</v>
      </c>
      <c r="BI240" s="2" t="s">
        <v>98</v>
      </c>
      <c r="BJ240" s="2" t="s">
        <v>98</v>
      </c>
      <c r="BK240" s="2" t="s">
        <v>98</v>
      </c>
      <c r="BL240" s="2" t="s">
        <v>98</v>
      </c>
      <c r="BM240" s="2" t="s">
        <v>91</v>
      </c>
      <c r="BN240" s="2" t="s">
        <v>91</v>
      </c>
      <c r="BO240" s="2" t="s">
        <v>91</v>
      </c>
      <c r="BP240" s="2" t="s">
        <v>91</v>
      </c>
      <c r="BQ240" s="2" t="s">
        <v>91</v>
      </c>
      <c r="BR240" s="2" t="s">
        <v>98</v>
      </c>
      <c r="BS240" s="2" t="s">
        <v>79</v>
      </c>
      <c r="BT240" s="2" t="s">
        <v>98</v>
      </c>
      <c r="BU240" s="2" t="s">
        <v>79</v>
      </c>
      <c r="BV240" s="2" t="s">
        <v>79</v>
      </c>
      <c r="BW240" s="2" t="s">
        <v>98</v>
      </c>
      <c r="BX240" s="2" t="s">
        <v>98</v>
      </c>
      <c r="BY240" s="2" t="s">
        <v>98</v>
      </c>
      <c r="BZ240" s="2" t="s">
        <v>98</v>
      </c>
      <c r="CA240" s="2" t="s">
        <v>98</v>
      </c>
      <c r="CB240" t="e">
        <f>TTEST(AS240:AW240,AI240:AM240,2,2)</f>
        <v>#DIV/0!</v>
      </c>
      <c r="CC240" t="e">
        <f>TTEST(AD240:AH240,AI240:AM240,2,2)</f>
        <v>#DIV/0!</v>
      </c>
      <c r="CD240" t="e">
        <f>TTEST(AN240:AR240,AI240:AM240,2,2)</f>
        <v>#DIV/0!</v>
      </c>
      <c r="CE240" t="e">
        <f>TTEST(AX240:BB240,AI240:AM240,2,2)</f>
        <v>#DIV/0!</v>
      </c>
      <c r="CF240">
        <v>298</v>
      </c>
      <c r="CG240">
        <v>312</v>
      </c>
      <c r="CH240">
        <v>316</v>
      </c>
      <c r="CI240">
        <v>201</v>
      </c>
      <c r="CJ240">
        <f>0.05*CF240/464</f>
        <v>3.2112068965517243E-2</v>
      </c>
      <c r="CK240">
        <f>0.05*CG240/464</f>
        <v>3.3620689655172419E-2</v>
      </c>
      <c r="CL240">
        <f>0.05*CH240/464</f>
        <v>3.4051724137931033E-2</v>
      </c>
      <c r="CM240">
        <f>0.05*CI240/464</f>
        <v>2.1659482758620691E-2</v>
      </c>
      <c r="CN240" t="e">
        <f>IF(CB240&lt;CJ240,"yes","no")</f>
        <v>#DIV/0!</v>
      </c>
      <c r="CO240" t="e">
        <f>IF(CC240&lt;CK240,"yes","no")</f>
        <v>#DIV/0!</v>
      </c>
      <c r="CP240" t="e">
        <f>IF(CD240&lt;CL240,"yes","no")</f>
        <v>#DIV/0!</v>
      </c>
      <c r="CQ240" t="e">
        <f>IF(CE240&lt;CM240,"yes","no")</f>
        <v>#DIV/0!</v>
      </c>
      <c r="CR240">
        <f>TTEST(AS240:AW240,AD240:AH240,2,2)</f>
        <v>0.11228929712815779</v>
      </c>
      <c r="CS240">
        <f>TTEST(AS240:AW240,AN240:AR240,2,2)</f>
        <v>4.1006782379843515E-5</v>
      </c>
      <c r="CT240" t="e">
        <f>TTEST(AS240:AW240,AX240:BB240,2,2)</f>
        <v>#DIV/0!</v>
      </c>
      <c r="CU240">
        <v>252</v>
      </c>
      <c r="CV240">
        <v>28</v>
      </c>
      <c r="CW240">
        <v>239</v>
      </c>
      <c r="CX240">
        <f t="shared" si="9"/>
        <v>2.7155172413793106E-2</v>
      </c>
      <c r="CY240">
        <f t="shared" si="10"/>
        <v>3.0172413793103452E-3</v>
      </c>
      <c r="CZ240">
        <f t="shared" si="11"/>
        <v>2.5754310344827589E-2</v>
      </c>
      <c r="DA240" t="str">
        <f>IF(CR240&lt;CX240,"yes","no")</f>
        <v>no</v>
      </c>
      <c r="DB240" t="str">
        <f>IF(CS240&lt;CY240,"yes","no")</f>
        <v>yes</v>
      </c>
      <c r="DC240" t="e">
        <f>IF(CT240&lt;CZ240,"yes","no")</f>
        <v>#DIV/0!</v>
      </c>
    </row>
    <row r="241" spans="1:107" x14ac:dyDescent="0.2">
      <c r="A241" s="2" t="b">
        <v>0</v>
      </c>
      <c r="B241" s="2" t="s">
        <v>79</v>
      </c>
      <c r="C241" s="2" t="s">
        <v>80</v>
      </c>
      <c r="D241" s="2" t="s">
        <v>727</v>
      </c>
      <c r="E241" s="2" t="s">
        <v>728</v>
      </c>
      <c r="F241" s="2">
        <v>3</v>
      </c>
      <c r="G241" s="2">
        <v>3</v>
      </c>
      <c r="H241" s="2">
        <v>14.1</v>
      </c>
      <c r="I241" s="2">
        <v>8.68</v>
      </c>
      <c r="J241" s="2" t="s">
        <v>254</v>
      </c>
      <c r="K241" s="2" t="s">
        <v>319</v>
      </c>
      <c r="L241" s="2" t="s">
        <v>83</v>
      </c>
      <c r="M241" s="2" t="s">
        <v>83</v>
      </c>
      <c r="N241" s="2" t="s">
        <v>727</v>
      </c>
      <c r="O241" s="2">
        <v>2.1070000000000002</v>
      </c>
      <c r="P241" s="2">
        <v>1.3149999999999999</v>
      </c>
      <c r="Q241" s="2">
        <v>0.01</v>
      </c>
      <c r="R241" s="2">
        <v>0.71</v>
      </c>
      <c r="S241" s="2">
        <v>1.579</v>
      </c>
      <c r="T241" s="2">
        <v>0.99099999999999999</v>
      </c>
      <c r="U241" s="2">
        <v>0.01</v>
      </c>
      <c r="V241" s="2">
        <v>0.60299999999999998</v>
      </c>
      <c r="W241" s="2">
        <v>0.01</v>
      </c>
      <c r="X241" s="2">
        <v>0.01</v>
      </c>
      <c r="Y241" s="2">
        <v>85.7</v>
      </c>
      <c r="Z241" s="2">
        <v>129.4</v>
      </c>
      <c r="AA241" s="2">
        <v>183.5</v>
      </c>
      <c r="AB241" s="2">
        <v>101.4</v>
      </c>
      <c r="AC241" s="2" t="s">
        <v>83</v>
      </c>
      <c r="AD241" s="2">
        <v>2898991.4375</v>
      </c>
      <c r="AE241" s="2">
        <v>2571176.5</v>
      </c>
      <c r="AF241" s="2">
        <v>2387466.5625</v>
      </c>
      <c r="AG241" s="2">
        <v>2086282.0625</v>
      </c>
      <c r="AH241" s="2">
        <v>1890916</v>
      </c>
      <c r="AI241" s="2">
        <v>98182.45703125</v>
      </c>
      <c r="AJ241" s="2">
        <v>56272.86328125</v>
      </c>
      <c r="AK241" s="2">
        <v>82044.376953125</v>
      </c>
      <c r="AL241" s="2">
        <v>79871.712890625</v>
      </c>
      <c r="AM241" s="2">
        <v>63417.2734375</v>
      </c>
      <c r="AN241" s="2">
        <v>91867.224609375</v>
      </c>
      <c r="AO241" s="2">
        <v>87558.880859375</v>
      </c>
      <c r="AP241" s="2">
        <v>127964.5703125</v>
      </c>
      <c r="AQ241" s="2">
        <v>89458.142578125</v>
      </c>
      <c r="AR241" s="2">
        <v>133313.478515625</v>
      </c>
      <c r="AS241" s="2">
        <v>377986.859375</v>
      </c>
      <c r="AT241" s="2">
        <v>643771.9375</v>
      </c>
      <c r="AU241" s="2">
        <v>387449.671875</v>
      </c>
      <c r="AV241" s="2">
        <v>436108.546875</v>
      </c>
      <c r="AW241" s="2">
        <v>509052.421875</v>
      </c>
      <c r="AX241" s="2" t="s">
        <v>83</v>
      </c>
      <c r="AY241" s="2" t="s">
        <v>83</v>
      </c>
      <c r="AZ241" s="2" t="s">
        <v>83</v>
      </c>
      <c r="BA241" s="2" t="s">
        <v>83</v>
      </c>
      <c r="BB241" s="2" t="s">
        <v>83</v>
      </c>
      <c r="BC241" s="2" t="s">
        <v>79</v>
      </c>
      <c r="BD241" s="2" t="s">
        <v>79</v>
      </c>
      <c r="BE241" s="2" t="s">
        <v>79</v>
      </c>
      <c r="BF241" s="2" t="s">
        <v>79</v>
      </c>
      <c r="BG241" s="2" t="s">
        <v>79</v>
      </c>
      <c r="BH241" s="2" t="s">
        <v>79</v>
      </c>
      <c r="BI241" s="2" t="s">
        <v>79</v>
      </c>
      <c r="BJ241" s="2" t="s">
        <v>79</v>
      </c>
      <c r="BK241" s="2" t="s">
        <v>79</v>
      </c>
      <c r="BL241" s="2" t="s">
        <v>79</v>
      </c>
      <c r="BM241" s="2" t="s">
        <v>79</v>
      </c>
      <c r="BN241" s="2" t="s">
        <v>79</v>
      </c>
      <c r="BO241" s="2" t="s">
        <v>79</v>
      </c>
      <c r="BP241" s="2" t="s">
        <v>79</v>
      </c>
      <c r="BQ241" s="2" t="s">
        <v>79</v>
      </c>
      <c r="BR241" s="2" t="s">
        <v>79</v>
      </c>
      <c r="BS241" s="2" t="s">
        <v>79</v>
      </c>
      <c r="BT241" s="2" t="s">
        <v>79</v>
      </c>
      <c r="BU241" s="2" t="s">
        <v>79</v>
      </c>
      <c r="BV241" s="2" t="s">
        <v>79</v>
      </c>
      <c r="BW241" s="2" t="s">
        <v>98</v>
      </c>
      <c r="BX241" s="2" t="s">
        <v>98</v>
      </c>
      <c r="BY241" s="2" t="s">
        <v>98</v>
      </c>
      <c r="BZ241" s="2" t="s">
        <v>98</v>
      </c>
      <c r="CA241" s="2" t="s">
        <v>98</v>
      </c>
      <c r="CB241">
        <f>TTEST(AS241:AW241,AI241:AM241,2,2)</f>
        <v>4.5306469164059331E-5</v>
      </c>
      <c r="CC241">
        <f>TTEST(AD241:AH241,AI241:AM241,2,2)</f>
        <v>1.2396864529359722E-6</v>
      </c>
      <c r="CD241">
        <f>TTEST(AN241:AR241,AI241:AM241,2,2)</f>
        <v>4.2980690141316329E-2</v>
      </c>
      <c r="CE241" t="e">
        <f>TTEST(AX241:BB241,AI241:AM241,2,2)</f>
        <v>#DIV/0!</v>
      </c>
      <c r="CF241">
        <v>51</v>
      </c>
      <c r="CG241">
        <v>57</v>
      </c>
      <c r="CH241">
        <v>117</v>
      </c>
      <c r="CI241">
        <v>203</v>
      </c>
      <c r="CJ241">
        <f>0.05*CF241/464</f>
        <v>5.4956896551724144E-3</v>
      </c>
      <c r="CK241">
        <f>0.05*CG241/464</f>
        <v>6.142241379310345E-3</v>
      </c>
      <c r="CL241">
        <f>0.05*CH241/464</f>
        <v>1.2607758620689656E-2</v>
      </c>
      <c r="CM241">
        <f>0.05*CI241/464</f>
        <v>2.1875000000000002E-2</v>
      </c>
      <c r="CN241" t="str">
        <f>IF(CB241&lt;CJ241,"yes","no")</f>
        <v>yes</v>
      </c>
      <c r="CO241" t="str">
        <f>IF(CC241&lt;CK241,"yes","no")</f>
        <v>yes</v>
      </c>
      <c r="CP241" t="str">
        <f>IF(CD241&lt;CL241,"yes","no")</f>
        <v>no</v>
      </c>
      <c r="CQ241" t="e">
        <f>IF(CE241&lt;CM241,"yes","no")</f>
        <v>#DIV/0!</v>
      </c>
      <c r="CR241">
        <f>TTEST(AS241:AW241,AD241:AH241,2,2)</f>
        <v>6.8409229916654512E-6</v>
      </c>
      <c r="CS241">
        <f>TTEST(AS241:AW241,AN241:AR241,2,2)</f>
        <v>8.5275638727954736E-5</v>
      </c>
      <c r="CT241" t="e">
        <f>TTEST(AS241:AW241,AX241:BB241,2,2)</f>
        <v>#DIV/0!</v>
      </c>
      <c r="CU241">
        <v>88</v>
      </c>
      <c r="CV241">
        <v>42</v>
      </c>
      <c r="CW241">
        <v>240</v>
      </c>
      <c r="CX241">
        <f t="shared" si="9"/>
        <v>9.4827586206896568E-3</v>
      </c>
      <c r="CY241">
        <f t="shared" si="10"/>
        <v>4.5258620689655176E-3</v>
      </c>
      <c r="CZ241">
        <f t="shared" si="11"/>
        <v>2.5862068965517241E-2</v>
      </c>
      <c r="DA241" t="str">
        <f>IF(CR241&lt;CX241,"yes","no")</f>
        <v>yes</v>
      </c>
      <c r="DB241" t="str">
        <f>IF(CS241&lt;CY241,"yes","no")</f>
        <v>yes</v>
      </c>
      <c r="DC241" t="e">
        <f>IF(CT241&lt;CZ241,"yes","no")</f>
        <v>#DIV/0!</v>
      </c>
    </row>
    <row r="242" spans="1:107" x14ac:dyDescent="0.2">
      <c r="A242" s="2" t="b">
        <v>0</v>
      </c>
      <c r="B242" s="2" t="s">
        <v>79</v>
      </c>
      <c r="C242" s="2" t="s">
        <v>80</v>
      </c>
      <c r="D242" s="2" t="s">
        <v>1588</v>
      </c>
      <c r="E242" s="2" t="s">
        <v>1589</v>
      </c>
      <c r="F242" s="2">
        <v>1</v>
      </c>
      <c r="G242" s="2">
        <v>1</v>
      </c>
      <c r="H242" s="2">
        <v>44.2</v>
      </c>
      <c r="I242" s="2">
        <v>5.92</v>
      </c>
      <c r="J242" s="2" t="s">
        <v>254</v>
      </c>
      <c r="K242" s="2" t="s">
        <v>739</v>
      </c>
      <c r="L242" s="2" t="s">
        <v>102</v>
      </c>
      <c r="M242" s="2" t="s">
        <v>83</v>
      </c>
      <c r="N242" s="2" t="s">
        <v>1590</v>
      </c>
      <c r="O242" s="2">
        <v>74.852999999999994</v>
      </c>
      <c r="P242" s="2">
        <v>1.226</v>
      </c>
      <c r="Q242" s="2">
        <v>0.01</v>
      </c>
      <c r="R242" s="2">
        <v>2.1999999999999999E-2</v>
      </c>
      <c r="S242" s="2">
        <v>1.6719999999999999</v>
      </c>
      <c r="T242" s="2">
        <v>2.4E-2</v>
      </c>
      <c r="U242" s="2">
        <v>0.01</v>
      </c>
      <c r="V242" s="2">
        <v>1.4999999999999999E-2</v>
      </c>
      <c r="W242" s="2">
        <v>0.01</v>
      </c>
      <c r="X242" s="2">
        <v>0.01</v>
      </c>
      <c r="Y242" s="2">
        <v>4.0999999999999996</v>
      </c>
      <c r="Z242" s="2">
        <v>183.9</v>
      </c>
      <c r="AA242" s="2">
        <v>307.60000000000002</v>
      </c>
      <c r="AB242" s="2">
        <v>4.4000000000000004</v>
      </c>
      <c r="AC242" s="2" t="s">
        <v>83</v>
      </c>
      <c r="AD242" s="2">
        <v>51683.4453125</v>
      </c>
      <c r="AE242" s="2">
        <v>55762.9296875</v>
      </c>
      <c r="AF242" s="2">
        <v>53487.171875</v>
      </c>
      <c r="AG242" s="2">
        <v>66560.4296875</v>
      </c>
      <c r="AH242" s="2" t="s">
        <v>83</v>
      </c>
      <c r="AI242" s="2" t="s">
        <v>83</v>
      </c>
      <c r="AJ242" s="2" t="s">
        <v>83</v>
      </c>
      <c r="AK242" s="2" t="s">
        <v>83</v>
      </c>
      <c r="AL242" s="2">
        <v>78997.71875</v>
      </c>
      <c r="AM242" s="2" t="s">
        <v>83</v>
      </c>
      <c r="AN242" s="2">
        <v>89165.234375</v>
      </c>
      <c r="AO242" s="2">
        <v>67615.46875</v>
      </c>
      <c r="AP242" s="2">
        <v>104530.9609375</v>
      </c>
      <c r="AQ242" s="2">
        <v>91746.0859375</v>
      </c>
      <c r="AR242" s="2">
        <v>102286.1328125</v>
      </c>
      <c r="AS242" s="2" t="s">
        <v>83</v>
      </c>
      <c r="AT242" s="2">
        <v>13577.4140625</v>
      </c>
      <c r="AU242" s="2" t="s">
        <v>83</v>
      </c>
      <c r="AV242" s="2">
        <v>8966.49609375</v>
      </c>
      <c r="AW242" s="2">
        <v>14138.875</v>
      </c>
      <c r="AX242" s="2" t="s">
        <v>83</v>
      </c>
      <c r="AY242" s="2" t="s">
        <v>83</v>
      </c>
      <c r="AZ242" s="2" t="s">
        <v>83</v>
      </c>
      <c r="BA242" s="2" t="s">
        <v>83</v>
      </c>
      <c r="BB242" s="2" t="s">
        <v>83</v>
      </c>
      <c r="BC242" s="2" t="s">
        <v>91</v>
      </c>
      <c r="BD242" s="2" t="s">
        <v>91</v>
      </c>
      <c r="BE242" s="2" t="s">
        <v>91</v>
      </c>
      <c r="BF242" s="2" t="s">
        <v>91</v>
      </c>
      <c r="BG242" s="2" t="s">
        <v>98</v>
      </c>
      <c r="BH242" s="2" t="s">
        <v>98</v>
      </c>
      <c r="BI242" s="2" t="s">
        <v>98</v>
      </c>
      <c r="BJ242" s="2" t="s">
        <v>98</v>
      </c>
      <c r="BK242" s="2" t="s">
        <v>79</v>
      </c>
      <c r="BL242" s="2" t="s">
        <v>98</v>
      </c>
      <c r="BM242" s="2" t="s">
        <v>91</v>
      </c>
      <c r="BN242" s="2" t="s">
        <v>91</v>
      </c>
      <c r="BO242" s="2" t="s">
        <v>79</v>
      </c>
      <c r="BP242" s="2" t="s">
        <v>91</v>
      </c>
      <c r="BQ242" s="2" t="s">
        <v>91</v>
      </c>
      <c r="BR242" s="2" t="s">
        <v>98</v>
      </c>
      <c r="BS242" s="2" t="s">
        <v>91</v>
      </c>
      <c r="BT242" s="2" t="s">
        <v>98</v>
      </c>
      <c r="BU242" s="2" t="s">
        <v>91</v>
      </c>
      <c r="BV242" s="2" t="s">
        <v>91</v>
      </c>
      <c r="BW242" s="2" t="s">
        <v>98</v>
      </c>
      <c r="BX242" s="2" t="s">
        <v>98</v>
      </c>
      <c r="BY242" s="2" t="s">
        <v>98</v>
      </c>
      <c r="BZ242" s="2" t="s">
        <v>98</v>
      </c>
      <c r="CA242" s="2" t="s">
        <v>98</v>
      </c>
      <c r="CB242" t="e">
        <f>TTEST(AS242:AW242,AI242:AM242,2,2)</f>
        <v>#DIV/0!</v>
      </c>
      <c r="CC242" t="e">
        <f>TTEST(AD242:AH242,AI242:AM242,2,2)</f>
        <v>#DIV/0!</v>
      </c>
      <c r="CD242" t="e">
        <f>TTEST(AN242:AR242,AI242:AM242,2,2)</f>
        <v>#DIV/0!</v>
      </c>
      <c r="CE242" t="e">
        <f>TTEST(AX242:BB242,AI242:AM242,2,2)</f>
        <v>#DIV/0!</v>
      </c>
      <c r="CF242">
        <v>251</v>
      </c>
      <c r="CG242">
        <v>265</v>
      </c>
      <c r="CH242">
        <v>269</v>
      </c>
      <c r="CI242">
        <v>204</v>
      </c>
      <c r="CJ242">
        <f>0.05*CF242/464</f>
        <v>2.704741379310345E-2</v>
      </c>
      <c r="CK242">
        <f>0.05*CG242/464</f>
        <v>2.8556034482758622E-2</v>
      </c>
      <c r="CL242">
        <f>0.05*CH242/464</f>
        <v>2.8987068965517244E-2</v>
      </c>
      <c r="CM242">
        <f>0.05*CI242/464</f>
        <v>2.1982758620689657E-2</v>
      </c>
      <c r="CN242" t="e">
        <f>IF(CB242&lt;CJ242,"yes","no")</f>
        <v>#DIV/0!</v>
      </c>
      <c r="CO242" t="e">
        <f>IF(CC242&lt;CK242,"yes","no")</f>
        <v>#DIV/0!</v>
      </c>
      <c r="CP242" t="e">
        <f>IF(CD242&lt;CL242,"yes","no")</f>
        <v>#DIV/0!</v>
      </c>
      <c r="CQ242" t="e">
        <f>IF(CE242&lt;CM242,"yes","no")</f>
        <v>#DIV/0!</v>
      </c>
      <c r="CR242">
        <f>TTEST(AS242:AW242,AD242:AH242,2,2)</f>
        <v>1.2418609916612614E-4</v>
      </c>
      <c r="CS242">
        <f>TTEST(AS242:AW242,AN242:AR242,2,2)</f>
        <v>1.1014685867009672E-4</v>
      </c>
      <c r="CT242" t="e">
        <f>TTEST(AS242:AW242,AX242:BB242,2,2)</f>
        <v>#DIV/0!</v>
      </c>
      <c r="CU242">
        <v>131</v>
      </c>
      <c r="CV242">
        <v>44</v>
      </c>
      <c r="CW242">
        <v>241</v>
      </c>
      <c r="CX242">
        <f t="shared" si="9"/>
        <v>1.411637931034483E-2</v>
      </c>
      <c r="CY242">
        <f t="shared" si="10"/>
        <v>4.7413793103448284E-3</v>
      </c>
      <c r="CZ242">
        <f t="shared" si="11"/>
        <v>2.5969827586206896E-2</v>
      </c>
      <c r="DA242" t="str">
        <f>IF(CR242&lt;CX242,"yes","no")</f>
        <v>yes</v>
      </c>
      <c r="DB242" t="str">
        <f>IF(CS242&lt;CY242,"yes","no")</f>
        <v>yes</v>
      </c>
      <c r="DC242" t="e">
        <f>IF(CT242&lt;CZ242,"yes","no")</f>
        <v>#DIV/0!</v>
      </c>
    </row>
    <row r="243" spans="1:107" x14ac:dyDescent="0.2">
      <c r="A243" s="2" t="b">
        <v>0</v>
      </c>
      <c r="B243" s="2" t="s">
        <v>79</v>
      </c>
      <c r="C243" s="2" t="s">
        <v>80</v>
      </c>
      <c r="D243" s="2" t="s">
        <v>1228</v>
      </c>
      <c r="E243" s="2" t="s">
        <v>1229</v>
      </c>
      <c r="F243" s="2">
        <v>3</v>
      </c>
      <c r="G243" s="2">
        <v>3</v>
      </c>
      <c r="H243" s="2">
        <v>40.5</v>
      </c>
      <c r="I243" s="2">
        <v>5.45</v>
      </c>
      <c r="J243" s="2" t="s">
        <v>1230</v>
      </c>
      <c r="K243" s="2" t="s">
        <v>1231</v>
      </c>
      <c r="L243" s="2" t="s">
        <v>218</v>
      </c>
      <c r="M243" s="2" t="s">
        <v>83</v>
      </c>
      <c r="N243" s="2" t="s">
        <v>1232</v>
      </c>
      <c r="O243" s="2">
        <v>41.186</v>
      </c>
      <c r="P243" s="2">
        <v>2.19</v>
      </c>
      <c r="Q243" s="2">
        <v>11.615</v>
      </c>
      <c r="R243" s="2">
        <v>0.39100000000000001</v>
      </c>
      <c r="S243" s="2">
        <v>15.744</v>
      </c>
      <c r="T243" s="2">
        <v>0.872</v>
      </c>
      <c r="U243" s="2">
        <v>4.5369999999999999</v>
      </c>
      <c r="V243" s="2">
        <v>5.5E-2</v>
      </c>
      <c r="W243" s="2">
        <v>0.28799999999999998</v>
      </c>
      <c r="X243" s="2">
        <v>5.2039999999999997</v>
      </c>
      <c r="Y243" s="2">
        <v>6.7</v>
      </c>
      <c r="Z243" s="2">
        <v>17.100000000000001</v>
      </c>
      <c r="AA243" s="2">
        <v>383.4</v>
      </c>
      <c r="AB243" s="2">
        <v>14.9</v>
      </c>
      <c r="AC243" s="2">
        <v>77.8</v>
      </c>
      <c r="AD243" s="2">
        <v>130850.78125</v>
      </c>
      <c r="AE243" s="2">
        <v>94424.6484375</v>
      </c>
      <c r="AF243" s="2">
        <v>71006.359375</v>
      </c>
      <c r="AG243" s="2">
        <v>73001.078125</v>
      </c>
      <c r="AH243" s="2" t="s">
        <v>83</v>
      </c>
      <c r="AI243" s="2" t="s">
        <v>83</v>
      </c>
      <c r="AJ243" s="2" t="s">
        <v>83</v>
      </c>
      <c r="AK243" s="2" t="s">
        <v>83</v>
      </c>
      <c r="AL243" s="2" t="s">
        <v>83</v>
      </c>
      <c r="AM243" s="2">
        <v>3897.4130859375</v>
      </c>
      <c r="AN243" s="2">
        <v>83438.935546875</v>
      </c>
      <c r="AO243" s="2">
        <v>91560.15234375</v>
      </c>
      <c r="AP243" s="2">
        <v>120426.08984375</v>
      </c>
      <c r="AQ243" s="2">
        <v>99719.30078125</v>
      </c>
      <c r="AR243" s="2">
        <v>138781.796875</v>
      </c>
      <c r="AS243" s="2">
        <v>24249.81640625</v>
      </c>
      <c r="AT243" s="2">
        <v>49910.8203125</v>
      </c>
      <c r="AU243" s="2">
        <v>25436.337890625</v>
      </c>
      <c r="AV243" s="2">
        <v>29582.548828125</v>
      </c>
      <c r="AW243" s="2">
        <v>34950.69921875</v>
      </c>
      <c r="AX243" s="2" t="s">
        <v>83</v>
      </c>
      <c r="AY243" s="2" t="s">
        <v>83</v>
      </c>
      <c r="AZ243" s="2" t="s">
        <v>83</v>
      </c>
      <c r="BA243" s="2" t="s">
        <v>83</v>
      </c>
      <c r="BB243" s="2">
        <v>50519.30859375</v>
      </c>
      <c r="BC243" s="2" t="s">
        <v>79</v>
      </c>
      <c r="BD243" s="2" t="s">
        <v>79</v>
      </c>
      <c r="BE243" s="2" t="s">
        <v>79</v>
      </c>
      <c r="BF243" s="2" t="s">
        <v>79</v>
      </c>
      <c r="BG243" s="2" t="s">
        <v>79</v>
      </c>
      <c r="BH243" s="2" t="s">
        <v>98</v>
      </c>
      <c r="BI243" s="2" t="s">
        <v>98</v>
      </c>
      <c r="BJ243" s="2" t="s">
        <v>98</v>
      </c>
      <c r="BK243" s="2" t="s">
        <v>98</v>
      </c>
      <c r="BL243" s="2" t="s">
        <v>91</v>
      </c>
      <c r="BM243" s="2" t="s">
        <v>79</v>
      </c>
      <c r="BN243" s="2" t="s">
        <v>79</v>
      </c>
      <c r="BO243" s="2" t="s">
        <v>79</v>
      </c>
      <c r="BP243" s="2" t="s">
        <v>79</v>
      </c>
      <c r="BQ243" s="2" t="s">
        <v>79</v>
      </c>
      <c r="BR243" s="2" t="s">
        <v>91</v>
      </c>
      <c r="BS243" s="2" t="s">
        <v>91</v>
      </c>
      <c r="BT243" s="2" t="s">
        <v>79</v>
      </c>
      <c r="BU243" s="2" t="s">
        <v>79</v>
      </c>
      <c r="BV243" s="2" t="s">
        <v>91</v>
      </c>
      <c r="BW243" s="2" t="s">
        <v>98</v>
      </c>
      <c r="BX243" s="2" t="s">
        <v>98</v>
      </c>
      <c r="BY243" s="2" t="s">
        <v>98</v>
      </c>
      <c r="BZ243" s="2" t="s">
        <v>98</v>
      </c>
      <c r="CA243" s="2" t="s">
        <v>91</v>
      </c>
      <c r="CB243" t="e">
        <f>TTEST(AS243:AW243,AI243:AM243,2,2)</f>
        <v>#DIV/0!</v>
      </c>
      <c r="CC243" t="e">
        <f>TTEST(AD243:AH243,AI243:AM243,2,2)</f>
        <v>#DIV/0!</v>
      </c>
      <c r="CD243" t="e">
        <f>TTEST(AN243:AR243,AI243:AM243,2,2)</f>
        <v>#DIV/0!</v>
      </c>
      <c r="CE243" t="e">
        <f>TTEST(AX243:BB243,AI243:AM243,2,2)</f>
        <v>#DIV/0!</v>
      </c>
      <c r="CF243">
        <v>265</v>
      </c>
      <c r="CG243">
        <v>279</v>
      </c>
      <c r="CH243">
        <v>283</v>
      </c>
      <c r="CI243">
        <v>207</v>
      </c>
      <c r="CJ243">
        <f>0.05*CF243/464</f>
        <v>2.8556034482758622E-2</v>
      </c>
      <c r="CK243">
        <f>0.05*CG243/464</f>
        <v>3.0064655172413794E-2</v>
      </c>
      <c r="CL243">
        <f>0.05*CH243/464</f>
        <v>3.0495689655172416E-2</v>
      </c>
      <c r="CM243">
        <f>0.05*CI243/464</f>
        <v>2.2306034482758624E-2</v>
      </c>
      <c r="CN243" t="e">
        <f>IF(CB243&lt;CJ243,"yes","no")</f>
        <v>#DIV/0!</v>
      </c>
      <c r="CO243" t="e">
        <f>IF(CC243&lt;CK243,"yes","no")</f>
        <v>#DIV/0!</v>
      </c>
      <c r="CP243" t="e">
        <f>IF(CD243&lt;CL243,"yes","no")</f>
        <v>#DIV/0!</v>
      </c>
      <c r="CQ243" t="e">
        <f>IF(CE243&lt;CM243,"yes","no")</f>
        <v>#DIV/0!</v>
      </c>
      <c r="CR243">
        <f>TTEST(AS243:AW243,AD243:AH243,2,2)</f>
        <v>2.8895166906461435E-3</v>
      </c>
      <c r="CS243">
        <f>TTEST(AS243:AW243,AN243:AR243,2,2)</f>
        <v>1.6033261334101793E-4</v>
      </c>
      <c r="CT243" t="e">
        <f>TTEST(AS243:AW243,AX243:BB243,2,2)</f>
        <v>#DIV/0!</v>
      </c>
      <c r="CU243">
        <v>175</v>
      </c>
      <c r="CV243">
        <v>54</v>
      </c>
      <c r="CW243">
        <v>242</v>
      </c>
      <c r="CX243">
        <f t="shared" si="9"/>
        <v>1.8857758620689655E-2</v>
      </c>
      <c r="CY243">
        <f t="shared" si="10"/>
        <v>5.8189655172413797E-3</v>
      </c>
      <c r="CZ243">
        <f t="shared" si="11"/>
        <v>2.6077586206896555E-2</v>
      </c>
      <c r="DA243" t="str">
        <f>IF(CR243&lt;CX243,"yes","no")</f>
        <v>yes</v>
      </c>
      <c r="DB243" t="str">
        <f>IF(CS243&lt;CY243,"yes","no")</f>
        <v>yes</v>
      </c>
      <c r="DC243" t="e">
        <f>IF(CT243&lt;CZ243,"yes","no")</f>
        <v>#DIV/0!</v>
      </c>
    </row>
    <row r="244" spans="1:107" x14ac:dyDescent="0.2">
      <c r="A244" s="2" t="b">
        <v>0</v>
      </c>
      <c r="B244" s="2" t="s">
        <v>79</v>
      </c>
      <c r="C244" s="2" t="s">
        <v>80</v>
      </c>
      <c r="D244" s="2" t="s">
        <v>800</v>
      </c>
      <c r="E244" s="2" t="s">
        <v>801</v>
      </c>
      <c r="F244" s="2">
        <v>3</v>
      </c>
      <c r="G244" s="2">
        <v>3</v>
      </c>
      <c r="H244" s="2">
        <v>18</v>
      </c>
      <c r="I244" s="2">
        <v>8.25</v>
      </c>
      <c r="J244" s="2" t="s">
        <v>254</v>
      </c>
      <c r="K244" s="2" t="s">
        <v>319</v>
      </c>
      <c r="L244" s="2" t="s">
        <v>83</v>
      </c>
      <c r="M244" s="2" t="s">
        <v>83</v>
      </c>
      <c r="N244" s="2" t="s">
        <v>800</v>
      </c>
      <c r="O244" s="2">
        <v>1.9259999999999999</v>
      </c>
      <c r="P244" s="2">
        <v>0.67900000000000005</v>
      </c>
      <c r="Q244" s="2">
        <v>0.01</v>
      </c>
      <c r="R244" s="2">
        <v>100</v>
      </c>
      <c r="S244" s="2">
        <v>100</v>
      </c>
      <c r="T244" s="2">
        <v>100</v>
      </c>
      <c r="U244" s="2" t="s">
        <v>83</v>
      </c>
      <c r="V244" s="2">
        <v>0.34399999999999997</v>
      </c>
      <c r="W244" s="2">
        <v>0.01</v>
      </c>
      <c r="X244" s="2">
        <v>0.01</v>
      </c>
      <c r="Y244" s="2">
        <v>140.30000000000001</v>
      </c>
      <c r="Z244" s="2" t="s">
        <v>83</v>
      </c>
      <c r="AA244" s="2">
        <v>266.60000000000002</v>
      </c>
      <c r="AB244" s="2">
        <v>93.1</v>
      </c>
      <c r="AC244" s="2" t="s">
        <v>83</v>
      </c>
      <c r="AD244" s="2">
        <v>467063.53125</v>
      </c>
      <c r="AE244" s="2">
        <v>391330.28125</v>
      </c>
      <c r="AF244" s="2">
        <v>383983.21875</v>
      </c>
      <c r="AG244" s="2">
        <v>371491.125</v>
      </c>
      <c r="AH244" s="2">
        <v>305979.09375</v>
      </c>
      <c r="AI244" s="2" t="s">
        <v>83</v>
      </c>
      <c r="AJ244" s="2" t="s">
        <v>83</v>
      </c>
      <c r="AK244" s="2" t="s">
        <v>83</v>
      </c>
      <c r="AL244" s="2" t="s">
        <v>83</v>
      </c>
      <c r="AM244" s="2" t="s">
        <v>83</v>
      </c>
      <c r="AN244" s="2">
        <v>13830.0224609375</v>
      </c>
      <c r="AO244" s="2">
        <v>11757.1083984375</v>
      </c>
      <c r="AP244" s="2">
        <v>19416.962890625</v>
      </c>
      <c r="AQ244" s="2">
        <v>16102.2109375</v>
      </c>
      <c r="AR244" s="2">
        <v>12085.6142578125</v>
      </c>
      <c r="AS244" s="2">
        <v>40421.48828125</v>
      </c>
      <c r="AT244" s="2">
        <v>58154.17578125</v>
      </c>
      <c r="AU244" s="2">
        <v>33558.13671875</v>
      </c>
      <c r="AV244" s="2">
        <v>40797.2265625</v>
      </c>
      <c r="AW244" s="2">
        <v>40356.4453125</v>
      </c>
      <c r="AX244" s="2" t="s">
        <v>83</v>
      </c>
      <c r="AY244" s="2" t="s">
        <v>83</v>
      </c>
      <c r="AZ244" s="2" t="s">
        <v>83</v>
      </c>
      <c r="BA244" s="2" t="s">
        <v>83</v>
      </c>
      <c r="BB244" s="2" t="s">
        <v>83</v>
      </c>
      <c r="BC244" s="2" t="s">
        <v>79</v>
      </c>
      <c r="BD244" s="2" t="s">
        <v>79</v>
      </c>
      <c r="BE244" s="2" t="s">
        <v>79</v>
      </c>
      <c r="BF244" s="2" t="s">
        <v>79</v>
      </c>
      <c r="BG244" s="2" t="s">
        <v>79</v>
      </c>
      <c r="BH244" s="2" t="s">
        <v>91</v>
      </c>
      <c r="BI244" s="2" t="s">
        <v>98</v>
      </c>
      <c r="BJ244" s="2" t="s">
        <v>91</v>
      </c>
      <c r="BK244" s="2" t="s">
        <v>91</v>
      </c>
      <c r="BL244" s="2" t="s">
        <v>91</v>
      </c>
      <c r="BM244" s="2" t="s">
        <v>91</v>
      </c>
      <c r="BN244" s="2" t="s">
        <v>91</v>
      </c>
      <c r="BO244" s="2" t="s">
        <v>91</v>
      </c>
      <c r="BP244" s="2" t="s">
        <v>91</v>
      </c>
      <c r="BQ244" s="2" t="s">
        <v>91</v>
      </c>
      <c r="BR244" s="2" t="s">
        <v>91</v>
      </c>
      <c r="BS244" s="2" t="s">
        <v>79</v>
      </c>
      <c r="BT244" s="2" t="s">
        <v>79</v>
      </c>
      <c r="BU244" s="2" t="s">
        <v>79</v>
      </c>
      <c r="BV244" s="2" t="s">
        <v>91</v>
      </c>
      <c r="BW244" s="2" t="s">
        <v>98</v>
      </c>
      <c r="BX244" s="2" t="s">
        <v>98</v>
      </c>
      <c r="BY244" s="2" t="s">
        <v>98</v>
      </c>
      <c r="BZ244" s="2" t="s">
        <v>98</v>
      </c>
      <c r="CA244" s="2" t="s">
        <v>98</v>
      </c>
      <c r="CB244" t="e">
        <f>TTEST(AS244:AW244,AI244:AM244,2,2)</f>
        <v>#DIV/0!</v>
      </c>
      <c r="CC244" t="e">
        <f>TTEST(AD244:AH244,AI244:AM244,2,2)</f>
        <v>#DIV/0!</v>
      </c>
      <c r="CD244" t="e">
        <f>TTEST(AN244:AR244,AI244:AM244,2,2)</f>
        <v>#DIV/0!</v>
      </c>
      <c r="CE244" t="e">
        <f>TTEST(AX244:BB244,AI244:AM244,2,2)</f>
        <v>#DIV/0!</v>
      </c>
      <c r="CF244">
        <v>239</v>
      </c>
      <c r="CG244">
        <v>253</v>
      </c>
      <c r="CH244">
        <v>257</v>
      </c>
      <c r="CI244">
        <v>209</v>
      </c>
      <c r="CJ244">
        <f>0.05*CF244/464</f>
        <v>2.5754310344827589E-2</v>
      </c>
      <c r="CK244">
        <f>0.05*CG244/464</f>
        <v>2.7262931034482761E-2</v>
      </c>
      <c r="CL244">
        <f>0.05*CH244/464</f>
        <v>2.7693965517241383E-2</v>
      </c>
      <c r="CM244">
        <f>0.05*CI244/464</f>
        <v>2.2521551724137934E-2</v>
      </c>
      <c r="CN244" t="e">
        <f>IF(CB244&lt;CJ244,"yes","no")</f>
        <v>#DIV/0!</v>
      </c>
      <c r="CO244" t="e">
        <f>IF(CC244&lt;CK244,"yes","no")</f>
        <v>#DIV/0!</v>
      </c>
      <c r="CP244" t="e">
        <f>IF(CD244&lt;CL244,"yes","no")</f>
        <v>#DIV/0!</v>
      </c>
      <c r="CQ244" t="e">
        <f>IF(CE244&lt;CM244,"yes","no")</f>
        <v>#DIV/0!</v>
      </c>
      <c r="CR244">
        <f>TTEST(AS244:AW244,AD244:AH244,2,2)</f>
        <v>1.0827053095468465E-6</v>
      </c>
      <c r="CS244">
        <f>TTEST(AS244:AW244,AN244:AR244,2,2)</f>
        <v>1.9783520005401328E-4</v>
      </c>
      <c r="CT244" t="e">
        <f>TTEST(AS244:AW244,AX244:BB244,2,2)</f>
        <v>#DIV/0!</v>
      </c>
      <c r="CU244">
        <v>56</v>
      </c>
      <c r="CV244">
        <v>61</v>
      </c>
      <c r="CW244">
        <v>243</v>
      </c>
      <c r="CX244">
        <f t="shared" si="9"/>
        <v>6.0344827586206904E-3</v>
      </c>
      <c r="CY244">
        <f t="shared" si="10"/>
        <v>6.5732758620689665E-3</v>
      </c>
      <c r="CZ244">
        <f t="shared" si="11"/>
        <v>2.6185344827586207E-2</v>
      </c>
      <c r="DA244" t="str">
        <f>IF(CR244&lt;CX244,"yes","no")</f>
        <v>yes</v>
      </c>
      <c r="DB244" t="str">
        <f>IF(CS244&lt;CY244,"yes","no")</f>
        <v>yes</v>
      </c>
      <c r="DC244" t="e">
        <f>IF(CT244&lt;CZ244,"yes","no")</f>
        <v>#DIV/0!</v>
      </c>
    </row>
    <row r="245" spans="1:107" x14ac:dyDescent="0.2">
      <c r="A245" s="2" t="b">
        <v>0</v>
      </c>
      <c r="B245" s="2" t="s">
        <v>79</v>
      </c>
      <c r="C245" s="2" t="s">
        <v>80</v>
      </c>
      <c r="D245" s="2" t="s">
        <v>646</v>
      </c>
      <c r="E245" s="2" t="s">
        <v>647</v>
      </c>
      <c r="F245" s="2">
        <v>2</v>
      </c>
      <c r="G245" s="2">
        <v>1</v>
      </c>
      <c r="H245" s="2">
        <v>12.9</v>
      </c>
      <c r="I245" s="2">
        <v>6.05</v>
      </c>
      <c r="J245" s="2" t="s">
        <v>254</v>
      </c>
      <c r="K245" s="2" t="s">
        <v>319</v>
      </c>
      <c r="L245" s="2" t="s">
        <v>83</v>
      </c>
      <c r="M245" s="2" t="s">
        <v>83</v>
      </c>
      <c r="N245" s="2" t="s">
        <v>646</v>
      </c>
      <c r="O245" s="2">
        <v>2.044</v>
      </c>
      <c r="P245" s="2">
        <v>1.089</v>
      </c>
      <c r="Q245" s="2">
        <v>0.01</v>
      </c>
      <c r="R245" s="2">
        <v>1.7569999999999999</v>
      </c>
      <c r="S245" s="2">
        <v>4.093</v>
      </c>
      <c r="T245" s="2">
        <v>1.9139999999999999</v>
      </c>
      <c r="U245" s="2">
        <v>0.01</v>
      </c>
      <c r="V245" s="2">
        <v>0.49399999999999999</v>
      </c>
      <c r="W245" s="2">
        <v>0.01</v>
      </c>
      <c r="X245" s="2">
        <v>0.01</v>
      </c>
      <c r="Y245" s="2">
        <v>100.2</v>
      </c>
      <c r="Z245" s="2">
        <v>57.1</v>
      </c>
      <c r="AA245" s="2">
        <v>233.5</v>
      </c>
      <c r="AB245" s="2">
        <v>109.2</v>
      </c>
      <c r="AC245" s="2" t="s">
        <v>83</v>
      </c>
      <c r="AD245" s="2">
        <v>653530.4375</v>
      </c>
      <c r="AE245" s="2">
        <v>459104.46875</v>
      </c>
      <c r="AF245" s="2">
        <v>512409.21875</v>
      </c>
      <c r="AG245" s="2">
        <v>504737.28125</v>
      </c>
      <c r="AH245" s="2">
        <v>449695.15625</v>
      </c>
      <c r="AI245" s="2">
        <v>6204.1525878906295</v>
      </c>
      <c r="AJ245" s="2" t="s">
        <v>83</v>
      </c>
      <c r="AK245" s="2" t="s">
        <v>83</v>
      </c>
      <c r="AL245" s="2">
        <v>3031.4013671875</v>
      </c>
      <c r="AM245" s="2">
        <v>9954.9169921875</v>
      </c>
      <c r="AN245" s="2">
        <v>10860.7783203125</v>
      </c>
      <c r="AO245" s="2">
        <v>17738.3125</v>
      </c>
      <c r="AP245" s="2">
        <v>27549.125</v>
      </c>
      <c r="AQ245" s="2">
        <v>14832.6474609375</v>
      </c>
      <c r="AR245" s="2">
        <v>39277.302734375</v>
      </c>
      <c r="AS245" s="2">
        <v>70114.7265625</v>
      </c>
      <c r="AT245" s="2">
        <v>104703.4609375</v>
      </c>
      <c r="AU245" s="2">
        <v>77158.875</v>
      </c>
      <c r="AV245" s="2">
        <v>78781.296875</v>
      </c>
      <c r="AW245" s="2">
        <v>118897.7578125</v>
      </c>
      <c r="AX245" s="2" t="s">
        <v>83</v>
      </c>
      <c r="AY245" s="2" t="s">
        <v>83</v>
      </c>
      <c r="AZ245" s="2" t="s">
        <v>83</v>
      </c>
      <c r="BA245" s="2" t="s">
        <v>83</v>
      </c>
      <c r="BB245" s="2" t="s">
        <v>83</v>
      </c>
      <c r="BC245" s="2" t="s">
        <v>79</v>
      </c>
      <c r="BD245" s="2" t="s">
        <v>79</v>
      </c>
      <c r="BE245" s="2" t="s">
        <v>79</v>
      </c>
      <c r="BF245" s="2" t="s">
        <v>79</v>
      </c>
      <c r="BG245" s="2" t="s">
        <v>79</v>
      </c>
      <c r="BH245" s="2" t="s">
        <v>91</v>
      </c>
      <c r="BI245" s="2" t="s">
        <v>98</v>
      </c>
      <c r="BJ245" s="2" t="s">
        <v>98</v>
      </c>
      <c r="BK245" s="2" t="s">
        <v>91</v>
      </c>
      <c r="BL245" s="2" t="s">
        <v>91</v>
      </c>
      <c r="BM245" s="2" t="s">
        <v>91</v>
      </c>
      <c r="BN245" s="2" t="s">
        <v>91</v>
      </c>
      <c r="BO245" s="2" t="s">
        <v>79</v>
      </c>
      <c r="BP245" s="2" t="s">
        <v>91</v>
      </c>
      <c r="BQ245" s="2" t="s">
        <v>91</v>
      </c>
      <c r="BR245" s="2" t="s">
        <v>79</v>
      </c>
      <c r="BS245" s="2" t="s">
        <v>79</v>
      </c>
      <c r="BT245" s="2" t="s">
        <v>79</v>
      </c>
      <c r="BU245" s="2" t="s">
        <v>79</v>
      </c>
      <c r="BV245" s="2" t="s">
        <v>79</v>
      </c>
      <c r="BW245" s="2" t="s">
        <v>98</v>
      </c>
      <c r="BX245" s="2" t="s">
        <v>98</v>
      </c>
      <c r="BY245" s="2" t="s">
        <v>98</v>
      </c>
      <c r="BZ245" s="2" t="s">
        <v>98</v>
      </c>
      <c r="CA245" s="2" t="s">
        <v>98</v>
      </c>
      <c r="CB245">
        <f>TTEST(AS245:AW245,AI245:AM245,2,2)</f>
        <v>5.4707107273014699E-4</v>
      </c>
      <c r="CC245">
        <f>TTEST(AD245:AH245,AI245:AM245,2,2)</f>
        <v>4.4889785301468097E-5</v>
      </c>
      <c r="CD245">
        <f>TTEST(AN245:AR245,AI245:AM245,2,2)</f>
        <v>6.5871644742595964E-2</v>
      </c>
      <c r="CE245" t="e">
        <f>TTEST(AX245:BB245,AI245:AM245,2,2)</f>
        <v>#DIV/0!</v>
      </c>
      <c r="CF245">
        <v>92</v>
      </c>
      <c r="CG245">
        <v>100</v>
      </c>
      <c r="CH245">
        <v>125</v>
      </c>
      <c r="CI245">
        <v>210</v>
      </c>
      <c r="CJ245">
        <f>0.05*CF245/464</f>
        <v>9.9137931034482766E-3</v>
      </c>
      <c r="CK245">
        <f>0.05*CG245/464</f>
        <v>1.0775862068965518E-2</v>
      </c>
      <c r="CL245">
        <f>0.05*CH245/464</f>
        <v>1.3469827586206896E-2</v>
      </c>
      <c r="CM245">
        <f>0.05*CI245/464</f>
        <v>2.2629310344827586E-2</v>
      </c>
      <c r="CN245" t="str">
        <f>IF(CB245&lt;CJ245,"yes","no")</f>
        <v>yes</v>
      </c>
      <c r="CO245" t="str">
        <f>IF(CC245&lt;CK245,"yes","no")</f>
        <v>yes</v>
      </c>
      <c r="CP245" t="str">
        <f>IF(CD245&lt;CL245,"yes","no")</f>
        <v>no</v>
      </c>
      <c r="CQ245" t="e">
        <f>IF(CE245&lt;CM245,"yes","no")</f>
        <v>#DIV/0!</v>
      </c>
      <c r="CR245">
        <f>TTEST(AS245:AW245,AD245:AH245,2,2)</f>
        <v>3.3872920773466695E-6</v>
      </c>
      <c r="CS245">
        <f>TTEST(AS245:AW245,AN245:AR245,2,2)</f>
        <v>2.1247938128008995E-4</v>
      </c>
      <c r="CT245" t="e">
        <f>TTEST(AS245:AW245,AX245:BB245,2,2)</f>
        <v>#DIV/0!</v>
      </c>
      <c r="CU245">
        <v>73</v>
      </c>
      <c r="CV245">
        <v>63</v>
      </c>
      <c r="CW245">
        <v>244</v>
      </c>
      <c r="CX245">
        <f t="shared" si="9"/>
        <v>7.8663793103448277E-3</v>
      </c>
      <c r="CY245">
        <f t="shared" si="10"/>
        <v>6.7887931034482764E-3</v>
      </c>
      <c r="CZ245">
        <f t="shared" si="11"/>
        <v>2.6293103448275866E-2</v>
      </c>
      <c r="DA245" t="str">
        <f>IF(CR245&lt;CX245,"yes","no")</f>
        <v>yes</v>
      </c>
      <c r="DB245" t="str">
        <f>IF(CS245&lt;CY245,"yes","no")</f>
        <v>yes</v>
      </c>
      <c r="DC245" t="e">
        <f>IF(CT245&lt;CZ245,"yes","no")</f>
        <v>#DIV/0!</v>
      </c>
    </row>
    <row r="246" spans="1:107" x14ac:dyDescent="0.2">
      <c r="A246" s="2" t="b">
        <v>0</v>
      </c>
      <c r="B246" s="2" t="s">
        <v>79</v>
      </c>
      <c r="C246" s="2" t="s">
        <v>80</v>
      </c>
      <c r="D246" s="2" t="s">
        <v>1246</v>
      </c>
      <c r="E246" s="2" t="s">
        <v>1247</v>
      </c>
      <c r="F246" s="2">
        <v>3</v>
      </c>
      <c r="G246" s="2">
        <v>3</v>
      </c>
      <c r="H246" s="2">
        <v>75.5</v>
      </c>
      <c r="I246" s="2">
        <v>6.46</v>
      </c>
      <c r="J246" s="2" t="s">
        <v>135</v>
      </c>
      <c r="K246" s="2" t="s">
        <v>319</v>
      </c>
      <c r="L246" s="2" t="s">
        <v>119</v>
      </c>
      <c r="M246" s="2" t="s">
        <v>83</v>
      </c>
      <c r="N246" s="2" t="s">
        <v>1248</v>
      </c>
      <c r="O246" s="2">
        <v>3.085</v>
      </c>
      <c r="P246" s="2">
        <v>9.7000000000000003E-2</v>
      </c>
      <c r="Q246" s="2">
        <v>0.01</v>
      </c>
      <c r="R246" s="2">
        <v>1.2509999999999999</v>
      </c>
      <c r="S246" s="2">
        <v>3.3220000000000001</v>
      </c>
      <c r="T246" s="2">
        <v>0.113</v>
      </c>
      <c r="U246" s="2">
        <v>0.01</v>
      </c>
      <c r="V246" s="2">
        <v>3.3000000000000002E-2</v>
      </c>
      <c r="W246" s="2">
        <v>0.01</v>
      </c>
      <c r="X246" s="2">
        <v>0.01</v>
      </c>
      <c r="Y246" s="2">
        <v>122.7</v>
      </c>
      <c r="Z246" s="2">
        <v>79.400000000000006</v>
      </c>
      <c r="AA246" s="2">
        <v>288.8</v>
      </c>
      <c r="AB246" s="2">
        <v>9.1</v>
      </c>
      <c r="AC246" s="2" t="s">
        <v>83</v>
      </c>
      <c r="AD246" s="2">
        <v>1508430.65625</v>
      </c>
      <c r="AE246" s="2">
        <v>1092282.078125</v>
      </c>
      <c r="AF246" s="2">
        <v>1006484.0390625</v>
      </c>
      <c r="AG246" s="2">
        <v>183739.125</v>
      </c>
      <c r="AH246" s="2">
        <v>183767.15625</v>
      </c>
      <c r="AI246" s="2">
        <v>19470.34375</v>
      </c>
      <c r="AJ246" s="2">
        <v>14078.0859375</v>
      </c>
      <c r="AK246" s="2">
        <v>14401.01953125</v>
      </c>
      <c r="AL246" s="2">
        <v>19406.599609375</v>
      </c>
      <c r="AM246" s="2">
        <v>12442.359375</v>
      </c>
      <c r="AN246" s="2">
        <v>52375.2607421875</v>
      </c>
      <c r="AO246" s="2">
        <v>54637.77734375</v>
      </c>
      <c r="AP246" s="2">
        <v>39190.78515625</v>
      </c>
      <c r="AQ246" s="2">
        <v>38069.12109375</v>
      </c>
      <c r="AR246" s="2">
        <v>69350.03125</v>
      </c>
      <c r="AS246" s="2">
        <v>12611.7177734375</v>
      </c>
      <c r="AT246" s="2">
        <v>15767.88671875</v>
      </c>
      <c r="AU246" s="2">
        <v>11470.408203125</v>
      </c>
      <c r="AV246" s="2">
        <v>16309.91796875</v>
      </c>
      <c r="AW246" s="2">
        <v>12171.5361328125</v>
      </c>
      <c r="AX246" s="2" t="s">
        <v>83</v>
      </c>
      <c r="AY246" s="2" t="s">
        <v>83</v>
      </c>
      <c r="AZ246" s="2" t="s">
        <v>83</v>
      </c>
      <c r="BA246" s="2" t="s">
        <v>83</v>
      </c>
      <c r="BB246" s="2" t="s">
        <v>83</v>
      </c>
      <c r="BC246" s="2" t="s">
        <v>79</v>
      </c>
      <c r="BD246" s="2" t="s">
        <v>79</v>
      </c>
      <c r="BE246" s="2" t="s">
        <v>79</v>
      </c>
      <c r="BF246" s="2" t="s">
        <v>79</v>
      </c>
      <c r="BG246" s="2" t="s">
        <v>79</v>
      </c>
      <c r="BH246" s="2" t="s">
        <v>91</v>
      </c>
      <c r="BI246" s="2" t="s">
        <v>91</v>
      </c>
      <c r="BJ246" s="2" t="s">
        <v>91</v>
      </c>
      <c r="BK246" s="2" t="s">
        <v>91</v>
      </c>
      <c r="BL246" s="2" t="s">
        <v>91</v>
      </c>
      <c r="BM246" s="2" t="s">
        <v>91</v>
      </c>
      <c r="BN246" s="2" t="s">
        <v>91</v>
      </c>
      <c r="BO246" s="2" t="s">
        <v>91</v>
      </c>
      <c r="BP246" s="2" t="s">
        <v>91</v>
      </c>
      <c r="BQ246" s="2" t="s">
        <v>91</v>
      </c>
      <c r="BR246" s="2" t="s">
        <v>91</v>
      </c>
      <c r="BS246" s="2" t="s">
        <v>91</v>
      </c>
      <c r="BT246" s="2" t="s">
        <v>91</v>
      </c>
      <c r="BU246" s="2" t="s">
        <v>91</v>
      </c>
      <c r="BV246" s="2" t="s">
        <v>91</v>
      </c>
      <c r="BW246" s="2" t="s">
        <v>98</v>
      </c>
      <c r="BX246" s="2" t="s">
        <v>98</v>
      </c>
      <c r="BY246" s="2" t="s">
        <v>98</v>
      </c>
      <c r="BZ246" s="2" t="s">
        <v>98</v>
      </c>
      <c r="CA246" s="2" t="s">
        <v>98</v>
      </c>
      <c r="CB246">
        <f>TTEST(AS246:AW246,AI246:AM246,2,2)</f>
        <v>0.22938406664401703</v>
      </c>
      <c r="CC246">
        <f>TTEST(AD246:AH246,AI246:AM246,2,2)</f>
        <v>1.8271168402039864E-2</v>
      </c>
      <c r="CD246">
        <f>TTEST(AN246:AR246,AI246:AM246,2,2)</f>
        <v>3.7273651826301429E-4</v>
      </c>
      <c r="CE246" t="e">
        <f>TTEST(AX246:BB246,AI246:AM246,2,2)</f>
        <v>#DIV/0!</v>
      </c>
      <c r="CF246">
        <v>169</v>
      </c>
      <c r="CG246">
        <v>169</v>
      </c>
      <c r="CH246">
        <v>61</v>
      </c>
      <c r="CI246">
        <v>211</v>
      </c>
      <c r="CJ246">
        <f>0.05*CF246/464</f>
        <v>1.8211206896551726E-2</v>
      </c>
      <c r="CK246">
        <f>0.05*CG246/464</f>
        <v>1.8211206896551726E-2</v>
      </c>
      <c r="CL246">
        <f>0.05*CH246/464</f>
        <v>6.5732758620689665E-3</v>
      </c>
      <c r="CM246">
        <f>0.05*CI246/464</f>
        <v>2.2737068965517242E-2</v>
      </c>
      <c r="CN246" t="str">
        <f>IF(CB246&lt;CJ246,"yes","no")</f>
        <v>no</v>
      </c>
      <c r="CO246" t="str">
        <f>IF(CC246&lt;CK246,"yes","no")</f>
        <v>no</v>
      </c>
      <c r="CP246" t="str">
        <f>IF(CD246&lt;CL246,"yes","no")</f>
        <v>yes</v>
      </c>
      <c r="CQ246" t="e">
        <f>IF(CE246&lt;CM246,"yes","no")</f>
        <v>#DIV/0!</v>
      </c>
      <c r="CR246">
        <f>TTEST(AS246:AW246,AD246:AH246,2,2)</f>
        <v>1.8029185500974612E-2</v>
      </c>
      <c r="CS246">
        <f>TTEST(AS246:AW246,AN246:AR246,2,2)</f>
        <v>2.168209460620591E-4</v>
      </c>
      <c r="CT246" t="e">
        <f>TTEST(AS246:AW246,AX246:BB246,2,2)</f>
        <v>#DIV/0!</v>
      </c>
      <c r="CU246">
        <v>204</v>
      </c>
      <c r="CV246">
        <v>64</v>
      </c>
      <c r="CW246">
        <v>245</v>
      </c>
      <c r="CX246">
        <f t="shared" si="9"/>
        <v>2.1982758620689657E-2</v>
      </c>
      <c r="CY246">
        <f t="shared" si="10"/>
        <v>6.8965517241379318E-3</v>
      </c>
      <c r="CZ246">
        <f t="shared" si="11"/>
        <v>2.6400862068965518E-2</v>
      </c>
      <c r="DA246" t="str">
        <f>IF(CR246&lt;CX246,"yes","no")</f>
        <v>yes</v>
      </c>
      <c r="DB246" t="str">
        <f>IF(CS246&lt;CY246,"yes","no")</f>
        <v>yes</v>
      </c>
      <c r="DC246" t="e">
        <f>IF(CT246&lt;CZ246,"yes","no")</f>
        <v>#DIV/0!</v>
      </c>
    </row>
    <row r="247" spans="1:107" x14ac:dyDescent="0.2">
      <c r="A247" s="2" t="b">
        <v>0</v>
      </c>
      <c r="B247" s="2" t="s">
        <v>79</v>
      </c>
      <c r="C247" s="2" t="s">
        <v>80</v>
      </c>
      <c r="D247" s="2" t="s">
        <v>910</v>
      </c>
      <c r="E247" s="2" t="s">
        <v>911</v>
      </c>
      <c r="F247" s="2">
        <v>2</v>
      </c>
      <c r="G247" s="2">
        <v>2</v>
      </c>
      <c r="H247" s="2">
        <v>13.7</v>
      </c>
      <c r="I247" s="2">
        <v>7.37</v>
      </c>
      <c r="J247" s="2" t="s">
        <v>254</v>
      </c>
      <c r="K247" s="2" t="s">
        <v>319</v>
      </c>
      <c r="L247" s="2" t="s">
        <v>83</v>
      </c>
      <c r="M247" s="2" t="s">
        <v>83</v>
      </c>
      <c r="N247" s="2" t="s">
        <v>910</v>
      </c>
      <c r="O247" s="2">
        <v>0.52</v>
      </c>
      <c r="P247" s="2">
        <v>0.379</v>
      </c>
      <c r="Q247" s="2">
        <v>0.01</v>
      </c>
      <c r="R247" s="2">
        <v>100</v>
      </c>
      <c r="S247" s="2">
        <v>100</v>
      </c>
      <c r="T247" s="2">
        <v>100</v>
      </c>
      <c r="U247" s="2" t="s">
        <v>83</v>
      </c>
      <c r="V247" s="2">
        <v>0.64400000000000002</v>
      </c>
      <c r="W247" s="2">
        <v>0.01</v>
      </c>
      <c r="X247" s="2">
        <v>0.01</v>
      </c>
      <c r="Y247" s="2">
        <v>259.60000000000002</v>
      </c>
      <c r="Z247" s="2" t="s">
        <v>83</v>
      </c>
      <c r="AA247" s="2">
        <v>139.1</v>
      </c>
      <c r="AB247" s="2">
        <v>101.3</v>
      </c>
      <c r="AC247" s="2" t="s">
        <v>83</v>
      </c>
      <c r="AD247" s="2">
        <v>826950.6875</v>
      </c>
      <c r="AE247" s="2">
        <v>852941.75</v>
      </c>
      <c r="AF247" s="2">
        <v>661186.6875</v>
      </c>
      <c r="AG247" s="2">
        <v>902288.8125</v>
      </c>
      <c r="AH247" s="2">
        <v>718252.75</v>
      </c>
      <c r="AI247" s="2" t="s">
        <v>83</v>
      </c>
      <c r="AJ247" s="2" t="s">
        <v>83</v>
      </c>
      <c r="AK247" s="2" t="s">
        <v>83</v>
      </c>
      <c r="AL247" s="2" t="s">
        <v>83</v>
      </c>
      <c r="AM247" s="2" t="s">
        <v>83</v>
      </c>
      <c r="AN247" s="2">
        <v>6512.85595703125</v>
      </c>
      <c r="AO247" s="2">
        <v>6191.4541015625</v>
      </c>
      <c r="AP247" s="2">
        <v>7919.47314453125</v>
      </c>
      <c r="AQ247" s="2">
        <v>8088.62841796875</v>
      </c>
      <c r="AR247" s="2">
        <v>17776.765625</v>
      </c>
      <c r="AS247" s="2">
        <v>43917.96875</v>
      </c>
      <c r="AT247" s="2">
        <v>46451.1875</v>
      </c>
      <c r="AU247" s="2">
        <v>27818.1171875</v>
      </c>
      <c r="AV247" s="2">
        <v>42901.4453125</v>
      </c>
      <c r="AW247" s="2">
        <v>59886.5703125</v>
      </c>
      <c r="AX247" s="2" t="s">
        <v>83</v>
      </c>
      <c r="AY247" s="2" t="s">
        <v>83</v>
      </c>
      <c r="AZ247" s="2" t="s">
        <v>83</v>
      </c>
      <c r="BA247" s="2" t="s">
        <v>83</v>
      </c>
      <c r="BB247" s="2" t="s">
        <v>83</v>
      </c>
      <c r="BC247" s="2" t="s">
        <v>79</v>
      </c>
      <c r="BD247" s="2" t="s">
        <v>79</v>
      </c>
      <c r="BE247" s="2" t="s">
        <v>79</v>
      </c>
      <c r="BF247" s="2" t="s">
        <v>79</v>
      </c>
      <c r="BG247" s="2" t="s">
        <v>79</v>
      </c>
      <c r="BH247" s="2" t="s">
        <v>98</v>
      </c>
      <c r="BI247" s="2" t="s">
        <v>98</v>
      </c>
      <c r="BJ247" s="2" t="s">
        <v>98</v>
      </c>
      <c r="BK247" s="2" t="s">
        <v>98</v>
      </c>
      <c r="BL247" s="2" t="s">
        <v>98</v>
      </c>
      <c r="BM247" s="2" t="s">
        <v>91</v>
      </c>
      <c r="BN247" s="2" t="s">
        <v>91</v>
      </c>
      <c r="BO247" s="2" t="s">
        <v>91</v>
      </c>
      <c r="BP247" s="2" t="s">
        <v>91</v>
      </c>
      <c r="BQ247" s="2" t="s">
        <v>91</v>
      </c>
      <c r="BR247" s="2" t="s">
        <v>79</v>
      </c>
      <c r="BS247" s="2" t="s">
        <v>91</v>
      </c>
      <c r="BT247" s="2" t="s">
        <v>91</v>
      </c>
      <c r="BU247" s="2" t="s">
        <v>91</v>
      </c>
      <c r="BV247" s="2" t="s">
        <v>91</v>
      </c>
      <c r="BW247" s="2" t="s">
        <v>98</v>
      </c>
      <c r="BX247" s="2" t="s">
        <v>98</v>
      </c>
      <c r="BY247" s="2" t="s">
        <v>98</v>
      </c>
      <c r="BZ247" s="2" t="s">
        <v>98</v>
      </c>
      <c r="CA247" s="2" t="s">
        <v>98</v>
      </c>
      <c r="CB247" t="e">
        <f>TTEST(AS247:AW247,AI247:AM247,2,2)</f>
        <v>#DIV/0!</v>
      </c>
      <c r="CC247" t="e">
        <f>TTEST(AD247:AH247,AI247:AM247,2,2)</f>
        <v>#DIV/0!</v>
      </c>
      <c r="CD247" t="e">
        <f>TTEST(AN247:AR247,AI247:AM247,2,2)</f>
        <v>#DIV/0!</v>
      </c>
      <c r="CE247" t="e">
        <f>TTEST(AX247:BB247,AI247:AM247,2,2)</f>
        <v>#DIV/0!</v>
      </c>
      <c r="CF247">
        <v>233</v>
      </c>
      <c r="CG247">
        <v>247</v>
      </c>
      <c r="CH247">
        <v>251</v>
      </c>
      <c r="CI247">
        <v>212</v>
      </c>
      <c r="CJ247">
        <f>0.05*CF247/464</f>
        <v>2.5107758620689657E-2</v>
      </c>
      <c r="CK247">
        <f>0.05*CG247/464</f>
        <v>2.6616379310344832E-2</v>
      </c>
      <c r="CL247">
        <f>0.05*CH247/464</f>
        <v>2.704741379310345E-2</v>
      </c>
      <c r="CM247">
        <f>0.05*CI247/464</f>
        <v>2.2844827586206901E-2</v>
      </c>
      <c r="CN247" t="e">
        <f>IF(CB247&lt;CJ247,"yes","no")</f>
        <v>#DIV/0!</v>
      </c>
      <c r="CO247" t="e">
        <f>IF(CC247&lt;CK247,"yes","no")</f>
        <v>#DIV/0!</v>
      </c>
      <c r="CP247" t="e">
        <f>IF(CD247&lt;CL247,"yes","no")</f>
        <v>#DIV/0!</v>
      </c>
      <c r="CQ247" t="e">
        <f>IF(CE247&lt;CM247,"yes","no")</f>
        <v>#DIV/0!</v>
      </c>
      <c r="CR247">
        <f>TTEST(AS247:AW247,AD247:AH247,2,2)</f>
        <v>1.6774723027471257E-7</v>
      </c>
      <c r="CS247">
        <f>TTEST(AS247:AW247,AN247:AR247,2,2)</f>
        <v>2.3312735362126697E-4</v>
      </c>
      <c r="CT247" t="e">
        <f>TTEST(AS247:AW247,AX247:BB247,2,2)</f>
        <v>#DIV/0!</v>
      </c>
      <c r="CU247">
        <v>19</v>
      </c>
      <c r="CV247">
        <v>67</v>
      </c>
      <c r="CW247">
        <v>246</v>
      </c>
      <c r="CX247">
        <f t="shared" si="9"/>
        <v>2.0474137931034485E-3</v>
      </c>
      <c r="CY247">
        <f t="shared" si="10"/>
        <v>7.2198275862068971E-3</v>
      </c>
      <c r="CZ247">
        <f t="shared" si="11"/>
        <v>2.6508620689655173E-2</v>
      </c>
      <c r="DA247" t="str">
        <f>IF(CR247&lt;CX247,"yes","no")</f>
        <v>yes</v>
      </c>
      <c r="DB247" t="str">
        <f>IF(CS247&lt;CY247,"yes","no")</f>
        <v>yes</v>
      </c>
      <c r="DC247" t="e">
        <f>IF(CT247&lt;CZ247,"yes","no")</f>
        <v>#DIV/0!</v>
      </c>
    </row>
    <row r="248" spans="1:107" x14ac:dyDescent="0.2">
      <c r="A248" s="2" t="b">
        <v>0</v>
      </c>
      <c r="B248" s="2" t="s">
        <v>79</v>
      </c>
      <c r="C248" s="2" t="s">
        <v>80</v>
      </c>
      <c r="D248" s="2" t="s">
        <v>1298</v>
      </c>
      <c r="E248" s="2" t="s">
        <v>1299</v>
      </c>
      <c r="F248" s="2">
        <v>2</v>
      </c>
      <c r="G248" s="2">
        <v>2</v>
      </c>
      <c r="H248" s="2">
        <v>30.5</v>
      </c>
      <c r="I248" s="2">
        <v>5.21</v>
      </c>
      <c r="J248" s="2" t="s">
        <v>83</v>
      </c>
      <c r="K248" s="2" t="s">
        <v>1300</v>
      </c>
      <c r="L248" s="2" t="s">
        <v>119</v>
      </c>
      <c r="M248" s="2" t="s">
        <v>83</v>
      </c>
      <c r="N248" s="2" t="s">
        <v>83</v>
      </c>
      <c r="O248" s="2">
        <v>2.601</v>
      </c>
      <c r="P248" s="2">
        <v>1.5049999999999999</v>
      </c>
      <c r="Q248" s="2">
        <v>0.01</v>
      </c>
      <c r="R248" s="2">
        <v>100</v>
      </c>
      <c r="S248" s="2">
        <v>100</v>
      </c>
      <c r="T248" s="2">
        <v>100</v>
      </c>
      <c r="U248" s="2" t="s">
        <v>83</v>
      </c>
      <c r="V248" s="2">
        <v>0.56699999999999995</v>
      </c>
      <c r="W248" s="2">
        <v>0.01</v>
      </c>
      <c r="X248" s="2">
        <v>0.01</v>
      </c>
      <c r="Y248" s="2">
        <v>98.5</v>
      </c>
      <c r="Z248" s="2" t="s">
        <v>83</v>
      </c>
      <c r="AA248" s="2">
        <v>256.2</v>
      </c>
      <c r="AB248" s="2">
        <v>145.30000000000001</v>
      </c>
      <c r="AC248" s="2" t="s">
        <v>83</v>
      </c>
      <c r="AD248" s="2">
        <v>191882.375</v>
      </c>
      <c r="AE248" s="2">
        <v>140340.390625</v>
      </c>
      <c r="AF248" s="2">
        <v>215020.421875</v>
      </c>
      <c r="AG248" s="2">
        <v>169188.4375</v>
      </c>
      <c r="AH248" s="2">
        <v>174683.390625</v>
      </c>
      <c r="AI248" s="2" t="s">
        <v>83</v>
      </c>
      <c r="AJ248" s="2" t="s">
        <v>83</v>
      </c>
      <c r="AK248" s="2" t="s">
        <v>83</v>
      </c>
      <c r="AL248" s="2" t="s">
        <v>83</v>
      </c>
      <c r="AM248" s="2" t="s">
        <v>83</v>
      </c>
      <c r="AN248" s="2">
        <v>6931.3544921875</v>
      </c>
      <c r="AO248" s="2" t="s">
        <v>83</v>
      </c>
      <c r="AP248" s="2">
        <v>9096.3671875</v>
      </c>
      <c r="AQ248" s="2">
        <v>11600.0234375</v>
      </c>
      <c r="AR248" s="2">
        <v>11063.9501953125</v>
      </c>
      <c r="AS248" s="2" t="s">
        <v>83</v>
      </c>
      <c r="AT248" s="2">
        <v>50753.94921875</v>
      </c>
      <c r="AU248" s="2">
        <v>33884.1953125</v>
      </c>
      <c r="AV248" s="2">
        <v>34843.2578125</v>
      </c>
      <c r="AW248" s="2">
        <v>44162.32421875</v>
      </c>
      <c r="AX248" s="2" t="s">
        <v>83</v>
      </c>
      <c r="AY248" s="2" t="s">
        <v>83</v>
      </c>
      <c r="AZ248" s="2" t="s">
        <v>83</v>
      </c>
      <c r="BA248" s="2" t="s">
        <v>83</v>
      </c>
      <c r="BB248" s="2" t="s">
        <v>83</v>
      </c>
      <c r="BC248" s="2" t="s">
        <v>79</v>
      </c>
      <c r="BD248" s="2" t="s">
        <v>79</v>
      </c>
      <c r="BE248" s="2" t="s">
        <v>91</v>
      </c>
      <c r="BF248" s="2" t="s">
        <v>91</v>
      </c>
      <c r="BG248" s="2" t="s">
        <v>79</v>
      </c>
      <c r="BH248" s="2" t="s">
        <v>98</v>
      </c>
      <c r="BI248" s="2" t="s">
        <v>98</v>
      </c>
      <c r="BJ248" s="2" t="s">
        <v>98</v>
      </c>
      <c r="BK248" s="2" t="s">
        <v>98</v>
      </c>
      <c r="BL248" s="2" t="s">
        <v>98</v>
      </c>
      <c r="BM248" s="2" t="s">
        <v>91</v>
      </c>
      <c r="BN248" s="2" t="s">
        <v>98</v>
      </c>
      <c r="BO248" s="2" t="s">
        <v>91</v>
      </c>
      <c r="BP248" s="2" t="s">
        <v>91</v>
      </c>
      <c r="BQ248" s="2" t="s">
        <v>91</v>
      </c>
      <c r="BR248" s="2" t="s">
        <v>98</v>
      </c>
      <c r="BS248" s="2" t="s">
        <v>91</v>
      </c>
      <c r="BT248" s="2" t="s">
        <v>91</v>
      </c>
      <c r="BU248" s="2" t="s">
        <v>91</v>
      </c>
      <c r="BV248" s="2" t="s">
        <v>91</v>
      </c>
      <c r="BW248" s="2" t="s">
        <v>98</v>
      </c>
      <c r="BX248" s="2" t="s">
        <v>98</v>
      </c>
      <c r="BY248" s="2" t="s">
        <v>98</v>
      </c>
      <c r="BZ248" s="2" t="s">
        <v>98</v>
      </c>
      <c r="CA248" s="2" t="s">
        <v>98</v>
      </c>
      <c r="CB248" t="e">
        <f>TTEST(AS248:AW248,AI248:AM248,2,2)</f>
        <v>#DIV/0!</v>
      </c>
      <c r="CC248" t="e">
        <f>TTEST(AD248:AH248,AI248:AM248,2,2)</f>
        <v>#DIV/0!</v>
      </c>
      <c r="CD248" t="e">
        <f>TTEST(AN248:AR248,AI248:AM248,2,2)</f>
        <v>#DIV/0!</v>
      </c>
      <c r="CE248" t="e">
        <f>TTEST(AX248:BB248,AI248:AM248,2,2)</f>
        <v>#DIV/0!</v>
      </c>
      <c r="CF248">
        <v>246</v>
      </c>
      <c r="CG248">
        <v>260</v>
      </c>
      <c r="CH248">
        <v>264</v>
      </c>
      <c r="CI248">
        <v>214</v>
      </c>
      <c r="CJ248">
        <f>0.05*CF248/464</f>
        <v>2.6508620689655173E-2</v>
      </c>
      <c r="CK248">
        <f>0.05*CG248/464</f>
        <v>2.8017241379310345E-2</v>
      </c>
      <c r="CL248">
        <f>0.05*CH248/464</f>
        <v>2.8448275862068967E-2</v>
      </c>
      <c r="CM248">
        <f>0.05*CI248/464</f>
        <v>2.3060344827586208E-2</v>
      </c>
      <c r="CN248" t="e">
        <f>IF(CB248&lt;CJ248,"yes","no")</f>
        <v>#DIV/0!</v>
      </c>
      <c r="CO248" t="e">
        <f>IF(CC248&lt;CK248,"yes","no")</f>
        <v>#DIV/0!</v>
      </c>
      <c r="CP248" t="e">
        <f>IF(CD248&lt;CL248,"yes","no")</f>
        <v>#DIV/0!</v>
      </c>
      <c r="CQ248" t="e">
        <f>IF(CE248&lt;CM248,"yes","no")</f>
        <v>#DIV/0!</v>
      </c>
      <c r="CR248">
        <f>TTEST(AS248:AW248,AD248:AH248,2,2)</f>
        <v>3.0387667933537099E-5</v>
      </c>
      <c r="CS248">
        <f>TTEST(AS248:AW248,AN248:AR248,2,2)</f>
        <v>2.8664149134080417E-4</v>
      </c>
      <c r="CT248" t="e">
        <f>TTEST(AS248:AW248,AX248:BB248,2,2)</f>
        <v>#DIV/0!</v>
      </c>
      <c r="CU248">
        <v>111</v>
      </c>
      <c r="CV248">
        <v>71</v>
      </c>
      <c r="CW248">
        <v>247</v>
      </c>
      <c r="CX248">
        <f t="shared" si="9"/>
        <v>1.1961206896551725E-2</v>
      </c>
      <c r="CY248">
        <f t="shared" si="10"/>
        <v>7.6508620689655178E-3</v>
      </c>
      <c r="CZ248">
        <f t="shared" si="11"/>
        <v>2.6616379310344832E-2</v>
      </c>
      <c r="DA248" t="str">
        <f>IF(CR248&lt;CX248,"yes","no")</f>
        <v>yes</v>
      </c>
      <c r="DB248" t="str">
        <f>IF(CS248&lt;CY248,"yes","no")</f>
        <v>yes</v>
      </c>
      <c r="DC248" t="e">
        <f>IF(CT248&lt;CZ248,"yes","no")</f>
        <v>#DIV/0!</v>
      </c>
    </row>
    <row r="249" spans="1:107" x14ac:dyDescent="0.2">
      <c r="A249" s="2" t="b">
        <v>0</v>
      </c>
      <c r="B249" s="2" t="s">
        <v>79</v>
      </c>
      <c r="C249" s="2" t="s">
        <v>80</v>
      </c>
      <c r="D249" s="2" t="s">
        <v>1033</v>
      </c>
      <c r="E249" s="2" t="s">
        <v>1034</v>
      </c>
      <c r="F249" s="2">
        <v>3</v>
      </c>
      <c r="G249" s="2">
        <v>3</v>
      </c>
      <c r="H249" s="2">
        <v>27.7</v>
      </c>
      <c r="I249" s="2">
        <v>7.85</v>
      </c>
      <c r="J249" s="2" t="s">
        <v>1026</v>
      </c>
      <c r="K249" s="2" t="s">
        <v>179</v>
      </c>
      <c r="L249" s="2" t="s">
        <v>155</v>
      </c>
      <c r="M249" s="2" t="s">
        <v>1035</v>
      </c>
      <c r="N249" s="2" t="s">
        <v>1033</v>
      </c>
      <c r="O249" s="2">
        <v>21.702000000000002</v>
      </c>
      <c r="P249" s="2">
        <v>1.0860000000000001</v>
      </c>
      <c r="Q249" s="2">
        <v>0.01</v>
      </c>
      <c r="R249" s="2">
        <v>0.625</v>
      </c>
      <c r="S249" s="2">
        <v>15.002000000000001</v>
      </c>
      <c r="T249" s="2">
        <v>0.17799999999999999</v>
      </c>
      <c r="U249" s="2">
        <v>0.01</v>
      </c>
      <c r="V249" s="2">
        <v>1.4999999999999999E-2</v>
      </c>
      <c r="W249" s="2">
        <v>0.01</v>
      </c>
      <c r="X249" s="2">
        <v>0.01</v>
      </c>
      <c r="Y249" s="2">
        <v>6.3</v>
      </c>
      <c r="Z249" s="2">
        <v>25.9</v>
      </c>
      <c r="AA249" s="2">
        <v>461.2</v>
      </c>
      <c r="AB249" s="2">
        <v>6.7</v>
      </c>
      <c r="AC249" s="2" t="s">
        <v>83</v>
      </c>
      <c r="AD249" s="2">
        <v>474681.75</v>
      </c>
      <c r="AE249" s="2">
        <v>458179.71875</v>
      </c>
      <c r="AF249" s="2">
        <v>25254.73046875</v>
      </c>
      <c r="AG249" s="2">
        <v>192341.1953125</v>
      </c>
      <c r="AH249" s="2">
        <v>192534.4140625</v>
      </c>
      <c r="AI249" s="2">
        <v>20785.485839843801</v>
      </c>
      <c r="AJ249" s="2" t="s">
        <v>83</v>
      </c>
      <c r="AK249" s="2" t="s">
        <v>83</v>
      </c>
      <c r="AL249" s="2">
        <v>21723.1875</v>
      </c>
      <c r="AM249" s="2" t="s">
        <v>83</v>
      </c>
      <c r="AN249" s="2">
        <v>235696.6953125</v>
      </c>
      <c r="AO249" s="2">
        <v>249624.8828125</v>
      </c>
      <c r="AP249" s="2">
        <v>263416</v>
      </c>
      <c r="AQ249" s="2">
        <v>258994.125</v>
      </c>
      <c r="AR249" s="2">
        <v>412212.28125</v>
      </c>
      <c r="AS249" s="2">
        <v>31834.35546875</v>
      </c>
      <c r="AT249" s="2">
        <v>14326.72265625</v>
      </c>
      <c r="AU249" s="2">
        <v>26958.142578125</v>
      </c>
      <c r="AV249" s="2">
        <v>60046.001953125</v>
      </c>
      <c r="AW249" s="2" t="s">
        <v>83</v>
      </c>
      <c r="AX249" s="2" t="s">
        <v>83</v>
      </c>
      <c r="AY249" s="2" t="s">
        <v>83</v>
      </c>
      <c r="AZ249" s="2" t="s">
        <v>83</v>
      </c>
      <c r="BA249" s="2" t="s">
        <v>83</v>
      </c>
      <c r="BB249" s="2" t="s">
        <v>83</v>
      </c>
      <c r="BC249" s="2" t="s">
        <v>79</v>
      </c>
      <c r="BD249" s="2" t="s">
        <v>79</v>
      </c>
      <c r="BE249" s="2" t="s">
        <v>79</v>
      </c>
      <c r="BF249" s="2" t="s">
        <v>79</v>
      </c>
      <c r="BG249" s="2" t="s">
        <v>79</v>
      </c>
      <c r="BH249" s="2" t="s">
        <v>91</v>
      </c>
      <c r="BI249" s="2" t="s">
        <v>98</v>
      </c>
      <c r="BJ249" s="2" t="s">
        <v>98</v>
      </c>
      <c r="BK249" s="2" t="s">
        <v>91</v>
      </c>
      <c r="BL249" s="2" t="s">
        <v>98</v>
      </c>
      <c r="BM249" s="2" t="s">
        <v>79</v>
      </c>
      <c r="BN249" s="2" t="s">
        <v>79</v>
      </c>
      <c r="BO249" s="2" t="s">
        <v>91</v>
      </c>
      <c r="BP249" s="2" t="s">
        <v>79</v>
      </c>
      <c r="BQ249" s="2" t="s">
        <v>79</v>
      </c>
      <c r="BR249" s="2" t="s">
        <v>91</v>
      </c>
      <c r="BS249" s="2" t="s">
        <v>91</v>
      </c>
      <c r="BT249" s="2" t="s">
        <v>91</v>
      </c>
      <c r="BU249" s="2" t="s">
        <v>91</v>
      </c>
      <c r="BV249" s="2" t="s">
        <v>98</v>
      </c>
      <c r="BW249" s="2" t="s">
        <v>98</v>
      </c>
      <c r="BX249" s="2" t="s">
        <v>98</v>
      </c>
      <c r="BY249" s="2" t="s">
        <v>98</v>
      </c>
      <c r="BZ249" s="2" t="s">
        <v>98</v>
      </c>
      <c r="CA249" s="2" t="s">
        <v>98</v>
      </c>
      <c r="CB249">
        <f>TTEST(AS249:AW249,AI249:AM249,2,2)</f>
        <v>0.45253759016278167</v>
      </c>
      <c r="CC249">
        <f>TTEST(AD249:AH249,AI249:AM249,2,2)</f>
        <v>0.14772073691029805</v>
      </c>
      <c r="CD249">
        <f>TTEST(AN249:AR249,AI249:AM249,2,2)</f>
        <v>4.693339198868024E-3</v>
      </c>
      <c r="CE249" t="e">
        <f>TTEST(AX249:BB249,AI249:AM249,2,2)</f>
        <v>#DIV/0!</v>
      </c>
      <c r="CF249">
        <v>195</v>
      </c>
      <c r="CG249">
        <v>204</v>
      </c>
      <c r="CH249">
        <v>88</v>
      </c>
      <c r="CI249">
        <v>215</v>
      </c>
      <c r="CJ249">
        <f>0.05*CF249/464</f>
        <v>2.1012931034482759E-2</v>
      </c>
      <c r="CK249">
        <f>0.05*CG249/464</f>
        <v>2.1982758620689657E-2</v>
      </c>
      <c r="CL249">
        <f>0.05*CH249/464</f>
        <v>9.4827586206896568E-3</v>
      </c>
      <c r="CM249">
        <f>0.05*CI249/464</f>
        <v>2.3168103448275863E-2</v>
      </c>
      <c r="CN249" t="str">
        <f>IF(CB249&lt;CJ249,"yes","no")</f>
        <v>no</v>
      </c>
      <c r="CO249" t="str">
        <f>IF(CC249&lt;CK249,"yes","no")</f>
        <v>no</v>
      </c>
      <c r="CP249" t="str">
        <f>IF(CD249&lt;CL249,"yes","no")</f>
        <v>yes</v>
      </c>
      <c r="CQ249" t="e">
        <f>IF(CE249&lt;CM249,"yes","no")</f>
        <v>#DIV/0!</v>
      </c>
      <c r="CR249">
        <f>TTEST(AS249:AW249,AD249:AH249,2,2)</f>
        <v>4.7922406353085784E-2</v>
      </c>
      <c r="CS249">
        <f>TTEST(AS249:AW249,AN249:AR249,2,2)</f>
        <v>2.9102114663125491E-4</v>
      </c>
      <c r="CT249" t="e">
        <f>TTEST(AS249:AW249,AX249:BB249,2,2)</f>
        <v>#DIV/0!</v>
      </c>
      <c r="CU249">
        <v>228</v>
      </c>
      <c r="CV249">
        <v>72</v>
      </c>
      <c r="CW249">
        <v>248</v>
      </c>
      <c r="CX249">
        <f t="shared" si="9"/>
        <v>2.456896551724138E-2</v>
      </c>
      <c r="CY249">
        <f t="shared" si="10"/>
        <v>7.7586206896551723E-3</v>
      </c>
      <c r="CZ249">
        <f t="shared" si="11"/>
        <v>2.6724137931034484E-2</v>
      </c>
      <c r="DA249" t="str">
        <f>IF(CR249&lt;CX249,"yes","no")</f>
        <v>no</v>
      </c>
      <c r="DB249" t="str">
        <f>IF(CS249&lt;CY249,"yes","no")</f>
        <v>yes</v>
      </c>
      <c r="DC249" t="e">
        <f>IF(CT249&lt;CZ249,"yes","no")</f>
        <v>#DIV/0!</v>
      </c>
    </row>
    <row r="250" spans="1:107" x14ac:dyDescent="0.2">
      <c r="A250" s="2" t="b">
        <v>0</v>
      </c>
      <c r="B250" s="2" t="s">
        <v>79</v>
      </c>
      <c r="C250" s="2" t="s">
        <v>80</v>
      </c>
      <c r="D250" s="2" t="s">
        <v>1202</v>
      </c>
      <c r="E250" s="2" t="s">
        <v>1203</v>
      </c>
      <c r="F250" s="2">
        <v>1</v>
      </c>
      <c r="G250" s="2">
        <v>1</v>
      </c>
      <c r="H250" s="2">
        <v>22.2</v>
      </c>
      <c r="I250" s="2">
        <v>10.01</v>
      </c>
      <c r="J250" s="2" t="s">
        <v>1204</v>
      </c>
      <c r="K250" s="2" t="s">
        <v>136</v>
      </c>
      <c r="L250" s="2" t="s">
        <v>119</v>
      </c>
      <c r="M250" s="2" t="s">
        <v>1205</v>
      </c>
      <c r="N250" s="2" t="s">
        <v>1206</v>
      </c>
      <c r="O250" s="2">
        <v>21.794</v>
      </c>
      <c r="P250" s="2">
        <v>1.712</v>
      </c>
      <c r="Q250" s="2">
        <v>0.41899999999999998</v>
      </c>
      <c r="R250" s="2">
        <v>0.95599999999999996</v>
      </c>
      <c r="S250" s="2">
        <v>21.103999999999999</v>
      </c>
      <c r="T250" s="2">
        <v>1.798</v>
      </c>
      <c r="U250" s="2">
        <v>0.40100000000000002</v>
      </c>
      <c r="V250" s="2">
        <v>7.6999999999999999E-2</v>
      </c>
      <c r="W250" s="2">
        <v>2.1000000000000001E-2</v>
      </c>
      <c r="X250" s="2">
        <v>0.22</v>
      </c>
      <c r="Y250" s="2">
        <v>20.2</v>
      </c>
      <c r="Z250" s="2">
        <v>21.2</v>
      </c>
      <c r="AA250" s="2">
        <v>411.7</v>
      </c>
      <c r="AB250" s="2">
        <v>38.5</v>
      </c>
      <c r="AC250" s="2">
        <v>8.5</v>
      </c>
      <c r="AD250" s="2">
        <v>448933.875</v>
      </c>
      <c r="AE250" s="2">
        <v>336602.9375</v>
      </c>
      <c r="AF250" s="2">
        <v>288089.5625</v>
      </c>
      <c r="AG250" s="2">
        <v>333035.65625</v>
      </c>
      <c r="AH250" s="2">
        <v>271415.8125</v>
      </c>
      <c r="AI250" s="2">
        <v>12681.58203125</v>
      </c>
      <c r="AJ250" s="2">
        <v>6526.755859375</v>
      </c>
      <c r="AK250" s="2">
        <v>4139.5732421875</v>
      </c>
      <c r="AL250" s="2">
        <v>10886.2370605469</v>
      </c>
      <c r="AM250" s="2">
        <v>5755.03369140625</v>
      </c>
      <c r="AN250" s="2">
        <v>140885.853515625</v>
      </c>
      <c r="AO250" s="2">
        <v>119262.2890625</v>
      </c>
      <c r="AP250" s="2">
        <v>159415.1875</v>
      </c>
      <c r="AQ250" s="2">
        <v>135163.583984375</v>
      </c>
      <c r="AR250" s="2">
        <v>165725.396484375</v>
      </c>
      <c r="AS250" s="2">
        <v>91394.5703125</v>
      </c>
      <c r="AT250" s="2">
        <v>97749</v>
      </c>
      <c r="AU250" s="2">
        <v>89868.53125</v>
      </c>
      <c r="AV250" s="2">
        <v>91072.5810546875</v>
      </c>
      <c r="AW250" s="2">
        <v>76992.6484375</v>
      </c>
      <c r="AX250" s="2" t="s">
        <v>83</v>
      </c>
      <c r="AY250" s="2" t="s">
        <v>83</v>
      </c>
      <c r="AZ250" s="2">
        <v>7939.90625</v>
      </c>
      <c r="BA250" s="2" t="s">
        <v>83</v>
      </c>
      <c r="BB250" s="2" t="s">
        <v>83</v>
      </c>
      <c r="BC250" s="2" t="s">
        <v>79</v>
      </c>
      <c r="BD250" s="2" t="s">
        <v>79</v>
      </c>
      <c r="BE250" s="2" t="s">
        <v>79</v>
      </c>
      <c r="BF250" s="2" t="s">
        <v>79</v>
      </c>
      <c r="BG250" s="2" t="s">
        <v>79</v>
      </c>
      <c r="BH250" s="2" t="s">
        <v>91</v>
      </c>
      <c r="BI250" s="2" t="s">
        <v>91</v>
      </c>
      <c r="BJ250" s="2" t="s">
        <v>91</v>
      </c>
      <c r="BK250" s="2" t="s">
        <v>91</v>
      </c>
      <c r="BL250" s="2" t="s">
        <v>91</v>
      </c>
      <c r="BM250" s="2" t="s">
        <v>79</v>
      </c>
      <c r="BN250" s="2" t="s">
        <v>79</v>
      </c>
      <c r="BO250" s="2" t="s">
        <v>79</v>
      </c>
      <c r="BP250" s="2" t="s">
        <v>79</v>
      </c>
      <c r="BQ250" s="2" t="s">
        <v>79</v>
      </c>
      <c r="BR250" s="2" t="s">
        <v>79</v>
      </c>
      <c r="BS250" s="2" t="s">
        <v>79</v>
      </c>
      <c r="BT250" s="2" t="s">
        <v>79</v>
      </c>
      <c r="BU250" s="2" t="s">
        <v>91</v>
      </c>
      <c r="BV250" s="2" t="s">
        <v>79</v>
      </c>
      <c r="BW250" s="2" t="s">
        <v>98</v>
      </c>
      <c r="BX250" s="2" t="s">
        <v>98</v>
      </c>
      <c r="BY250" s="2" t="s">
        <v>91</v>
      </c>
      <c r="BZ250" s="2" t="s">
        <v>98</v>
      </c>
      <c r="CA250" s="2" t="s">
        <v>98</v>
      </c>
      <c r="CB250">
        <f>TTEST(AS250:AW250,AI250:AM250,2,2)</f>
        <v>2.187950514897533E-8</v>
      </c>
      <c r="CC250">
        <f>TTEST(AD250:AH250,AI250:AM250,2,2)</f>
        <v>5.6774735592579865E-6</v>
      </c>
      <c r="CD250">
        <f>TTEST(AN250:AR250,AI250:AM250,2,2)</f>
        <v>2.42784232541949E-7</v>
      </c>
      <c r="CE250" t="e">
        <f>TTEST(AX250:BB250,AI250:AM250,2,2)</f>
        <v>#DIV/0!</v>
      </c>
      <c r="CF250">
        <v>1</v>
      </c>
      <c r="CG250">
        <v>77</v>
      </c>
      <c r="CH250">
        <v>2</v>
      </c>
      <c r="CI250">
        <v>216</v>
      </c>
      <c r="CJ250">
        <f>0.05*CF250/464</f>
        <v>1.0775862068965518E-4</v>
      </c>
      <c r="CK250">
        <f>0.05*CG250/464</f>
        <v>8.2974137931034492E-3</v>
      </c>
      <c r="CL250">
        <f>0.05*CH250/464</f>
        <v>2.1551724137931037E-4</v>
      </c>
      <c r="CM250">
        <f>0.05*CI250/464</f>
        <v>2.3275862068965519E-2</v>
      </c>
      <c r="CN250" t="str">
        <f>IF(CB250&lt;CJ250,"yes","no")</f>
        <v>yes</v>
      </c>
      <c r="CO250" t="str">
        <f>IF(CC250&lt;CK250,"yes","no")</f>
        <v>yes</v>
      </c>
      <c r="CP250" t="str">
        <f>IF(CD250&lt;CL250,"yes","no")</f>
        <v>yes</v>
      </c>
      <c r="CQ250" t="e">
        <f>IF(CE250&lt;CM250,"yes","no")</f>
        <v>#DIV/0!</v>
      </c>
      <c r="CR250">
        <f>TTEST(AS250:AW250,AD250:AH250,2,2)</f>
        <v>4.811160640781486E-5</v>
      </c>
      <c r="CS250">
        <f>TTEST(AS250:AW250,AN250:AR250,2,2)</f>
        <v>3.1003903138788634E-4</v>
      </c>
      <c r="CT250" t="e">
        <f>TTEST(AS250:AW250,AX250:BB250,2,2)</f>
        <v>#DIV/0!</v>
      </c>
      <c r="CU250">
        <v>117</v>
      </c>
      <c r="CV250">
        <v>74</v>
      </c>
      <c r="CW250">
        <v>249</v>
      </c>
      <c r="CX250">
        <f t="shared" si="9"/>
        <v>1.2607758620689656E-2</v>
      </c>
      <c r="CY250">
        <f t="shared" si="10"/>
        <v>7.9741379310344831E-3</v>
      </c>
      <c r="CZ250">
        <f t="shared" si="11"/>
        <v>2.683189655172414E-2</v>
      </c>
      <c r="DA250" t="str">
        <f>IF(CR250&lt;CX250,"yes","no")</f>
        <v>yes</v>
      </c>
      <c r="DB250" t="str">
        <f>IF(CS250&lt;CY250,"yes","no")</f>
        <v>yes</v>
      </c>
      <c r="DC250" t="e">
        <f>IF(CT250&lt;CZ250,"yes","no")</f>
        <v>#DIV/0!</v>
      </c>
    </row>
    <row r="251" spans="1:107" x14ac:dyDescent="0.2">
      <c r="A251" s="2" t="b">
        <v>0</v>
      </c>
      <c r="B251" s="2" t="s">
        <v>79</v>
      </c>
      <c r="C251" s="2" t="s">
        <v>80</v>
      </c>
      <c r="D251" s="2" t="s">
        <v>1331</v>
      </c>
      <c r="E251" s="2" t="s">
        <v>1332</v>
      </c>
      <c r="F251" s="2">
        <v>2</v>
      </c>
      <c r="G251" s="2">
        <v>2</v>
      </c>
      <c r="H251" s="2">
        <v>75.599999999999994</v>
      </c>
      <c r="I251" s="2">
        <v>7.08</v>
      </c>
      <c r="J251" s="2" t="s">
        <v>1325</v>
      </c>
      <c r="K251" s="2" t="s">
        <v>271</v>
      </c>
      <c r="L251" s="2" t="s">
        <v>218</v>
      </c>
      <c r="M251" s="2" t="s">
        <v>1333</v>
      </c>
      <c r="N251" s="2" t="s">
        <v>1334</v>
      </c>
      <c r="O251" s="2">
        <v>100</v>
      </c>
      <c r="P251" s="2">
        <v>100</v>
      </c>
      <c r="Q251" s="2" t="s">
        <v>83</v>
      </c>
      <c r="R251" s="2" t="s">
        <v>83</v>
      </c>
      <c r="S251" s="2">
        <v>100</v>
      </c>
      <c r="T251" s="2">
        <v>100</v>
      </c>
      <c r="U251" s="2" t="s">
        <v>83</v>
      </c>
      <c r="V251" s="2">
        <v>6.4000000000000001E-2</v>
      </c>
      <c r="W251" s="2">
        <v>0.01</v>
      </c>
      <c r="X251" s="2">
        <v>0.01</v>
      </c>
      <c r="Y251" s="2" t="s">
        <v>83</v>
      </c>
      <c r="Z251" s="2" t="s">
        <v>83</v>
      </c>
      <c r="AA251" s="2">
        <v>487.1</v>
      </c>
      <c r="AB251" s="2">
        <v>12.9</v>
      </c>
      <c r="AC251" s="2" t="s">
        <v>83</v>
      </c>
      <c r="AD251" s="2" t="s">
        <v>83</v>
      </c>
      <c r="AE251" s="2" t="s">
        <v>83</v>
      </c>
      <c r="AF251" s="2" t="s">
        <v>83</v>
      </c>
      <c r="AG251" s="2" t="s">
        <v>83</v>
      </c>
      <c r="AH251" s="2" t="s">
        <v>83</v>
      </c>
      <c r="AI251" s="2" t="s">
        <v>83</v>
      </c>
      <c r="AJ251" s="2" t="s">
        <v>83</v>
      </c>
      <c r="AK251" s="2" t="s">
        <v>83</v>
      </c>
      <c r="AL251" s="2" t="s">
        <v>83</v>
      </c>
      <c r="AM251" s="2" t="s">
        <v>83</v>
      </c>
      <c r="AN251" s="2">
        <v>44723.63671875</v>
      </c>
      <c r="AO251" s="2">
        <v>53597.62890625</v>
      </c>
      <c r="AP251" s="2">
        <v>55219.595703125</v>
      </c>
      <c r="AQ251" s="2">
        <v>62086.951171875</v>
      </c>
      <c r="AR251" s="2">
        <v>72681.634765625</v>
      </c>
      <c r="AS251" s="2" t="s">
        <v>83</v>
      </c>
      <c r="AT251" s="2">
        <v>19269.681640625</v>
      </c>
      <c r="AU251" s="2">
        <v>6648.42041015625</v>
      </c>
      <c r="AV251" s="2" t="s">
        <v>83</v>
      </c>
      <c r="AW251" s="2">
        <v>12117.775390625</v>
      </c>
      <c r="AX251" s="2" t="s">
        <v>83</v>
      </c>
      <c r="AY251" s="2" t="s">
        <v>83</v>
      </c>
      <c r="AZ251" s="2" t="s">
        <v>83</v>
      </c>
      <c r="BA251" s="2" t="s">
        <v>83</v>
      </c>
      <c r="BB251" s="2" t="s">
        <v>83</v>
      </c>
      <c r="BC251" s="2" t="s">
        <v>98</v>
      </c>
      <c r="BD251" s="2" t="s">
        <v>98</v>
      </c>
      <c r="BE251" s="2" t="s">
        <v>98</v>
      </c>
      <c r="BF251" s="2" t="s">
        <v>79</v>
      </c>
      <c r="BG251" s="2" t="s">
        <v>98</v>
      </c>
      <c r="BH251" s="2" t="s">
        <v>98</v>
      </c>
      <c r="BI251" s="2" t="s">
        <v>98</v>
      </c>
      <c r="BJ251" s="2" t="s">
        <v>98</v>
      </c>
      <c r="BK251" s="2" t="s">
        <v>98</v>
      </c>
      <c r="BL251" s="2" t="s">
        <v>98</v>
      </c>
      <c r="BM251" s="2" t="s">
        <v>79</v>
      </c>
      <c r="BN251" s="2" t="s">
        <v>79</v>
      </c>
      <c r="BO251" s="2" t="s">
        <v>79</v>
      </c>
      <c r="BP251" s="2" t="s">
        <v>79</v>
      </c>
      <c r="BQ251" s="2" t="s">
        <v>79</v>
      </c>
      <c r="BR251" s="2" t="s">
        <v>98</v>
      </c>
      <c r="BS251" s="2" t="s">
        <v>91</v>
      </c>
      <c r="BT251" s="2" t="s">
        <v>91</v>
      </c>
      <c r="BU251" s="2" t="s">
        <v>98</v>
      </c>
      <c r="BV251" s="2" t="s">
        <v>91</v>
      </c>
      <c r="BW251" s="2" t="s">
        <v>98</v>
      </c>
      <c r="BX251" s="2" t="s">
        <v>98</v>
      </c>
      <c r="BY251" s="2" t="s">
        <v>98</v>
      </c>
      <c r="BZ251" s="2" t="s">
        <v>98</v>
      </c>
      <c r="CA251" s="2" t="s">
        <v>98</v>
      </c>
      <c r="CB251" t="e">
        <f>TTEST(AS251:AW251,AI251:AM251,2,2)</f>
        <v>#DIV/0!</v>
      </c>
      <c r="CC251" t="e">
        <f>TTEST(AD251:AH251,AI251:AM251,2,2)</f>
        <v>#DIV/0!</v>
      </c>
      <c r="CD251" t="e">
        <f>TTEST(AN251:AR251,AI251:AM251,2,2)</f>
        <v>#DIV/0!</v>
      </c>
      <c r="CE251" t="e">
        <f>TTEST(AX251:BB251,AI251:AM251,2,2)</f>
        <v>#DIV/0!</v>
      </c>
      <c r="CF251">
        <v>415</v>
      </c>
      <c r="CG251">
        <v>429</v>
      </c>
      <c r="CH251">
        <v>433</v>
      </c>
      <c r="CI251">
        <v>217</v>
      </c>
      <c r="CJ251">
        <f>0.05*CF251/464</f>
        <v>4.4719827586206899E-2</v>
      </c>
      <c r="CK251">
        <f>0.05*CG251/464</f>
        <v>4.6228448275862075E-2</v>
      </c>
      <c r="CL251">
        <f>0.05*CH251/464</f>
        <v>4.6659482758620696E-2</v>
      </c>
      <c r="CM251">
        <f>0.05*CI251/464</f>
        <v>2.3383620689655174E-2</v>
      </c>
      <c r="CN251" t="e">
        <f>IF(CB251&lt;CJ251,"yes","no")</f>
        <v>#DIV/0!</v>
      </c>
      <c r="CO251" t="e">
        <f>IF(CC251&lt;CK251,"yes","no")</f>
        <v>#DIV/0!</v>
      </c>
      <c r="CP251" t="e">
        <f>IF(CD251&lt;CL251,"yes","no")</f>
        <v>#DIV/0!</v>
      </c>
      <c r="CQ251" t="e">
        <f>IF(CE251&lt;CM251,"yes","no")</f>
        <v>#DIV/0!</v>
      </c>
      <c r="CR251" t="e">
        <f>TTEST(AS251:AW251,AD251:AH251,2,2)</f>
        <v>#DIV/0!</v>
      </c>
      <c r="CS251">
        <f>TTEST(AS251:AW251,AN251:AR251,2,2)</f>
        <v>5.5978297073332683E-4</v>
      </c>
      <c r="CT251" t="e">
        <f>TTEST(AS251:AW251,AX251:BB251,2,2)</f>
        <v>#DIV/0!</v>
      </c>
      <c r="CU251">
        <v>433</v>
      </c>
      <c r="CV251">
        <v>83</v>
      </c>
      <c r="CW251">
        <v>250</v>
      </c>
      <c r="CX251">
        <f t="shared" si="9"/>
        <v>4.6659482758620696E-2</v>
      </c>
      <c r="CY251">
        <f t="shared" si="10"/>
        <v>8.9439655172413798E-3</v>
      </c>
      <c r="CZ251">
        <f t="shared" si="11"/>
        <v>2.6939655172413791E-2</v>
      </c>
      <c r="DA251" t="e">
        <f>IF(CR251&lt;CX251,"yes","no")</f>
        <v>#DIV/0!</v>
      </c>
      <c r="DB251" t="str">
        <f>IF(CS251&lt;CY251,"yes","no")</f>
        <v>yes</v>
      </c>
      <c r="DC251" t="e">
        <f>IF(CT251&lt;CZ251,"yes","no")</f>
        <v>#DIV/0!</v>
      </c>
    </row>
    <row r="252" spans="1:107" x14ac:dyDescent="0.2">
      <c r="A252" s="2" t="b">
        <v>0</v>
      </c>
      <c r="B252" s="2" t="s">
        <v>79</v>
      </c>
      <c r="C252" s="2" t="s">
        <v>80</v>
      </c>
      <c r="D252" s="2" t="s">
        <v>579</v>
      </c>
      <c r="E252" s="2" t="s">
        <v>580</v>
      </c>
      <c r="F252" s="2">
        <v>6</v>
      </c>
      <c r="G252" s="2">
        <v>6</v>
      </c>
      <c r="H252" s="2">
        <v>81.7</v>
      </c>
      <c r="I252" s="2">
        <v>6.24</v>
      </c>
      <c r="J252" s="2" t="s">
        <v>553</v>
      </c>
      <c r="K252" s="2" t="s">
        <v>84</v>
      </c>
      <c r="L252" s="2" t="s">
        <v>119</v>
      </c>
      <c r="M252" s="2" t="s">
        <v>581</v>
      </c>
      <c r="N252" s="2" t="s">
        <v>579</v>
      </c>
      <c r="O252" s="2">
        <v>7.6589999999999998</v>
      </c>
      <c r="P252" s="2">
        <v>0.45</v>
      </c>
      <c r="Q252" s="2">
        <v>0.01</v>
      </c>
      <c r="R252" s="2">
        <v>100</v>
      </c>
      <c r="S252" s="2">
        <v>100</v>
      </c>
      <c r="T252" s="2">
        <v>100</v>
      </c>
      <c r="U252" s="2" t="s">
        <v>83</v>
      </c>
      <c r="V252" s="2">
        <v>6.3E-2</v>
      </c>
      <c r="W252" s="2">
        <v>0.01</v>
      </c>
      <c r="X252" s="2">
        <v>0.01</v>
      </c>
      <c r="Y252" s="2">
        <v>51.7</v>
      </c>
      <c r="Z252" s="2" t="s">
        <v>83</v>
      </c>
      <c r="AA252" s="2">
        <v>433.7</v>
      </c>
      <c r="AB252" s="2">
        <v>14.6</v>
      </c>
      <c r="AC252" s="2" t="s">
        <v>83</v>
      </c>
      <c r="AD252" s="2">
        <v>1409622.8125</v>
      </c>
      <c r="AE252" s="2">
        <v>945948.5546875</v>
      </c>
      <c r="AF252" s="2">
        <v>1181031.2324218799</v>
      </c>
      <c r="AG252" s="2">
        <v>1138487.44140625</v>
      </c>
      <c r="AH252" s="2">
        <v>1347260.3984375</v>
      </c>
      <c r="AI252" s="2" t="s">
        <v>83</v>
      </c>
      <c r="AJ252" s="2" t="s">
        <v>83</v>
      </c>
      <c r="AK252" s="2" t="s">
        <v>83</v>
      </c>
      <c r="AL252" s="2" t="s">
        <v>83</v>
      </c>
      <c r="AM252" s="2" t="s">
        <v>83</v>
      </c>
      <c r="AN252" s="2">
        <v>171359.34863281299</v>
      </c>
      <c r="AO252" s="2">
        <v>246025.53027343799</v>
      </c>
      <c r="AP252" s="2">
        <v>244044.26269531299</v>
      </c>
      <c r="AQ252" s="2">
        <v>200550.40625</v>
      </c>
      <c r="AR252" s="2">
        <v>258143.478515625</v>
      </c>
      <c r="AS252" s="2">
        <v>14220.2958984375</v>
      </c>
      <c r="AT252" s="2">
        <v>156385.80859375</v>
      </c>
      <c r="AU252" s="2">
        <v>46616.96875</v>
      </c>
      <c r="AV252" s="2">
        <v>31064.7783203125</v>
      </c>
      <c r="AW252" s="2">
        <v>66988.5009765625</v>
      </c>
      <c r="AX252" s="2" t="s">
        <v>83</v>
      </c>
      <c r="AY252" s="2" t="s">
        <v>83</v>
      </c>
      <c r="AZ252" s="2" t="s">
        <v>83</v>
      </c>
      <c r="BA252" s="2" t="s">
        <v>83</v>
      </c>
      <c r="BB252" s="2" t="s">
        <v>83</v>
      </c>
      <c r="BC252" s="2" t="s">
        <v>79</v>
      </c>
      <c r="BD252" s="2" t="s">
        <v>79</v>
      </c>
      <c r="BE252" s="2" t="s">
        <v>79</v>
      </c>
      <c r="BF252" s="2" t="s">
        <v>79</v>
      </c>
      <c r="BG252" s="2" t="s">
        <v>79</v>
      </c>
      <c r="BH252" s="2" t="s">
        <v>98</v>
      </c>
      <c r="BI252" s="2" t="s">
        <v>98</v>
      </c>
      <c r="BJ252" s="2" t="s">
        <v>98</v>
      </c>
      <c r="BK252" s="2" t="s">
        <v>98</v>
      </c>
      <c r="BL252" s="2" t="s">
        <v>98</v>
      </c>
      <c r="BM252" s="2" t="s">
        <v>79</v>
      </c>
      <c r="BN252" s="2" t="s">
        <v>79</v>
      </c>
      <c r="BO252" s="2" t="s">
        <v>79</v>
      </c>
      <c r="BP252" s="2" t="s">
        <v>79</v>
      </c>
      <c r="BQ252" s="2" t="s">
        <v>79</v>
      </c>
      <c r="BR252" s="2" t="s">
        <v>91</v>
      </c>
      <c r="BS252" s="2" t="s">
        <v>91</v>
      </c>
      <c r="BT252" s="2" t="s">
        <v>91</v>
      </c>
      <c r="BU252" s="2" t="s">
        <v>91</v>
      </c>
      <c r="BV252" s="2" t="s">
        <v>91</v>
      </c>
      <c r="BW252" s="2" t="s">
        <v>98</v>
      </c>
      <c r="BX252" s="2" t="s">
        <v>98</v>
      </c>
      <c r="BY252" s="2" t="s">
        <v>98</v>
      </c>
      <c r="BZ252" s="2" t="s">
        <v>98</v>
      </c>
      <c r="CA252" s="2" t="s">
        <v>98</v>
      </c>
      <c r="CB252" t="e">
        <f>TTEST(AS252:AW252,AI252:AM252,2,2)</f>
        <v>#DIV/0!</v>
      </c>
      <c r="CC252" t="e">
        <f>TTEST(AD252:AH252,AI252:AM252,2,2)</f>
        <v>#DIV/0!</v>
      </c>
      <c r="CD252" t="e">
        <f>TTEST(AN252:AR252,AI252:AM252,2,2)</f>
        <v>#DIV/0!</v>
      </c>
      <c r="CE252" t="e">
        <f>TTEST(AX252:BB252,AI252:AM252,2,2)</f>
        <v>#DIV/0!</v>
      </c>
      <c r="CF252">
        <v>238</v>
      </c>
      <c r="CG252">
        <v>252</v>
      </c>
      <c r="CH252">
        <v>256</v>
      </c>
      <c r="CI252">
        <v>218</v>
      </c>
      <c r="CJ252">
        <f>0.05*CF252/464</f>
        <v>2.564655172413793E-2</v>
      </c>
      <c r="CK252">
        <f>0.05*CG252/464</f>
        <v>2.7155172413793106E-2</v>
      </c>
      <c r="CL252">
        <f>0.05*CH252/464</f>
        <v>2.7586206896551727E-2</v>
      </c>
      <c r="CM252">
        <f>0.05*CI252/464</f>
        <v>2.3491379310344829E-2</v>
      </c>
      <c r="CN252" t="e">
        <f>IF(CB252&lt;CJ252,"yes","no")</f>
        <v>#DIV/0!</v>
      </c>
      <c r="CO252" t="e">
        <f>IF(CC252&lt;CK252,"yes","no")</f>
        <v>#DIV/0!</v>
      </c>
      <c r="CP252" t="e">
        <f>IF(CD252&lt;CL252,"yes","no")</f>
        <v>#DIV/0!</v>
      </c>
      <c r="CQ252" t="e">
        <f>IF(CE252&lt;CM252,"yes","no")</f>
        <v>#DIV/0!</v>
      </c>
      <c r="CR252">
        <f>TTEST(AS252:AW252,AD252:AH252,2,2)</f>
        <v>9.5813985847967131E-7</v>
      </c>
      <c r="CS252">
        <f>TTEST(AS252:AW252,AN252:AR252,2,2)</f>
        <v>6.4676961967173748E-4</v>
      </c>
      <c r="CT252" t="e">
        <f>TTEST(AS252:AW252,AX252:BB252,2,2)</f>
        <v>#DIV/0!</v>
      </c>
      <c r="CU252">
        <v>52</v>
      </c>
      <c r="CV252">
        <v>86</v>
      </c>
      <c r="CW252">
        <v>251</v>
      </c>
      <c r="CX252">
        <f t="shared" si="9"/>
        <v>5.6034482758620689E-3</v>
      </c>
      <c r="CY252">
        <f t="shared" si="10"/>
        <v>9.2672413793103443E-3</v>
      </c>
      <c r="CZ252">
        <f t="shared" si="11"/>
        <v>2.704741379310345E-2</v>
      </c>
      <c r="DA252" t="str">
        <f>IF(CR252&lt;CX252,"yes","no")</f>
        <v>yes</v>
      </c>
      <c r="DB252" t="str">
        <f>IF(CS252&lt;CY252,"yes","no")</f>
        <v>yes</v>
      </c>
      <c r="DC252" t="e">
        <f>IF(CT252&lt;CZ252,"yes","no")</f>
        <v>#DIV/0!</v>
      </c>
    </row>
    <row r="253" spans="1:107" x14ac:dyDescent="0.2">
      <c r="A253" s="2" t="b">
        <v>0</v>
      </c>
      <c r="B253" s="2" t="s">
        <v>79</v>
      </c>
      <c r="C253" s="2" t="s">
        <v>80</v>
      </c>
      <c r="D253" s="2" t="s">
        <v>937</v>
      </c>
      <c r="E253" s="2" t="s">
        <v>938</v>
      </c>
      <c r="F253" s="2">
        <v>4</v>
      </c>
      <c r="G253" s="2">
        <v>2</v>
      </c>
      <c r="H253" s="2">
        <v>52.4</v>
      </c>
      <c r="I253" s="2">
        <v>5.1100000000000003</v>
      </c>
      <c r="J253" s="2" t="s">
        <v>89</v>
      </c>
      <c r="K253" s="2" t="s">
        <v>84</v>
      </c>
      <c r="L253" s="2" t="s">
        <v>218</v>
      </c>
      <c r="M253" s="2" t="s">
        <v>83</v>
      </c>
      <c r="N253" s="2" t="s">
        <v>83</v>
      </c>
      <c r="O253" s="2">
        <v>2.86</v>
      </c>
      <c r="P253" s="2">
        <v>0.78400000000000003</v>
      </c>
      <c r="Q253" s="2">
        <v>0.01</v>
      </c>
      <c r="R253" s="2">
        <v>0.33100000000000002</v>
      </c>
      <c r="S253" s="2">
        <v>1.623</v>
      </c>
      <c r="T253" s="2">
        <v>0.55600000000000005</v>
      </c>
      <c r="U253" s="2">
        <v>0.01</v>
      </c>
      <c r="V253" s="2">
        <v>0.27500000000000002</v>
      </c>
      <c r="W253" s="2">
        <v>0.01</v>
      </c>
      <c r="X253" s="2">
        <v>0.01</v>
      </c>
      <c r="Y253" s="2">
        <v>79.900000000000006</v>
      </c>
      <c r="Z253" s="2">
        <v>178.6</v>
      </c>
      <c r="AA253" s="2">
        <v>193.1</v>
      </c>
      <c r="AB253" s="2">
        <v>48.5</v>
      </c>
      <c r="AC253" s="2" t="s">
        <v>83</v>
      </c>
      <c r="AD253" s="2">
        <v>797882.6875</v>
      </c>
      <c r="AE253" s="2">
        <v>437952.1328125</v>
      </c>
      <c r="AF253" s="2">
        <v>476987.828125</v>
      </c>
      <c r="AG253" s="2">
        <v>668224.5546875</v>
      </c>
      <c r="AH253" s="2">
        <v>618285.3671875</v>
      </c>
      <c r="AI253" s="2">
        <v>42228.72265625</v>
      </c>
      <c r="AJ253" s="2" t="s">
        <v>83</v>
      </c>
      <c r="AK253" s="2">
        <v>22163.4072265625</v>
      </c>
      <c r="AL253" s="2">
        <v>19097.83203125</v>
      </c>
      <c r="AM253" s="2">
        <v>21803.837890625</v>
      </c>
      <c r="AN253" s="2">
        <v>30198.2734375</v>
      </c>
      <c r="AO253" s="2">
        <v>18568.685546875</v>
      </c>
      <c r="AP253" s="2">
        <v>32893.9609375</v>
      </c>
      <c r="AQ253" s="2">
        <v>30684.548828125</v>
      </c>
      <c r="AR253" s="2">
        <v>42569.751953125</v>
      </c>
      <c r="AS253" s="2">
        <v>58479.8984375</v>
      </c>
      <c r="AT253" s="2">
        <v>67575.9296875</v>
      </c>
      <c r="AU253" s="2">
        <v>59449.671875</v>
      </c>
      <c r="AV253" s="2">
        <v>50927.546875</v>
      </c>
      <c r="AW253" s="2">
        <v>51090.953125</v>
      </c>
      <c r="AX253" s="2" t="s">
        <v>83</v>
      </c>
      <c r="AY253" s="2" t="s">
        <v>83</v>
      </c>
      <c r="AZ253" s="2" t="s">
        <v>83</v>
      </c>
      <c r="BA253" s="2" t="s">
        <v>83</v>
      </c>
      <c r="BB253" s="2" t="s">
        <v>83</v>
      </c>
      <c r="BC253" s="2" t="s">
        <v>79</v>
      </c>
      <c r="BD253" s="2" t="s">
        <v>79</v>
      </c>
      <c r="BE253" s="2" t="s">
        <v>79</v>
      </c>
      <c r="BF253" s="2" t="s">
        <v>79</v>
      </c>
      <c r="BG253" s="2" t="s">
        <v>79</v>
      </c>
      <c r="BH253" s="2" t="s">
        <v>91</v>
      </c>
      <c r="BI253" s="2" t="s">
        <v>98</v>
      </c>
      <c r="BJ253" s="2" t="s">
        <v>91</v>
      </c>
      <c r="BK253" s="2" t="s">
        <v>91</v>
      </c>
      <c r="BL253" s="2" t="s">
        <v>91</v>
      </c>
      <c r="BM253" s="2" t="s">
        <v>91</v>
      </c>
      <c r="BN253" s="2" t="s">
        <v>91</v>
      </c>
      <c r="BO253" s="2" t="s">
        <v>91</v>
      </c>
      <c r="BP253" s="2" t="s">
        <v>91</v>
      </c>
      <c r="BQ253" s="2" t="s">
        <v>91</v>
      </c>
      <c r="BR253" s="2" t="s">
        <v>91</v>
      </c>
      <c r="BS253" s="2" t="s">
        <v>91</v>
      </c>
      <c r="BT253" s="2" t="s">
        <v>91</v>
      </c>
      <c r="BU253" s="2" t="s">
        <v>79</v>
      </c>
      <c r="BV253" s="2" t="s">
        <v>91</v>
      </c>
      <c r="BW253" s="2" t="s">
        <v>98</v>
      </c>
      <c r="BX253" s="2" t="s">
        <v>98</v>
      </c>
      <c r="BY253" s="2" t="s">
        <v>98</v>
      </c>
      <c r="BZ253" s="2" t="s">
        <v>98</v>
      </c>
      <c r="CA253" s="2" t="s">
        <v>98</v>
      </c>
      <c r="CB253">
        <f>TTEST(AS253:AW253,AI253:AM253,2,2)</f>
        <v>1.0939268891147459E-3</v>
      </c>
      <c r="CC253">
        <f>TTEST(AD253:AH253,AI253:AM253,2,2)</f>
        <v>1.1444503121067061E-4</v>
      </c>
      <c r="CD253">
        <f>TTEST(AN253:AR253,AI253:AM253,2,2)</f>
        <v>0.489710352290461</v>
      </c>
      <c r="CE253" t="e">
        <f>TTEST(AX253:BB253,AI253:AM253,2,2)</f>
        <v>#DIV/0!</v>
      </c>
      <c r="CF253">
        <v>103</v>
      </c>
      <c r="CG253">
        <v>114</v>
      </c>
      <c r="CH253">
        <v>185</v>
      </c>
      <c r="CI253">
        <v>219</v>
      </c>
      <c r="CJ253">
        <f>0.05*CF253/464</f>
        <v>1.1099137931034484E-2</v>
      </c>
      <c r="CK253">
        <f>0.05*CG253/464</f>
        <v>1.228448275862069E-2</v>
      </c>
      <c r="CL253">
        <f>0.05*CH253/464</f>
        <v>1.9935344827586209E-2</v>
      </c>
      <c r="CM253">
        <f>0.05*CI253/464</f>
        <v>2.3599137931034485E-2</v>
      </c>
      <c r="CN253" t="str">
        <f>IF(CB253&lt;CJ253,"yes","no")</f>
        <v>yes</v>
      </c>
      <c r="CO253" t="str">
        <f>IF(CC253&lt;CK253,"yes","no")</f>
        <v>yes</v>
      </c>
      <c r="CP253" t="str">
        <f>IF(CD253&lt;CL253,"yes","no")</f>
        <v>no</v>
      </c>
      <c r="CQ253" t="e">
        <f>IF(CE253&lt;CM253,"yes","no")</f>
        <v>#DIV/0!</v>
      </c>
      <c r="CR253">
        <f>TTEST(AS253:AW253,AD253:AH253,2,2)</f>
        <v>3.3941329538155091E-5</v>
      </c>
      <c r="CS253">
        <f>TTEST(AS253:AW253,AN253:AR253,2,2)</f>
        <v>6.4964386575352463E-4</v>
      </c>
      <c r="CT253" t="e">
        <f>TTEST(AS253:AW253,AX253:BB253,2,2)</f>
        <v>#DIV/0!</v>
      </c>
      <c r="CU253">
        <v>113</v>
      </c>
      <c r="CV253">
        <v>87</v>
      </c>
      <c r="CW253">
        <v>252</v>
      </c>
      <c r="CX253">
        <f t="shared" si="9"/>
        <v>1.2176724137931035E-2</v>
      </c>
      <c r="CY253">
        <f t="shared" si="10"/>
        <v>9.3750000000000014E-3</v>
      </c>
      <c r="CZ253">
        <f t="shared" si="11"/>
        <v>2.7155172413793106E-2</v>
      </c>
      <c r="DA253" t="str">
        <f>IF(CR253&lt;CX253,"yes","no")</f>
        <v>yes</v>
      </c>
      <c r="DB253" t="str">
        <f>IF(CS253&lt;CY253,"yes","no")</f>
        <v>yes</v>
      </c>
      <c r="DC253" t="e">
        <f>IF(CT253&lt;CZ253,"yes","no")</f>
        <v>#DIV/0!</v>
      </c>
    </row>
    <row r="254" spans="1:107" x14ac:dyDescent="0.2">
      <c r="A254" s="2" t="b">
        <v>0</v>
      </c>
      <c r="B254" s="2" t="s">
        <v>79</v>
      </c>
      <c r="C254" s="2" t="s">
        <v>80</v>
      </c>
      <c r="D254" s="2" t="s">
        <v>1243</v>
      </c>
      <c r="E254" s="2" t="s">
        <v>1244</v>
      </c>
      <c r="F254" s="2">
        <v>1</v>
      </c>
      <c r="G254" s="2">
        <v>1</v>
      </c>
      <c r="H254" s="2">
        <v>23.1</v>
      </c>
      <c r="I254" s="2">
        <v>6.3</v>
      </c>
      <c r="J254" s="2" t="s">
        <v>83</v>
      </c>
      <c r="K254" s="2" t="s">
        <v>83</v>
      </c>
      <c r="L254" s="2" t="s">
        <v>83</v>
      </c>
      <c r="M254" s="2" t="s">
        <v>1245</v>
      </c>
      <c r="N254" s="2" t="s">
        <v>1243</v>
      </c>
      <c r="O254" s="2">
        <v>1.161</v>
      </c>
      <c r="P254" s="2">
        <v>0.77400000000000002</v>
      </c>
      <c r="Q254" s="2">
        <v>0.01</v>
      </c>
      <c r="R254" s="2">
        <v>100</v>
      </c>
      <c r="S254" s="2">
        <v>100</v>
      </c>
      <c r="T254" s="2">
        <v>100</v>
      </c>
      <c r="U254" s="2" t="s">
        <v>83</v>
      </c>
      <c r="V254" s="2">
        <v>0.69299999999999995</v>
      </c>
      <c r="W254" s="2">
        <v>0.01</v>
      </c>
      <c r="X254" s="2">
        <v>0.01</v>
      </c>
      <c r="Y254" s="2">
        <v>173.1</v>
      </c>
      <c r="Z254" s="2" t="s">
        <v>83</v>
      </c>
      <c r="AA254" s="2">
        <v>197</v>
      </c>
      <c r="AB254" s="2">
        <v>129.9</v>
      </c>
      <c r="AC254" s="2" t="s">
        <v>83</v>
      </c>
      <c r="AD254" s="2">
        <v>449193.4375</v>
      </c>
      <c r="AE254" s="2">
        <v>406844.3125</v>
      </c>
      <c r="AF254" s="2">
        <v>340560.40625</v>
      </c>
      <c r="AG254" s="2">
        <v>382759.8125</v>
      </c>
      <c r="AH254" s="2">
        <v>360294.03125</v>
      </c>
      <c r="AI254" s="2" t="s">
        <v>83</v>
      </c>
      <c r="AJ254" s="2" t="s">
        <v>83</v>
      </c>
      <c r="AK254" s="2" t="s">
        <v>83</v>
      </c>
      <c r="AL254" s="2" t="s">
        <v>83</v>
      </c>
      <c r="AM254" s="2" t="s">
        <v>83</v>
      </c>
      <c r="AN254" s="2" t="s">
        <v>83</v>
      </c>
      <c r="AO254" s="2">
        <v>7746.97216796875</v>
      </c>
      <c r="AP254" s="2" t="s">
        <v>83</v>
      </c>
      <c r="AQ254" s="2">
        <v>8523.5537109375</v>
      </c>
      <c r="AR254" s="2" t="s">
        <v>83</v>
      </c>
      <c r="AS254" s="2">
        <v>41030.953125</v>
      </c>
      <c r="AT254" s="2">
        <v>46194.9453125</v>
      </c>
      <c r="AU254" s="2">
        <v>37466.67578125</v>
      </c>
      <c r="AV254" s="2">
        <v>52560.734375</v>
      </c>
      <c r="AW254" s="2">
        <v>55322.13671875</v>
      </c>
      <c r="AX254" s="2" t="s">
        <v>83</v>
      </c>
      <c r="AY254" s="2" t="s">
        <v>83</v>
      </c>
      <c r="AZ254" s="2" t="s">
        <v>83</v>
      </c>
      <c r="BA254" s="2" t="s">
        <v>83</v>
      </c>
      <c r="BB254" s="2" t="s">
        <v>83</v>
      </c>
      <c r="BC254" s="2" t="s">
        <v>79</v>
      </c>
      <c r="BD254" s="2" t="s">
        <v>79</v>
      </c>
      <c r="BE254" s="2" t="s">
        <v>79</v>
      </c>
      <c r="BF254" s="2" t="s">
        <v>79</v>
      </c>
      <c r="BG254" s="2" t="s">
        <v>79</v>
      </c>
      <c r="BH254" s="2" t="s">
        <v>98</v>
      </c>
      <c r="BI254" s="2" t="s">
        <v>98</v>
      </c>
      <c r="BJ254" s="2" t="s">
        <v>98</v>
      </c>
      <c r="BK254" s="2" t="s">
        <v>98</v>
      </c>
      <c r="BL254" s="2" t="s">
        <v>98</v>
      </c>
      <c r="BM254" s="2" t="s">
        <v>98</v>
      </c>
      <c r="BN254" s="2" t="s">
        <v>91</v>
      </c>
      <c r="BO254" s="2" t="s">
        <v>98</v>
      </c>
      <c r="BP254" s="2" t="s">
        <v>91</v>
      </c>
      <c r="BQ254" s="2" t="s">
        <v>98</v>
      </c>
      <c r="BR254" s="2" t="s">
        <v>91</v>
      </c>
      <c r="BS254" s="2" t="s">
        <v>91</v>
      </c>
      <c r="BT254" s="2" t="s">
        <v>91</v>
      </c>
      <c r="BU254" s="2" t="s">
        <v>79</v>
      </c>
      <c r="BV254" s="2" t="s">
        <v>79</v>
      </c>
      <c r="BW254" s="2" t="s">
        <v>98</v>
      </c>
      <c r="BX254" s="2" t="s">
        <v>98</v>
      </c>
      <c r="BY254" s="2" t="s">
        <v>98</v>
      </c>
      <c r="BZ254" s="2" t="s">
        <v>98</v>
      </c>
      <c r="CA254" s="2" t="s">
        <v>98</v>
      </c>
      <c r="CB254" t="e">
        <f>TTEST(AS254:AW254,AI254:AM254,2,2)</f>
        <v>#DIV/0!</v>
      </c>
      <c r="CC254" t="e">
        <f>TTEST(AD254:AH254,AI254:AM254,2,2)</f>
        <v>#DIV/0!</v>
      </c>
      <c r="CD254" t="e">
        <f>TTEST(AN254:AR254,AI254:AM254,2,2)</f>
        <v>#DIV/0!</v>
      </c>
      <c r="CE254" t="e">
        <f>TTEST(AX254:BB254,AI254:AM254,2,2)</f>
        <v>#DIV/0!</v>
      </c>
      <c r="CF254">
        <v>232</v>
      </c>
      <c r="CG254">
        <v>246</v>
      </c>
      <c r="CH254">
        <v>250</v>
      </c>
      <c r="CI254">
        <v>220</v>
      </c>
      <c r="CJ254">
        <f>0.05*CF254/464</f>
        <v>2.5000000000000001E-2</v>
      </c>
      <c r="CK254">
        <f>0.05*CG254/464</f>
        <v>2.6508620689655173E-2</v>
      </c>
      <c r="CL254">
        <f>0.05*CH254/464</f>
        <v>2.6939655172413791E-2</v>
      </c>
      <c r="CM254">
        <f>0.05*CI254/464</f>
        <v>2.3706896551724137E-2</v>
      </c>
      <c r="CN254" t="e">
        <f>IF(CB254&lt;CJ254,"yes","no")</f>
        <v>#DIV/0!</v>
      </c>
      <c r="CO254" t="e">
        <f>IF(CC254&lt;CK254,"yes","no")</f>
        <v>#DIV/0!</v>
      </c>
      <c r="CP254" t="e">
        <f>IF(CD254&lt;CL254,"yes","no")</f>
        <v>#DIV/0!</v>
      </c>
      <c r="CQ254" t="e">
        <f>IF(CE254&lt;CM254,"yes","no")</f>
        <v>#DIV/0!</v>
      </c>
      <c r="CR254">
        <f>TTEST(AS254:AW254,AD254:AH254,2,2)</f>
        <v>1.0232649245260083E-7</v>
      </c>
      <c r="CS254">
        <f>TTEST(AS254:AW254,AN254:AR254,2,2)</f>
        <v>1.0359625749599343E-3</v>
      </c>
      <c r="CT254" t="e">
        <f>TTEST(AS254:AW254,AX254:BB254,2,2)</f>
        <v>#DIV/0!</v>
      </c>
      <c r="CU254">
        <v>15</v>
      </c>
      <c r="CV254">
        <v>92</v>
      </c>
      <c r="CW254">
        <v>253</v>
      </c>
      <c r="CX254">
        <f t="shared" si="9"/>
        <v>1.6163793103448276E-3</v>
      </c>
      <c r="CY254">
        <f t="shared" si="10"/>
        <v>9.9137931034482766E-3</v>
      </c>
      <c r="CZ254">
        <f t="shared" si="11"/>
        <v>2.7262931034482761E-2</v>
      </c>
      <c r="DA254" t="str">
        <f>IF(CR254&lt;CX254,"yes","no")</f>
        <v>yes</v>
      </c>
      <c r="DB254" t="str">
        <f>IF(CS254&lt;CY254,"yes","no")</f>
        <v>yes</v>
      </c>
      <c r="DC254" t="e">
        <f>IF(CT254&lt;CZ254,"yes","no")</f>
        <v>#DIV/0!</v>
      </c>
    </row>
    <row r="255" spans="1:107" x14ac:dyDescent="0.2">
      <c r="A255" s="2" t="b">
        <v>0</v>
      </c>
      <c r="B255" s="2" t="s">
        <v>79</v>
      </c>
      <c r="C255" s="2" t="s">
        <v>80</v>
      </c>
      <c r="D255" s="2" t="s">
        <v>659</v>
      </c>
      <c r="E255" s="2" t="s">
        <v>660</v>
      </c>
      <c r="F255" s="2">
        <v>6</v>
      </c>
      <c r="G255" s="2">
        <v>6</v>
      </c>
      <c r="H255" s="2">
        <v>52.5</v>
      </c>
      <c r="I255" s="2">
        <v>5.83</v>
      </c>
      <c r="J255" s="2" t="s">
        <v>661</v>
      </c>
      <c r="K255" s="2" t="s">
        <v>84</v>
      </c>
      <c r="L255" s="2" t="s">
        <v>499</v>
      </c>
      <c r="M255" s="2" t="s">
        <v>662</v>
      </c>
      <c r="N255" s="2" t="s">
        <v>659</v>
      </c>
      <c r="O255" s="2">
        <v>1.9490000000000001</v>
      </c>
      <c r="P255" s="2">
        <v>0.64700000000000002</v>
      </c>
      <c r="Q255" s="2">
        <v>0.01</v>
      </c>
      <c r="R255" s="2">
        <v>0.19900000000000001</v>
      </c>
      <c r="S255" s="2">
        <v>0.70799999999999996</v>
      </c>
      <c r="T255" s="2">
        <v>9.5000000000000001E-2</v>
      </c>
      <c r="U255" s="2">
        <v>0.01</v>
      </c>
      <c r="V255" s="2">
        <v>0.48499999999999999</v>
      </c>
      <c r="W255" s="2">
        <v>0.01</v>
      </c>
      <c r="X255" s="2">
        <v>0.01</v>
      </c>
      <c r="Y255" s="2">
        <v>118.8</v>
      </c>
      <c r="Z255" s="2">
        <v>141.4</v>
      </c>
      <c r="AA255" s="2">
        <v>187.5</v>
      </c>
      <c r="AB255" s="2">
        <v>52.3</v>
      </c>
      <c r="AC255" s="2" t="s">
        <v>83</v>
      </c>
      <c r="AD255" s="2">
        <v>1542745.25</v>
      </c>
      <c r="AE255" s="2">
        <v>1024087.34375</v>
      </c>
      <c r="AF255" s="2">
        <v>877447.05859375</v>
      </c>
      <c r="AG255" s="2">
        <v>986867.5</v>
      </c>
      <c r="AH255" s="2">
        <v>826551.8828125</v>
      </c>
      <c r="AI255" s="2">
        <v>26170.537109375</v>
      </c>
      <c r="AJ255" s="2">
        <v>44075.75390625</v>
      </c>
      <c r="AK255" s="2">
        <v>20429.224609375</v>
      </c>
      <c r="AL255" s="2">
        <v>46199.849609375</v>
      </c>
      <c r="AM255" s="2">
        <v>19231.228149414099</v>
      </c>
      <c r="AN255" s="2">
        <v>8073.39697265625</v>
      </c>
      <c r="AO255" s="2">
        <v>27985.698730468801</v>
      </c>
      <c r="AP255" s="2">
        <v>37647.032714843801</v>
      </c>
      <c r="AQ255" s="2">
        <v>3225.2607421875</v>
      </c>
      <c r="AR255" s="2">
        <v>49281.3271484375</v>
      </c>
      <c r="AS255" s="2">
        <v>84219.2841796875</v>
      </c>
      <c r="AT255" s="2">
        <v>95171.875</v>
      </c>
      <c r="AU255" s="2">
        <v>62620.670410156301</v>
      </c>
      <c r="AV255" s="2">
        <v>62776.7802734375</v>
      </c>
      <c r="AW255" s="2">
        <v>71634.15625</v>
      </c>
      <c r="AX255" s="2" t="s">
        <v>83</v>
      </c>
      <c r="AY255" s="2" t="s">
        <v>83</v>
      </c>
      <c r="AZ255" s="2" t="s">
        <v>83</v>
      </c>
      <c r="BA255" s="2" t="s">
        <v>83</v>
      </c>
      <c r="BB255" s="2" t="s">
        <v>83</v>
      </c>
      <c r="BC255" s="2" t="s">
        <v>79</v>
      </c>
      <c r="BD255" s="2" t="s">
        <v>79</v>
      </c>
      <c r="BE255" s="2" t="s">
        <v>79</v>
      </c>
      <c r="BF255" s="2" t="s">
        <v>79</v>
      </c>
      <c r="BG255" s="2" t="s">
        <v>79</v>
      </c>
      <c r="BH255" s="2" t="s">
        <v>91</v>
      </c>
      <c r="BI255" s="2" t="s">
        <v>91</v>
      </c>
      <c r="BJ255" s="2" t="s">
        <v>91</v>
      </c>
      <c r="BK255" s="2" t="s">
        <v>91</v>
      </c>
      <c r="BL255" s="2" t="s">
        <v>91</v>
      </c>
      <c r="BM255" s="2" t="s">
        <v>91</v>
      </c>
      <c r="BN255" s="2" t="s">
        <v>91</v>
      </c>
      <c r="BO255" s="2" t="s">
        <v>91</v>
      </c>
      <c r="BP255" s="2" t="s">
        <v>91</v>
      </c>
      <c r="BQ255" s="2" t="s">
        <v>91</v>
      </c>
      <c r="BR255" s="2" t="s">
        <v>91</v>
      </c>
      <c r="BS255" s="2" t="s">
        <v>79</v>
      </c>
      <c r="BT255" s="2" t="s">
        <v>91</v>
      </c>
      <c r="BU255" s="2" t="s">
        <v>79</v>
      </c>
      <c r="BV255" s="2" t="s">
        <v>91</v>
      </c>
      <c r="BW255" s="2" t="s">
        <v>98</v>
      </c>
      <c r="BX255" s="2" t="s">
        <v>98</v>
      </c>
      <c r="BY255" s="2" t="s">
        <v>98</v>
      </c>
      <c r="BZ255" s="2" t="s">
        <v>98</v>
      </c>
      <c r="CA255" s="2" t="s">
        <v>98</v>
      </c>
      <c r="CB255">
        <f>TTEST(AS255:AW255,AI255:AM255,2,2)</f>
        <v>9.0625186771091403E-4</v>
      </c>
      <c r="CC255">
        <f>TTEST(AD255:AH255,AI255:AM255,2,2)</f>
        <v>4.4884758028887462E-5</v>
      </c>
      <c r="CD255">
        <f>TTEST(AN255:AR255,AI255:AM255,2,2)</f>
        <v>0.58379852760035711</v>
      </c>
      <c r="CE255" t="e">
        <f>TTEST(AX255:BB255,AI255:AM255,2,2)</f>
        <v>#DIV/0!</v>
      </c>
      <c r="CF255">
        <v>100</v>
      </c>
      <c r="CG255">
        <v>99</v>
      </c>
      <c r="CH255">
        <v>195</v>
      </c>
      <c r="CI255">
        <v>224</v>
      </c>
      <c r="CJ255">
        <f>0.05*CF255/464</f>
        <v>1.0775862068965518E-2</v>
      </c>
      <c r="CK255">
        <f>0.05*CG255/464</f>
        <v>1.0668103448275863E-2</v>
      </c>
      <c r="CL255">
        <f>0.05*CH255/464</f>
        <v>2.1012931034482759E-2</v>
      </c>
      <c r="CM255">
        <f>0.05*CI255/464</f>
        <v>2.4137931034482762E-2</v>
      </c>
      <c r="CN255" t="str">
        <f>IF(CB255&lt;CJ255,"yes","no")</f>
        <v>yes</v>
      </c>
      <c r="CO255" t="str">
        <f>IF(CC255&lt;CK255,"yes","no")</f>
        <v>yes</v>
      </c>
      <c r="CP255" t="str">
        <f>IF(CD255&lt;CL255,"yes","no")</f>
        <v>no</v>
      </c>
      <c r="CQ255" t="e">
        <f>IF(CE255&lt;CM255,"yes","no")</f>
        <v>#DIV/0!</v>
      </c>
      <c r="CR255">
        <f>TTEST(AS255:AW255,AD255:AH255,2,2)</f>
        <v>6.1659010138187558E-5</v>
      </c>
      <c r="CS255">
        <f>TTEST(AS255:AW255,AN255:AR255,2,2)</f>
        <v>1.6618682182963965E-3</v>
      </c>
      <c r="CT255" t="e">
        <f>TTEST(AS255:AW255,AX255:BB255,2,2)</f>
        <v>#DIV/0!</v>
      </c>
      <c r="CU255">
        <v>122</v>
      </c>
      <c r="CV255">
        <v>99</v>
      </c>
      <c r="CW255">
        <v>254</v>
      </c>
      <c r="CX255">
        <f t="shared" si="9"/>
        <v>1.3146551724137933E-2</v>
      </c>
      <c r="CY255">
        <f t="shared" si="10"/>
        <v>1.0668103448275863E-2</v>
      </c>
      <c r="CZ255">
        <f t="shared" si="11"/>
        <v>2.7370689655172416E-2</v>
      </c>
      <c r="DA255" t="str">
        <f>IF(CR255&lt;CX255,"yes","no")</f>
        <v>yes</v>
      </c>
      <c r="DB255" t="str">
        <f>IF(CS255&lt;CY255,"yes","no")</f>
        <v>yes</v>
      </c>
      <c r="DC255" t="e">
        <f>IF(CT255&lt;CZ255,"yes","no")</f>
        <v>#DIV/0!</v>
      </c>
    </row>
    <row r="256" spans="1:107" x14ac:dyDescent="0.2">
      <c r="A256" s="2" t="b">
        <v>0</v>
      </c>
      <c r="B256" s="2" t="s">
        <v>79</v>
      </c>
      <c r="C256" s="2" t="s">
        <v>80</v>
      </c>
      <c r="D256" s="2" t="s">
        <v>1048</v>
      </c>
      <c r="E256" s="2" t="s">
        <v>1049</v>
      </c>
      <c r="F256" s="2">
        <v>5</v>
      </c>
      <c r="G256" s="2">
        <v>5</v>
      </c>
      <c r="H256" s="2">
        <v>31.2</v>
      </c>
      <c r="I256" s="2">
        <v>7.75</v>
      </c>
      <c r="J256" s="2" t="s">
        <v>254</v>
      </c>
      <c r="K256" s="2" t="s">
        <v>1050</v>
      </c>
      <c r="L256" s="2" t="s">
        <v>119</v>
      </c>
      <c r="M256" s="2" t="s">
        <v>1051</v>
      </c>
      <c r="N256" s="2" t="s">
        <v>1048</v>
      </c>
      <c r="O256" s="2">
        <v>42.406999999999996</v>
      </c>
      <c r="P256" s="2">
        <v>2.2879999999999998</v>
      </c>
      <c r="Q256" s="2">
        <v>12.863</v>
      </c>
      <c r="R256" s="2">
        <v>0.21199999999999999</v>
      </c>
      <c r="S256" s="2">
        <v>7.8120000000000003</v>
      </c>
      <c r="T256" s="2">
        <v>0.92100000000000004</v>
      </c>
      <c r="U256" s="2">
        <v>2.7229999999999999</v>
      </c>
      <c r="V256" s="2">
        <v>0.105</v>
      </c>
      <c r="W256" s="2">
        <v>0.34300000000000003</v>
      </c>
      <c r="X256" s="2">
        <v>2.7949999999999999</v>
      </c>
      <c r="Y256" s="2">
        <v>2.1</v>
      </c>
      <c r="Z256" s="2">
        <v>13.2</v>
      </c>
      <c r="AA256" s="2">
        <v>434.5</v>
      </c>
      <c r="AB256" s="2">
        <v>14.5</v>
      </c>
      <c r="AC256" s="2">
        <v>35.799999999999997</v>
      </c>
      <c r="AD256" s="2">
        <v>46668.66796875</v>
      </c>
      <c r="AE256" s="2">
        <v>103592.53515625</v>
      </c>
      <c r="AF256" s="2">
        <v>34499.1328125</v>
      </c>
      <c r="AG256" s="2">
        <v>115631.40625</v>
      </c>
      <c r="AH256" s="2">
        <v>21057.896484375</v>
      </c>
      <c r="AI256" s="2">
        <v>4774.1279296875</v>
      </c>
      <c r="AJ256" s="2" t="s">
        <v>83</v>
      </c>
      <c r="AK256" s="2">
        <v>5185.3681640625</v>
      </c>
      <c r="AL256" s="2" t="s">
        <v>83</v>
      </c>
      <c r="AM256" s="2" t="s">
        <v>83</v>
      </c>
      <c r="AN256" s="2">
        <v>134584.60449218799</v>
      </c>
      <c r="AO256" s="2">
        <v>147926.41015625</v>
      </c>
      <c r="AP256" s="2">
        <v>77584.666015625</v>
      </c>
      <c r="AQ256" s="2">
        <v>152819.12011718799</v>
      </c>
      <c r="AR256" s="2">
        <v>218873.53027343799</v>
      </c>
      <c r="AS256" s="2">
        <v>24848.0546875</v>
      </c>
      <c r="AT256" s="2">
        <v>63647.470703125</v>
      </c>
      <c r="AU256" s="2">
        <v>36252.0078125</v>
      </c>
      <c r="AV256" s="2">
        <v>40768.47265625</v>
      </c>
      <c r="AW256" s="2">
        <v>60490.590332031301</v>
      </c>
      <c r="AX256" s="2" t="s">
        <v>83</v>
      </c>
      <c r="AY256" s="2" t="s">
        <v>83</v>
      </c>
      <c r="AZ256" s="2" t="s">
        <v>83</v>
      </c>
      <c r="BA256" s="2">
        <v>34750.9375</v>
      </c>
      <c r="BB256" s="2" t="s">
        <v>83</v>
      </c>
      <c r="BC256" s="2" t="s">
        <v>79</v>
      </c>
      <c r="BD256" s="2" t="s">
        <v>91</v>
      </c>
      <c r="BE256" s="2" t="s">
        <v>91</v>
      </c>
      <c r="BF256" s="2" t="s">
        <v>91</v>
      </c>
      <c r="BG256" s="2" t="s">
        <v>79</v>
      </c>
      <c r="BH256" s="2" t="s">
        <v>91</v>
      </c>
      <c r="BI256" s="2" t="s">
        <v>98</v>
      </c>
      <c r="BJ256" s="2" t="s">
        <v>91</v>
      </c>
      <c r="BK256" s="2" t="s">
        <v>98</v>
      </c>
      <c r="BL256" s="2" t="s">
        <v>98</v>
      </c>
      <c r="BM256" s="2" t="s">
        <v>79</v>
      </c>
      <c r="BN256" s="2" t="s">
        <v>79</v>
      </c>
      <c r="BO256" s="2" t="s">
        <v>79</v>
      </c>
      <c r="BP256" s="2" t="s">
        <v>79</v>
      </c>
      <c r="BQ256" s="2" t="s">
        <v>79</v>
      </c>
      <c r="BR256" s="2" t="s">
        <v>91</v>
      </c>
      <c r="BS256" s="2" t="s">
        <v>79</v>
      </c>
      <c r="BT256" s="2" t="s">
        <v>91</v>
      </c>
      <c r="BU256" s="2" t="s">
        <v>91</v>
      </c>
      <c r="BV256" s="2" t="s">
        <v>91</v>
      </c>
      <c r="BW256" s="2" t="s">
        <v>98</v>
      </c>
      <c r="BX256" s="2" t="s">
        <v>98</v>
      </c>
      <c r="BY256" s="2" t="s">
        <v>98</v>
      </c>
      <c r="BZ256" s="2" t="s">
        <v>91</v>
      </c>
      <c r="CA256" s="2" t="s">
        <v>98</v>
      </c>
      <c r="CB256">
        <f>TTEST(AS256:AW256,AI256:AM256,2,2)</f>
        <v>2.2475081927813702E-2</v>
      </c>
      <c r="CC256">
        <f>TTEST(AD256:AH256,AI256:AM256,2,2)</f>
        <v>0.12166816022322627</v>
      </c>
      <c r="CD256">
        <f>TTEST(AN256:AR256,AI256:AM256,2,2)</f>
        <v>1.3341035696184299E-2</v>
      </c>
      <c r="CE256" t="e">
        <f>TTEST(AX256:BB256,AI256:AM256,2,2)</f>
        <v>#DIV/0!</v>
      </c>
      <c r="CF256">
        <v>139</v>
      </c>
      <c r="CG256">
        <v>198</v>
      </c>
      <c r="CH256">
        <v>101</v>
      </c>
      <c r="CI256">
        <v>227</v>
      </c>
      <c r="CJ256">
        <f>0.05*CF256/464</f>
        <v>1.4978448275862069E-2</v>
      </c>
      <c r="CK256">
        <f>0.05*CG256/464</f>
        <v>2.1336206896551725E-2</v>
      </c>
      <c r="CL256">
        <f>0.05*CH256/464</f>
        <v>1.0883620689655173E-2</v>
      </c>
      <c r="CM256">
        <f>0.05*CI256/464</f>
        <v>2.4461206896551728E-2</v>
      </c>
      <c r="CN256" t="str">
        <f>IF(CB256&lt;CJ256,"yes","no")</f>
        <v>no</v>
      </c>
      <c r="CO256" t="str">
        <f>IF(CC256&lt;CK256,"yes","no")</f>
        <v>no</v>
      </c>
      <c r="CP256" t="str">
        <f>IF(CD256&lt;CL256,"yes","no")</f>
        <v>no</v>
      </c>
      <c r="CQ256" t="e">
        <f>IF(CE256&lt;CM256,"yes","no")</f>
        <v>#DIV/0!</v>
      </c>
      <c r="CR256">
        <f>TTEST(AS256:AW256,AD256:AH256,2,2)</f>
        <v>0.37714035264090595</v>
      </c>
      <c r="CS256">
        <f>TTEST(AS256:AW256,AN256:AR256,2,2)</f>
        <v>2.7486764786037827E-3</v>
      </c>
      <c r="CT256" t="e">
        <f>TTEST(AS256:AW256,AX256:BB256,2,2)</f>
        <v>#DIV/0!</v>
      </c>
      <c r="CU256">
        <v>288</v>
      </c>
      <c r="CV256">
        <v>108</v>
      </c>
      <c r="CW256">
        <v>255</v>
      </c>
      <c r="CX256">
        <f t="shared" si="9"/>
        <v>3.1034482758620689E-2</v>
      </c>
      <c r="CY256">
        <f t="shared" si="10"/>
        <v>1.1637931034482759E-2</v>
      </c>
      <c r="CZ256">
        <f t="shared" si="11"/>
        <v>2.7478448275862068E-2</v>
      </c>
      <c r="DA256" t="str">
        <f>IF(CR256&lt;CX256,"yes","no")</f>
        <v>no</v>
      </c>
      <c r="DB256" t="str">
        <f>IF(CS256&lt;CY256,"yes","no")</f>
        <v>yes</v>
      </c>
      <c r="DC256" t="e">
        <f>IF(CT256&lt;CZ256,"yes","no")</f>
        <v>#DIV/0!</v>
      </c>
    </row>
    <row r="257" spans="1:107" x14ac:dyDescent="0.2">
      <c r="A257" s="2" t="b">
        <v>0</v>
      </c>
      <c r="B257" s="2" t="s">
        <v>79</v>
      </c>
      <c r="C257" s="2" t="s">
        <v>80</v>
      </c>
      <c r="D257" s="2" t="s">
        <v>701</v>
      </c>
      <c r="E257" s="2" t="s">
        <v>702</v>
      </c>
      <c r="F257" s="2">
        <v>6</v>
      </c>
      <c r="G257" s="2">
        <v>6</v>
      </c>
      <c r="H257" s="2">
        <v>106.4</v>
      </c>
      <c r="I257" s="2">
        <v>7.31</v>
      </c>
      <c r="J257" s="2" t="s">
        <v>135</v>
      </c>
      <c r="K257" s="2" t="s">
        <v>84</v>
      </c>
      <c r="L257" s="2" t="s">
        <v>102</v>
      </c>
      <c r="M257" s="2" t="s">
        <v>703</v>
      </c>
      <c r="N257" s="2" t="s">
        <v>701</v>
      </c>
      <c r="O257" s="2">
        <v>1.9570000000000001</v>
      </c>
      <c r="P257" s="2">
        <v>0.20499999999999999</v>
      </c>
      <c r="Q257" s="2">
        <v>0.01</v>
      </c>
      <c r="R257" s="2">
        <v>1.464</v>
      </c>
      <c r="S257" s="2">
        <v>3.5409999999999999</v>
      </c>
      <c r="T257" s="2" t="s">
        <v>83</v>
      </c>
      <c r="U257" s="2">
        <v>0.01</v>
      </c>
      <c r="V257" s="2">
        <v>0.16500000000000001</v>
      </c>
      <c r="W257" s="2">
        <v>0.01</v>
      </c>
      <c r="X257" s="2">
        <v>0.01</v>
      </c>
      <c r="Y257" s="2">
        <v>173.6</v>
      </c>
      <c r="Z257" s="2">
        <v>34.299999999999997</v>
      </c>
      <c r="AA257" s="2">
        <v>276.39999999999998</v>
      </c>
      <c r="AB257" s="2">
        <v>15.8</v>
      </c>
      <c r="AC257" s="2" t="s">
        <v>83</v>
      </c>
      <c r="AD257" s="2">
        <v>1658435.8125</v>
      </c>
      <c r="AE257" s="2">
        <v>1352592.90625</v>
      </c>
      <c r="AF257" s="2">
        <v>1371812.375</v>
      </c>
      <c r="AG257" s="2">
        <v>1337508.640625</v>
      </c>
      <c r="AH257" s="2">
        <v>1232597.015625</v>
      </c>
      <c r="AI257" s="2" t="s">
        <v>83</v>
      </c>
      <c r="AJ257" s="2" t="s">
        <v>83</v>
      </c>
      <c r="AK257" s="2" t="s">
        <v>83</v>
      </c>
      <c r="AL257" s="2">
        <v>8545.9462890625</v>
      </c>
      <c r="AM257" s="2" t="s">
        <v>83</v>
      </c>
      <c r="AN257" s="2">
        <v>60597.1318359375</v>
      </c>
      <c r="AO257" s="2">
        <v>54254.46875</v>
      </c>
      <c r="AP257" s="2">
        <v>30888.1572265625</v>
      </c>
      <c r="AQ257" s="2">
        <v>50375.421875</v>
      </c>
      <c r="AR257" s="2">
        <v>46455.6962890625</v>
      </c>
      <c r="AS257" s="2">
        <v>24343.5859375</v>
      </c>
      <c r="AT257" s="2">
        <v>13943.6357421875</v>
      </c>
      <c r="AU257" s="2">
        <v>27056.05859375</v>
      </c>
      <c r="AV257" s="2">
        <v>14306.673828125</v>
      </c>
      <c r="AW257" s="2" t="s">
        <v>83</v>
      </c>
      <c r="AX257" s="2" t="s">
        <v>83</v>
      </c>
      <c r="AY257" s="2" t="s">
        <v>83</v>
      </c>
      <c r="AZ257" s="2" t="s">
        <v>83</v>
      </c>
      <c r="BA257" s="2" t="s">
        <v>83</v>
      </c>
      <c r="BB257" s="2" t="s">
        <v>83</v>
      </c>
      <c r="BC257" s="2" t="s">
        <v>79</v>
      </c>
      <c r="BD257" s="2" t="s">
        <v>79</v>
      </c>
      <c r="BE257" s="2" t="s">
        <v>79</v>
      </c>
      <c r="BF257" s="2" t="s">
        <v>79</v>
      </c>
      <c r="BG257" s="2" t="s">
        <v>79</v>
      </c>
      <c r="BH257" s="2" t="s">
        <v>91</v>
      </c>
      <c r="BI257" s="2" t="s">
        <v>91</v>
      </c>
      <c r="BJ257" s="2" t="s">
        <v>91</v>
      </c>
      <c r="BK257" s="2" t="s">
        <v>91</v>
      </c>
      <c r="BL257" s="2" t="s">
        <v>91</v>
      </c>
      <c r="BM257" s="2" t="s">
        <v>91</v>
      </c>
      <c r="BN257" s="2" t="s">
        <v>91</v>
      </c>
      <c r="BO257" s="2" t="s">
        <v>91</v>
      </c>
      <c r="BP257" s="2" t="s">
        <v>91</v>
      </c>
      <c r="BQ257" s="2" t="s">
        <v>91</v>
      </c>
      <c r="BR257" s="2" t="s">
        <v>91</v>
      </c>
      <c r="BS257" s="2" t="s">
        <v>91</v>
      </c>
      <c r="BT257" s="2" t="s">
        <v>91</v>
      </c>
      <c r="BU257" s="2" t="s">
        <v>91</v>
      </c>
      <c r="BV257" s="2" t="s">
        <v>91</v>
      </c>
      <c r="BW257" s="2" t="s">
        <v>91</v>
      </c>
      <c r="BX257" s="2" t="s">
        <v>98</v>
      </c>
      <c r="BY257" s="2" t="s">
        <v>98</v>
      </c>
      <c r="BZ257" s="2" t="s">
        <v>91</v>
      </c>
      <c r="CA257" s="2" t="s">
        <v>91</v>
      </c>
      <c r="CB257" t="e">
        <f>TTEST(AS257:AW257,AI257:AM257,2,2)</f>
        <v>#DIV/0!</v>
      </c>
      <c r="CC257" t="e">
        <f>TTEST(AD257:AH257,AI257:AM257,2,2)</f>
        <v>#DIV/0!</v>
      </c>
      <c r="CD257" t="e">
        <f>TTEST(AN257:AR257,AI257:AM257,2,2)</f>
        <v>#DIV/0!</v>
      </c>
      <c r="CE257" t="e">
        <f>TTEST(AX257:BB257,AI257:AM257,2,2)</f>
        <v>#DIV/0!</v>
      </c>
      <c r="CF257">
        <v>237</v>
      </c>
      <c r="CG257">
        <v>251</v>
      </c>
      <c r="CH257">
        <v>255</v>
      </c>
      <c r="CI257">
        <v>228</v>
      </c>
      <c r="CJ257">
        <f>0.05*CF257/464</f>
        <v>2.5538793103448278E-2</v>
      </c>
      <c r="CK257">
        <f>0.05*CG257/464</f>
        <v>2.704741379310345E-2</v>
      </c>
      <c r="CL257">
        <f>0.05*CH257/464</f>
        <v>2.7478448275862068E-2</v>
      </c>
      <c r="CM257">
        <f>0.05*CI257/464</f>
        <v>2.456896551724138E-2</v>
      </c>
      <c r="CN257" t="e">
        <f>IF(CB257&lt;CJ257,"yes","no")</f>
        <v>#DIV/0!</v>
      </c>
      <c r="CO257" t="e">
        <f>IF(CC257&lt;CK257,"yes","no")</f>
        <v>#DIV/0!</v>
      </c>
      <c r="CP257" t="e">
        <f>IF(CD257&lt;CL257,"yes","no")</f>
        <v>#DIV/0!</v>
      </c>
      <c r="CQ257" t="e">
        <f>IF(CE257&lt;CM257,"yes","no")</f>
        <v>#DIV/0!</v>
      </c>
      <c r="CR257">
        <f>TTEST(AS257:AW257,AD257:AH257,2,2)</f>
        <v>6.0413927720514464E-7</v>
      </c>
      <c r="CS257">
        <f>TTEST(AS257:AW257,AN257:AR257,2,2)</f>
        <v>2.8785805699666545E-3</v>
      </c>
      <c r="CT257" t="e">
        <f>TTEST(AS257:AW257,AX257:BB257,2,2)</f>
        <v>#DIV/0!</v>
      </c>
      <c r="CU257">
        <v>41</v>
      </c>
      <c r="CV257">
        <v>110</v>
      </c>
      <c r="CW257">
        <v>256</v>
      </c>
      <c r="CX257">
        <f t="shared" si="9"/>
        <v>4.4181034482758622E-3</v>
      </c>
      <c r="CY257">
        <f t="shared" si="10"/>
        <v>1.1853448275862068E-2</v>
      </c>
      <c r="CZ257">
        <f t="shared" si="11"/>
        <v>2.7586206896551727E-2</v>
      </c>
      <c r="DA257" t="str">
        <f>IF(CR257&lt;CX257,"yes","no")</f>
        <v>yes</v>
      </c>
      <c r="DB257" t="str">
        <f>IF(CS257&lt;CY257,"yes","no")</f>
        <v>yes</v>
      </c>
      <c r="DC257" t="e">
        <f>IF(CT257&lt;CZ257,"yes","no")</f>
        <v>#DIV/0!</v>
      </c>
    </row>
    <row r="258" spans="1:107" x14ac:dyDescent="0.2">
      <c r="A258" s="2" t="b">
        <v>0</v>
      </c>
      <c r="B258" s="2" t="s">
        <v>79</v>
      </c>
      <c r="C258" s="2" t="s">
        <v>80</v>
      </c>
      <c r="D258" s="2" t="s">
        <v>780</v>
      </c>
      <c r="E258" s="2" t="s">
        <v>781</v>
      </c>
      <c r="F258" s="2">
        <v>6</v>
      </c>
      <c r="G258" s="2">
        <v>6</v>
      </c>
      <c r="H258" s="2">
        <v>59.7</v>
      </c>
      <c r="I258" s="2">
        <v>9.19</v>
      </c>
      <c r="J258" s="2" t="s">
        <v>508</v>
      </c>
      <c r="K258" s="2" t="s">
        <v>782</v>
      </c>
      <c r="L258" s="2" t="s">
        <v>375</v>
      </c>
      <c r="M258" s="2" t="s">
        <v>83</v>
      </c>
      <c r="N258" s="2" t="s">
        <v>783</v>
      </c>
      <c r="O258" s="2">
        <v>10.025</v>
      </c>
      <c r="P258" s="2">
        <v>0.71499999999999997</v>
      </c>
      <c r="Q258" s="2">
        <v>1.2609999999999999</v>
      </c>
      <c r="R258" s="2">
        <v>9.5000000000000001E-2</v>
      </c>
      <c r="S258" s="2">
        <v>1.1379999999999999</v>
      </c>
      <c r="T258" s="2">
        <v>6.4000000000000001E-2</v>
      </c>
      <c r="U258" s="2">
        <v>0.127</v>
      </c>
      <c r="V258" s="2">
        <v>6.7000000000000004E-2</v>
      </c>
      <c r="W258" s="2">
        <v>0.37</v>
      </c>
      <c r="X258" s="2" t="s">
        <v>83</v>
      </c>
      <c r="Y258" s="2">
        <v>13.8</v>
      </c>
      <c r="Z258" s="2">
        <v>76.099999999999994</v>
      </c>
      <c r="AA258" s="2">
        <v>380.1</v>
      </c>
      <c r="AB258" s="2">
        <v>8.1999999999999993</v>
      </c>
      <c r="AC258" s="2">
        <v>21.7</v>
      </c>
      <c r="AD258" s="2">
        <v>287290.953125</v>
      </c>
      <c r="AE258" s="2">
        <v>258696.5625</v>
      </c>
      <c r="AF258" s="2">
        <v>406731.671875</v>
      </c>
      <c r="AG258" s="2">
        <v>1301564.6953125</v>
      </c>
      <c r="AH258" s="2" t="s">
        <v>83</v>
      </c>
      <c r="AI258" s="2" t="s">
        <v>83</v>
      </c>
      <c r="AJ258" s="2" t="s">
        <v>83</v>
      </c>
      <c r="AK258" s="2">
        <v>6403.61376953125</v>
      </c>
      <c r="AL258" s="2">
        <v>321891.9765625</v>
      </c>
      <c r="AM258" s="2" t="s">
        <v>83</v>
      </c>
      <c r="AN258" s="2">
        <v>144349.328125</v>
      </c>
      <c r="AO258" s="2">
        <v>151558.388671875</v>
      </c>
      <c r="AP258" s="2">
        <v>273347.556640625</v>
      </c>
      <c r="AQ258" s="2">
        <v>157753.29589843799</v>
      </c>
      <c r="AR258" s="2">
        <v>284637.900390625</v>
      </c>
      <c r="AS258" s="2">
        <v>19724.6171875</v>
      </c>
      <c r="AT258" s="2">
        <v>127327.064453125</v>
      </c>
      <c r="AU258" s="2">
        <v>19107.810546875</v>
      </c>
      <c r="AV258" s="2">
        <v>31234.437011718801</v>
      </c>
      <c r="AW258" s="2">
        <v>34948.0234375</v>
      </c>
      <c r="AX258" s="2" t="s">
        <v>83</v>
      </c>
      <c r="AY258" s="2" t="s">
        <v>83</v>
      </c>
      <c r="AZ258" s="2">
        <v>32506.9560546875</v>
      </c>
      <c r="BA258" s="2" t="s">
        <v>83</v>
      </c>
      <c r="BB258" s="2" t="s">
        <v>83</v>
      </c>
      <c r="BC258" s="2" t="s">
        <v>79</v>
      </c>
      <c r="BD258" s="2" t="s">
        <v>79</v>
      </c>
      <c r="BE258" s="2" t="s">
        <v>79</v>
      </c>
      <c r="BF258" s="2" t="s">
        <v>79</v>
      </c>
      <c r="BG258" s="2" t="s">
        <v>98</v>
      </c>
      <c r="BH258" s="2" t="s">
        <v>98</v>
      </c>
      <c r="BI258" s="2" t="s">
        <v>98</v>
      </c>
      <c r="BJ258" s="2" t="s">
        <v>91</v>
      </c>
      <c r="BK258" s="2" t="s">
        <v>79</v>
      </c>
      <c r="BL258" s="2" t="s">
        <v>98</v>
      </c>
      <c r="BM258" s="2" t="s">
        <v>79</v>
      </c>
      <c r="BN258" s="2" t="s">
        <v>79</v>
      </c>
      <c r="BO258" s="2" t="s">
        <v>79</v>
      </c>
      <c r="BP258" s="2" t="s">
        <v>79</v>
      </c>
      <c r="BQ258" s="2" t="s">
        <v>79</v>
      </c>
      <c r="BR258" s="2" t="s">
        <v>91</v>
      </c>
      <c r="BS258" s="2" t="s">
        <v>79</v>
      </c>
      <c r="BT258" s="2" t="s">
        <v>91</v>
      </c>
      <c r="BU258" s="2" t="s">
        <v>79</v>
      </c>
      <c r="BV258" s="2" t="s">
        <v>91</v>
      </c>
      <c r="BW258" s="2" t="s">
        <v>98</v>
      </c>
      <c r="BX258" s="2" t="s">
        <v>98</v>
      </c>
      <c r="BY258" s="2" t="s">
        <v>91</v>
      </c>
      <c r="BZ258" s="2" t="s">
        <v>98</v>
      </c>
      <c r="CA258" s="2" t="s">
        <v>98</v>
      </c>
      <c r="CB258">
        <f>TTEST(AS258:AW258,AI258:AM258,2,2)</f>
        <v>0.24889679446680213</v>
      </c>
      <c r="CC258">
        <f>TTEST(AD258:AH258,AI258:AM258,2,2)</f>
        <v>0.35750458663595908</v>
      </c>
      <c r="CD258">
        <f>TTEST(AN258:AR258,AI258:AM258,2,2)</f>
        <v>0.71464841286345271</v>
      </c>
      <c r="CE258" t="e">
        <f>TTEST(AX258:BB258,AI258:AM258,2,2)</f>
        <v>#DIV/0!</v>
      </c>
      <c r="CF258">
        <v>171</v>
      </c>
      <c r="CG258">
        <v>219</v>
      </c>
      <c r="CH258">
        <v>207</v>
      </c>
      <c r="CI258">
        <v>229</v>
      </c>
      <c r="CJ258">
        <f>0.05*CF258/464</f>
        <v>1.8426724137931037E-2</v>
      </c>
      <c r="CK258">
        <f>0.05*CG258/464</f>
        <v>2.3599137931034485E-2</v>
      </c>
      <c r="CL258">
        <f>0.05*CH258/464</f>
        <v>2.2306034482758624E-2</v>
      </c>
      <c r="CM258">
        <f>0.05*CI258/464</f>
        <v>2.4676724137931035E-2</v>
      </c>
      <c r="CN258" t="str">
        <f>IF(CB258&lt;CJ258,"yes","no")</f>
        <v>no</v>
      </c>
      <c r="CO258" t="str">
        <f>IF(CC258&lt;CK258,"yes","no")</f>
        <v>no</v>
      </c>
      <c r="CP258" t="str">
        <f>IF(CD258&lt;CL258,"yes","no")</f>
        <v>no</v>
      </c>
      <c r="CQ258" t="e">
        <f>IF(CE258&lt;CM258,"yes","no")</f>
        <v>#DIV/0!</v>
      </c>
      <c r="CR258">
        <f>TTEST(AS258:AW258,AD258:AH258,2,2)</f>
        <v>5.0348407897285022E-2</v>
      </c>
      <c r="CS258">
        <f>TTEST(AS258:AW258,AN258:AR258,2,2)</f>
        <v>3.1769933494696302E-3</v>
      </c>
      <c r="CT258" t="e">
        <f>TTEST(AS258:AW258,AX258:BB258,2,2)</f>
        <v>#DIV/0!</v>
      </c>
      <c r="CU258">
        <v>230</v>
      </c>
      <c r="CV258">
        <v>113</v>
      </c>
      <c r="CW258">
        <v>257</v>
      </c>
      <c r="CX258">
        <f t="shared" si="9"/>
        <v>2.4784482758620691E-2</v>
      </c>
      <c r="CY258">
        <f t="shared" si="10"/>
        <v>1.2176724137931035E-2</v>
      </c>
      <c r="CZ258">
        <f t="shared" si="11"/>
        <v>2.7693965517241383E-2</v>
      </c>
      <c r="DA258" t="str">
        <f>IF(CR258&lt;CX258,"yes","no")</f>
        <v>no</v>
      </c>
      <c r="DB258" t="str">
        <f>IF(CS258&lt;CY258,"yes","no")</f>
        <v>yes</v>
      </c>
      <c r="DC258" t="e">
        <f>IF(CT258&lt;CZ258,"yes","no")</f>
        <v>#DIV/0!</v>
      </c>
    </row>
    <row r="259" spans="1:107" x14ac:dyDescent="0.2">
      <c r="A259" s="2" t="b">
        <v>0</v>
      </c>
      <c r="B259" s="2" t="s">
        <v>79</v>
      </c>
      <c r="C259" s="2" t="s">
        <v>80</v>
      </c>
      <c r="D259" s="2" t="s">
        <v>914</v>
      </c>
      <c r="E259" s="2" t="s">
        <v>915</v>
      </c>
      <c r="F259" s="2">
        <v>2</v>
      </c>
      <c r="G259" s="2">
        <v>2</v>
      </c>
      <c r="H259" s="2">
        <v>17.399999999999999</v>
      </c>
      <c r="I259" s="2">
        <v>5.48</v>
      </c>
      <c r="J259" s="2" t="s">
        <v>254</v>
      </c>
      <c r="K259" s="2" t="s">
        <v>319</v>
      </c>
      <c r="L259" s="2" t="s">
        <v>83</v>
      </c>
      <c r="M259" s="2" t="s">
        <v>83</v>
      </c>
      <c r="N259" s="2" t="s">
        <v>914</v>
      </c>
      <c r="O259" s="2">
        <v>1.105</v>
      </c>
      <c r="P259" s="2">
        <v>0.65500000000000003</v>
      </c>
      <c r="Q259" s="2">
        <v>0.01</v>
      </c>
      <c r="R259" s="2">
        <v>100</v>
      </c>
      <c r="S259" s="2">
        <v>100</v>
      </c>
      <c r="T259" s="2">
        <v>100</v>
      </c>
      <c r="U259" s="2" t="s">
        <v>83</v>
      </c>
      <c r="V259" s="2">
        <v>0.56699999999999995</v>
      </c>
      <c r="W259" s="2">
        <v>0.01</v>
      </c>
      <c r="X259" s="2">
        <v>0.01</v>
      </c>
      <c r="Y259" s="2">
        <v>189.2</v>
      </c>
      <c r="Z259" s="2" t="s">
        <v>83</v>
      </c>
      <c r="AA259" s="2">
        <v>182.8</v>
      </c>
      <c r="AB259" s="2">
        <v>128</v>
      </c>
      <c r="AC259" s="2" t="s">
        <v>83</v>
      </c>
      <c r="AD259" s="2">
        <v>646308.6171875</v>
      </c>
      <c r="AE259" s="2">
        <v>465412.84375</v>
      </c>
      <c r="AF259" s="2">
        <v>411789.78125</v>
      </c>
      <c r="AG259" s="2">
        <v>878799.5625</v>
      </c>
      <c r="AH259" s="2">
        <v>669334.75</v>
      </c>
      <c r="AI259" s="2" t="s">
        <v>83</v>
      </c>
      <c r="AJ259" s="2" t="s">
        <v>83</v>
      </c>
      <c r="AK259" s="2" t="s">
        <v>83</v>
      </c>
      <c r="AL259" s="2" t="s">
        <v>83</v>
      </c>
      <c r="AM259" s="2" t="s">
        <v>83</v>
      </c>
      <c r="AN259" s="2" t="s">
        <v>83</v>
      </c>
      <c r="AO259" s="2">
        <v>8297.052734375</v>
      </c>
      <c r="AP259" s="2">
        <v>10685.83203125</v>
      </c>
      <c r="AQ259" s="2">
        <v>11909.8515625</v>
      </c>
      <c r="AR259" s="2" t="s">
        <v>83</v>
      </c>
      <c r="AS259" s="2">
        <v>64263.841796875</v>
      </c>
      <c r="AT259" s="2">
        <v>95329.595703125</v>
      </c>
      <c r="AU259" s="2">
        <v>51115.1953125</v>
      </c>
      <c r="AV259" s="2">
        <v>50257.05078125</v>
      </c>
      <c r="AW259" s="2">
        <v>54687.046875</v>
      </c>
      <c r="AX259" s="2" t="s">
        <v>83</v>
      </c>
      <c r="AY259" s="2" t="s">
        <v>83</v>
      </c>
      <c r="AZ259" s="2" t="s">
        <v>83</v>
      </c>
      <c r="BA259" s="2" t="s">
        <v>83</v>
      </c>
      <c r="BB259" s="2" t="s">
        <v>83</v>
      </c>
      <c r="BC259" s="2" t="s">
        <v>79</v>
      </c>
      <c r="BD259" s="2" t="s">
        <v>91</v>
      </c>
      <c r="BE259" s="2" t="s">
        <v>79</v>
      </c>
      <c r="BF259" s="2" t="s">
        <v>79</v>
      </c>
      <c r="BG259" s="2" t="s">
        <v>79</v>
      </c>
      <c r="BH259" s="2" t="s">
        <v>98</v>
      </c>
      <c r="BI259" s="2" t="s">
        <v>98</v>
      </c>
      <c r="BJ259" s="2" t="s">
        <v>98</v>
      </c>
      <c r="BK259" s="2" t="s">
        <v>98</v>
      </c>
      <c r="BL259" s="2" t="s">
        <v>98</v>
      </c>
      <c r="BM259" s="2" t="s">
        <v>98</v>
      </c>
      <c r="BN259" s="2" t="s">
        <v>91</v>
      </c>
      <c r="BO259" s="2" t="s">
        <v>79</v>
      </c>
      <c r="BP259" s="2" t="s">
        <v>91</v>
      </c>
      <c r="BQ259" s="2" t="s">
        <v>98</v>
      </c>
      <c r="BR259" s="2" t="s">
        <v>79</v>
      </c>
      <c r="BS259" s="2" t="s">
        <v>91</v>
      </c>
      <c r="BT259" s="2" t="s">
        <v>91</v>
      </c>
      <c r="BU259" s="2" t="s">
        <v>79</v>
      </c>
      <c r="BV259" s="2" t="s">
        <v>79</v>
      </c>
      <c r="BW259" s="2" t="s">
        <v>98</v>
      </c>
      <c r="BX259" s="2" t="s">
        <v>98</v>
      </c>
      <c r="BY259" s="2" t="s">
        <v>98</v>
      </c>
      <c r="BZ259" s="2" t="s">
        <v>98</v>
      </c>
      <c r="CA259" s="2" t="s">
        <v>98</v>
      </c>
      <c r="CB259" t="e">
        <f>TTEST(AS259:AW259,AI259:AM259,2,2)</f>
        <v>#DIV/0!</v>
      </c>
      <c r="CC259" t="e">
        <f>TTEST(AD259:AH259,AI259:AM259,2,2)</f>
        <v>#DIV/0!</v>
      </c>
      <c r="CD259" t="e">
        <f>TTEST(AN259:AR259,AI259:AM259,2,2)</f>
        <v>#DIV/0!</v>
      </c>
      <c r="CE259" t="e">
        <f>TTEST(AX259:BB259,AI259:AM259,2,2)</f>
        <v>#DIV/0!</v>
      </c>
      <c r="CF259">
        <v>253</v>
      </c>
      <c r="CG259">
        <v>267</v>
      </c>
      <c r="CH259">
        <v>271</v>
      </c>
      <c r="CI259">
        <v>230</v>
      </c>
      <c r="CJ259">
        <f>0.05*CF259/464</f>
        <v>2.7262931034482761E-2</v>
      </c>
      <c r="CK259">
        <f>0.05*CG259/464</f>
        <v>2.8771551724137933E-2</v>
      </c>
      <c r="CL259">
        <f>0.05*CH259/464</f>
        <v>2.9202586206896555E-2</v>
      </c>
      <c r="CM259">
        <f>0.05*CI259/464</f>
        <v>2.4784482758620691E-2</v>
      </c>
      <c r="CN259" t="e">
        <f>IF(CB259&lt;CJ259,"yes","no")</f>
        <v>#DIV/0!</v>
      </c>
      <c r="CO259" t="e">
        <f>IF(CC259&lt;CK259,"yes","no")</f>
        <v>#DIV/0!</v>
      </c>
      <c r="CP259" t="e">
        <f>IF(CD259&lt;CL259,"yes","no")</f>
        <v>#DIV/0!</v>
      </c>
      <c r="CQ259" t="e">
        <f>IF(CE259&lt;CM259,"yes","no")</f>
        <v>#DIV/0!</v>
      </c>
      <c r="CR259">
        <f>TTEST(AS259:AW259,AD259:AH259,2,2)</f>
        <v>1.6571994351629297E-4</v>
      </c>
      <c r="CS259">
        <f>TTEST(AS259:AW259,AN259:AR259,2,2)</f>
        <v>3.3526516153813716E-3</v>
      </c>
      <c r="CT259" t="e">
        <f>TTEST(AS259:AW259,AX259:BB259,2,2)</f>
        <v>#DIV/0!</v>
      </c>
      <c r="CU259">
        <v>137</v>
      </c>
      <c r="CV259">
        <v>114</v>
      </c>
      <c r="CW259">
        <v>258</v>
      </c>
      <c r="CX259">
        <f t="shared" ref="CX259:CX322" si="12">0.05*CU259/464</f>
        <v>1.476293103448276E-2</v>
      </c>
      <c r="CY259">
        <f t="shared" ref="CY259:CY322" si="13">0.05*CV259/464</f>
        <v>1.228448275862069E-2</v>
      </c>
      <c r="CZ259">
        <f t="shared" ref="CZ259:CZ322" si="14">0.05*CW259/464</f>
        <v>2.7801724137931035E-2</v>
      </c>
      <c r="DA259" t="str">
        <f>IF(CR259&lt;CX259,"yes","no")</f>
        <v>yes</v>
      </c>
      <c r="DB259" t="str">
        <f>IF(CS259&lt;CY259,"yes","no")</f>
        <v>yes</v>
      </c>
      <c r="DC259" t="e">
        <f>IF(CT259&lt;CZ259,"yes","no")</f>
        <v>#DIV/0!</v>
      </c>
    </row>
    <row r="260" spans="1:107" x14ac:dyDescent="0.2">
      <c r="A260" s="2" t="b">
        <v>0</v>
      </c>
      <c r="B260" s="2" t="s">
        <v>79</v>
      </c>
      <c r="C260" s="2" t="s">
        <v>80</v>
      </c>
      <c r="D260" s="2" t="s">
        <v>873</v>
      </c>
      <c r="E260" s="2" t="s">
        <v>775</v>
      </c>
      <c r="F260" s="2">
        <v>4</v>
      </c>
      <c r="G260" s="2">
        <v>1</v>
      </c>
      <c r="H260" s="2">
        <v>30.6</v>
      </c>
      <c r="I260" s="2">
        <v>7.08</v>
      </c>
      <c r="J260" s="2" t="s">
        <v>539</v>
      </c>
      <c r="K260" s="2" t="s">
        <v>607</v>
      </c>
      <c r="L260" s="2" t="s">
        <v>119</v>
      </c>
      <c r="M260" s="2" t="s">
        <v>83</v>
      </c>
      <c r="N260" s="2" t="s">
        <v>873</v>
      </c>
      <c r="O260" s="2">
        <v>2.3809999999999998</v>
      </c>
      <c r="P260" s="2">
        <v>0.99199999999999999</v>
      </c>
      <c r="Q260" s="2">
        <v>0.01</v>
      </c>
      <c r="R260" s="2">
        <v>1.1599999999999999</v>
      </c>
      <c r="S260" s="2">
        <v>2.657</v>
      </c>
      <c r="T260" s="2">
        <v>1.0920000000000001</v>
      </c>
      <c r="U260" s="2">
        <v>0.01</v>
      </c>
      <c r="V260" s="2">
        <v>0.39500000000000002</v>
      </c>
      <c r="W260" s="2">
        <v>0.01</v>
      </c>
      <c r="X260" s="2">
        <v>0.01</v>
      </c>
      <c r="Y260" s="2">
        <v>97.5</v>
      </c>
      <c r="Z260" s="2">
        <v>84.8</v>
      </c>
      <c r="AA260" s="2">
        <v>232.2</v>
      </c>
      <c r="AB260" s="2">
        <v>85.5</v>
      </c>
      <c r="AC260" s="2" t="s">
        <v>83</v>
      </c>
      <c r="AD260" s="2">
        <v>646549.3125</v>
      </c>
      <c r="AE260" s="2">
        <v>890352.3125</v>
      </c>
      <c r="AF260" s="2">
        <v>876450.3125</v>
      </c>
      <c r="AG260" s="2">
        <v>488569.8125</v>
      </c>
      <c r="AH260" s="2">
        <v>665802.75</v>
      </c>
      <c r="AI260" s="2">
        <v>11769.10546875</v>
      </c>
      <c r="AJ260" s="2" t="s">
        <v>83</v>
      </c>
      <c r="AK260" s="2">
        <v>11712.845703125</v>
      </c>
      <c r="AL260" s="2" t="s">
        <v>83</v>
      </c>
      <c r="AM260" s="2" t="s">
        <v>83</v>
      </c>
      <c r="AN260" s="2">
        <v>26328.173828125</v>
      </c>
      <c r="AO260" s="2">
        <v>26111.990234375</v>
      </c>
      <c r="AP260" s="2">
        <v>34130.1796875</v>
      </c>
      <c r="AQ260" s="2">
        <v>31192.837890625</v>
      </c>
      <c r="AR260" s="2">
        <v>51375.515625</v>
      </c>
      <c r="AS260" s="2">
        <v>79517.703125</v>
      </c>
      <c r="AT260" s="2">
        <v>170259.96875</v>
      </c>
      <c r="AU260" s="2">
        <v>74975.203125</v>
      </c>
      <c r="AV260" s="2">
        <v>88200.8828125</v>
      </c>
      <c r="AW260" s="2">
        <v>156437.15625</v>
      </c>
      <c r="AX260" s="2" t="s">
        <v>83</v>
      </c>
      <c r="AY260" s="2" t="s">
        <v>83</v>
      </c>
      <c r="AZ260" s="2" t="s">
        <v>83</v>
      </c>
      <c r="BA260" s="2" t="s">
        <v>83</v>
      </c>
      <c r="BB260" s="2" t="s">
        <v>83</v>
      </c>
      <c r="BC260" s="2" t="s">
        <v>79</v>
      </c>
      <c r="BD260" s="2" t="s">
        <v>91</v>
      </c>
      <c r="BE260" s="2" t="s">
        <v>79</v>
      </c>
      <c r="BF260" s="2" t="s">
        <v>91</v>
      </c>
      <c r="BG260" s="2" t="s">
        <v>91</v>
      </c>
      <c r="BH260" s="2" t="s">
        <v>91</v>
      </c>
      <c r="BI260" s="2" t="s">
        <v>98</v>
      </c>
      <c r="BJ260" s="2" t="s">
        <v>91</v>
      </c>
      <c r="BK260" s="2" t="s">
        <v>98</v>
      </c>
      <c r="BL260" s="2" t="s">
        <v>98</v>
      </c>
      <c r="BM260" s="2" t="s">
        <v>91</v>
      </c>
      <c r="BN260" s="2" t="s">
        <v>91</v>
      </c>
      <c r="BO260" s="2" t="s">
        <v>91</v>
      </c>
      <c r="BP260" s="2" t="s">
        <v>91</v>
      </c>
      <c r="BQ260" s="2" t="s">
        <v>91</v>
      </c>
      <c r="BR260" s="2" t="s">
        <v>91</v>
      </c>
      <c r="BS260" s="2" t="s">
        <v>91</v>
      </c>
      <c r="BT260" s="2" t="s">
        <v>91</v>
      </c>
      <c r="BU260" s="2" t="s">
        <v>91</v>
      </c>
      <c r="BV260" s="2" t="s">
        <v>91</v>
      </c>
      <c r="BW260" s="2" t="s">
        <v>98</v>
      </c>
      <c r="BX260" s="2" t="s">
        <v>98</v>
      </c>
      <c r="BY260" s="2" t="s">
        <v>98</v>
      </c>
      <c r="BZ260" s="2" t="s">
        <v>98</v>
      </c>
      <c r="CA260" s="2" t="s">
        <v>98</v>
      </c>
      <c r="CB260">
        <f>TTEST(AS260:AW260,AI260:AM260,2,2)</f>
        <v>3.0502242666130362E-2</v>
      </c>
      <c r="CC260">
        <f>TTEST(AD260:AH260,AI260:AM260,2,2)</f>
        <v>2.6580496357922075E-3</v>
      </c>
      <c r="CD260">
        <f>TTEST(AN260:AR260,AI260:AM260,2,2)</f>
        <v>3.6067650704379062E-2</v>
      </c>
      <c r="CE260" t="e">
        <f>TTEST(AX260:BB260,AI260:AM260,2,2)</f>
        <v>#DIV/0!</v>
      </c>
      <c r="CF260">
        <v>145</v>
      </c>
      <c r="CG260">
        <v>147</v>
      </c>
      <c r="CH260">
        <v>116</v>
      </c>
      <c r="CI260">
        <v>234</v>
      </c>
      <c r="CJ260">
        <f>0.05*CF260/464</f>
        <v>1.5625E-2</v>
      </c>
      <c r="CK260">
        <f>0.05*CG260/464</f>
        <v>1.5840517241379311E-2</v>
      </c>
      <c r="CL260">
        <f>0.05*CH260/464</f>
        <v>1.2500000000000001E-2</v>
      </c>
      <c r="CM260">
        <f>0.05*CI260/464</f>
        <v>2.5215517241379312E-2</v>
      </c>
      <c r="CN260" t="str">
        <f>IF(CB260&lt;CJ260,"yes","no")</f>
        <v>no</v>
      </c>
      <c r="CO260" t="str">
        <f>IF(CC260&lt;CK260,"yes","no")</f>
        <v>yes</v>
      </c>
      <c r="CP260" t="str">
        <f>IF(CD260&lt;CL260,"yes","no")</f>
        <v>no</v>
      </c>
      <c r="CQ260" t="e">
        <f>IF(CE260&lt;CM260,"yes","no")</f>
        <v>#DIV/0!</v>
      </c>
      <c r="CR260">
        <f>TTEST(AS260:AW260,AD260:AH260,2,2)</f>
        <v>6.1279708126973543E-5</v>
      </c>
      <c r="CS260">
        <f>TTEST(AS260:AW260,AN260:AR260,2,2)</f>
        <v>5.0764524661348681E-3</v>
      </c>
      <c r="CT260" t="e">
        <f>TTEST(AS260:AW260,AX260:BB260,2,2)</f>
        <v>#DIV/0!</v>
      </c>
      <c r="CU260">
        <v>121</v>
      </c>
      <c r="CV260">
        <v>119</v>
      </c>
      <c r="CW260">
        <v>259</v>
      </c>
      <c r="CX260">
        <f t="shared" si="12"/>
        <v>1.3038793103448278E-2</v>
      </c>
      <c r="CY260">
        <f t="shared" si="13"/>
        <v>1.2823275862068965E-2</v>
      </c>
      <c r="CZ260">
        <f t="shared" si="14"/>
        <v>2.7909482758620693E-2</v>
      </c>
      <c r="DA260" t="str">
        <f>IF(CR260&lt;CX260,"yes","no")</f>
        <v>yes</v>
      </c>
      <c r="DB260" t="str">
        <f>IF(CS260&lt;CY260,"yes","no")</f>
        <v>yes</v>
      </c>
      <c r="DC260" t="e">
        <f>IF(CT260&lt;CZ260,"yes","no")</f>
        <v>#DIV/0!</v>
      </c>
    </row>
    <row r="261" spans="1:107" x14ac:dyDescent="0.2">
      <c r="A261" s="2" t="b">
        <v>0</v>
      </c>
      <c r="B261" s="2" t="s">
        <v>79</v>
      </c>
      <c r="C261" s="2" t="s">
        <v>80</v>
      </c>
      <c r="D261" s="2" t="s">
        <v>835</v>
      </c>
      <c r="E261" s="2" t="s">
        <v>836</v>
      </c>
      <c r="F261" s="2">
        <v>4</v>
      </c>
      <c r="G261" s="2">
        <v>4</v>
      </c>
      <c r="H261" s="2">
        <v>11.2</v>
      </c>
      <c r="I261" s="2">
        <v>4.88</v>
      </c>
      <c r="J261" s="2" t="s">
        <v>254</v>
      </c>
      <c r="K261" s="2" t="s">
        <v>319</v>
      </c>
      <c r="L261" s="2" t="s">
        <v>83</v>
      </c>
      <c r="M261" s="2" t="s">
        <v>83</v>
      </c>
      <c r="N261" s="2" t="s">
        <v>835</v>
      </c>
      <c r="O261" s="2">
        <v>1.867</v>
      </c>
      <c r="P261" s="2">
        <v>0.66500000000000004</v>
      </c>
      <c r="Q261" s="2">
        <v>0.01</v>
      </c>
      <c r="R261" s="2">
        <v>0.45400000000000001</v>
      </c>
      <c r="S261" s="2" t="s">
        <v>83</v>
      </c>
      <c r="T261" s="2" t="s">
        <v>83</v>
      </c>
      <c r="U261" s="2">
        <v>0.01</v>
      </c>
      <c r="V261" s="2">
        <v>0.378</v>
      </c>
      <c r="W261" s="2">
        <v>0.01</v>
      </c>
      <c r="X261" s="2">
        <v>0.01</v>
      </c>
      <c r="Y261" s="2">
        <v>150</v>
      </c>
      <c r="Z261" s="2">
        <v>120.2</v>
      </c>
      <c r="AA261" s="2">
        <v>170.9</v>
      </c>
      <c r="AB261" s="2">
        <v>58.9</v>
      </c>
      <c r="AC261" s="2" t="s">
        <v>83</v>
      </c>
      <c r="AD261" s="2">
        <v>487975.53125</v>
      </c>
      <c r="AE261" s="2">
        <v>390095.6875</v>
      </c>
      <c r="AF261" s="2">
        <v>374263.671875</v>
      </c>
      <c r="AG261" s="2">
        <v>253106.53125</v>
      </c>
      <c r="AH261" s="2">
        <v>240870.96875</v>
      </c>
      <c r="AI261" s="2">
        <v>5971.72021484375</v>
      </c>
      <c r="AJ261" s="2" t="s">
        <v>83</v>
      </c>
      <c r="AK261" s="2">
        <v>7319.96875</v>
      </c>
      <c r="AL261" s="2" t="s">
        <v>83</v>
      </c>
      <c r="AM261" s="2" t="s">
        <v>83</v>
      </c>
      <c r="AN261" s="2">
        <v>5846.5751953125</v>
      </c>
      <c r="AO261" s="2">
        <v>8978.6103515625</v>
      </c>
      <c r="AP261" s="2" t="s">
        <v>83</v>
      </c>
      <c r="AQ261" s="2" t="s">
        <v>83</v>
      </c>
      <c r="AR261" s="2">
        <v>12321.4853515625</v>
      </c>
      <c r="AS261" s="2">
        <v>19900.541015625</v>
      </c>
      <c r="AT261" s="2">
        <v>32105.783203125</v>
      </c>
      <c r="AU261" s="2" t="s">
        <v>83</v>
      </c>
      <c r="AV261" s="2">
        <v>26946.78125</v>
      </c>
      <c r="AW261" s="2">
        <v>35429.7890625</v>
      </c>
      <c r="AX261" s="2" t="s">
        <v>83</v>
      </c>
      <c r="AY261" s="2" t="s">
        <v>83</v>
      </c>
      <c r="AZ261" s="2" t="s">
        <v>83</v>
      </c>
      <c r="BA261" s="2" t="s">
        <v>83</v>
      </c>
      <c r="BB261" s="2" t="s">
        <v>83</v>
      </c>
      <c r="BC261" s="2" t="s">
        <v>79</v>
      </c>
      <c r="BD261" s="2" t="s">
        <v>79</v>
      </c>
      <c r="BE261" s="2" t="s">
        <v>79</v>
      </c>
      <c r="BF261" s="2" t="s">
        <v>79</v>
      </c>
      <c r="BG261" s="2" t="s">
        <v>79</v>
      </c>
      <c r="BH261" s="2" t="s">
        <v>91</v>
      </c>
      <c r="BI261" s="2" t="s">
        <v>98</v>
      </c>
      <c r="BJ261" s="2" t="s">
        <v>91</v>
      </c>
      <c r="BK261" s="2" t="s">
        <v>98</v>
      </c>
      <c r="BL261" s="2" t="s">
        <v>98</v>
      </c>
      <c r="BM261" s="2" t="s">
        <v>91</v>
      </c>
      <c r="BN261" s="2" t="s">
        <v>91</v>
      </c>
      <c r="BO261" s="2" t="s">
        <v>98</v>
      </c>
      <c r="BP261" s="2" t="s">
        <v>98</v>
      </c>
      <c r="BQ261" s="2" t="s">
        <v>91</v>
      </c>
      <c r="BR261" s="2" t="s">
        <v>79</v>
      </c>
      <c r="BS261" s="2" t="s">
        <v>79</v>
      </c>
      <c r="BT261" s="2" t="s">
        <v>98</v>
      </c>
      <c r="BU261" s="2" t="s">
        <v>79</v>
      </c>
      <c r="BV261" s="2" t="s">
        <v>79</v>
      </c>
      <c r="BW261" s="2" t="s">
        <v>98</v>
      </c>
      <c r="BX261" s="2" t="s">
        <v>98</v>
      </c>
      <c r="BY261" s="2" t="s">
        <v>98</v>
      </c>
      <c r="BZ261" s="2" t="s">
        <v>98</v>
      </c>
      <c r="CA261" s="2" t="s">
        <v>98</v>
      </c>
      <c r="CB261">
        <f>TTEST(AS261:AW261,AI261:AM261,2,2)</f>
        <v>1.2535480230335537E-2</v>
      </c>
      <c r="CC261">
        <f>TTEST(AD261:AH261,AI261:AM261,2,2)</f>
        <v>6.7637572373309349E-3</v>
      </c>
      <c r="CD261">
        <f>TTEST(AN261:AR261,AI261:AM261,2,2)</f>
        <v>0.40156488091465997</v>
      </c>
      <c r="CE261" t="e">
        <f>TTEST(AX261:BB261,AI261:AM261,2,2)</f>
        <v>#DIV/0!</v>
      </c>
      <c r="CF261">
        <v>134</v>
      </c>
      <c r="CG261">
        <v>160</v>
      </c>
      <c r="CH261">
        <v>172</v>
      </c>
      <c r="CI261">
        <v>235</v>
      </c>
      <c r="CJ261">
        <f>0.05*CF261/464</f>
        <v>1.4439655172413794E-2</v>
      </c>
      <c r="CK261">
        <f>0.05*CG261/464</f>
        <v>1.7241379310344827E-2</v>
      </c>
      <c r="CL261">
        <f>0.05*CH261/464</f>
        <v>1.8534482758620689E-2</v>
      </c>
      <c r="CM261">
        <f>0.05*CI261/464</f>
        <v>2.5323275862068964E-2</v>
      </c>
      <c r="CN261" t="str">
        <f>IF(CB261&lt;CJ261,"yes","no")</f>
        <v>yes</v>
      </c>
      <c r="CO261" t="str">
        <f>IF(CC261&lt;CK261,"yes","no")</f>
        <v>yes</v>
      </c>
      <c r="CP261" t="str">
        <f>IF(CD261&lt;CL261,"yes","no")</f>
        <v>no</v>
      </c>
      <c r="CQ261" t="e">
        <f>IF(CE261&lt;CM261,"yes","no")</f>
        <v>#DIV/0!</v>
      </c>
      <c r="CR261">
        <f>TTEST(AS261:AW261,AD261:AH261,2,2)</f>
        <v>4.8013940429727023E-4</v>
      </c>
      <c r="CS261">
        <f>TTEST(AS261:AW261,AN261:AR261,2,2)</f>
        <v>6.1228218349992855E-3</v>
      </c>
      <c r="CT261" t="e">
        <f>TTEST(AS261:AW261,AX261:BB261,2,2)</f>
        <v>#DIV/0!</v>
      </c>
      <c r="CU261">
        <v>153</v>
      </c>
      <c r="CV261">
        <v>123</v>
      </c>
      <c r="CW261">
        <v>260</v>
      </c>
      <c r="CX261">
        <f t="shared" si="12"/>
        <v>1.6487068965517243E-2</v>
      </c>
      <c r="CY261">
        <f t="shared" si="13"/>
        <v>1.3254310344827587E-2</v>
      </c>
      <c r="CZ261">
        <f t="shared" si="14"/>
        <v>2.8017241379310345E-2</v>
      </c>
      <c r="DA261" t="str">
        <f>IF(CR261&lt;CX261,"yes","no")</f>
        <v>yes</v>
      </c>
      <c r="DB261" t="str">
        <f>IF(CS261&lt;CY261,"yes","no")</f>
        <v>yes</v>
      </c>
      <c r="DC261" t="e">
        <f>IF(CT261&lt;CZ261,"yes","no")</f>
        <v>#DIV/0!</v>
      </c>
    </row>
    <row r="262" spans="1:107" x14ac:dyDescent="0.2">
      <c r="A262" s="2" t="b">
        <v>0</v>
      </c>
      <c r="B262" s="2" t="s">
        <v>79</v>
      </c>
      <c r="C262" s="2" t="s">
        <v>80</v>
      </c>
      <c r="D262" s="2" t="s">
        <v>843</v>
      </c>
      <c r="E262" s="2" t="s">
        <v>844</v>
      </c>
      <c r="F262" s="2">
        <v>3</v>
      </c>
      <c r="G262" s="2">
        <v>1</v>
      </c>
      <c r="H262" s="2">
        <v>70.5</v>
      </c>
      <c r="I262" s="2">
        <v>6.24</v>
      </c>
      <c r="J262" s="2" t="s">
        <v>539</v>
      </c>
      <c r="K262" s="2" t="s">
        <v>845</v>
      </c>
      <c r="L262" s="2" t="s">
        <v>119</v>
      </c>
      <c r="M262" s="2" t="s">
        <v>846</v>
      </c>
      <c r="N262" s="2" t="s">
        <v>847</v>
      </c>
      <c r="O262" s="2">
        <v>6.4370000000000003</v>
      </c>
      <c r="P262" s="2">
        <v>0.152</v>
      </c>
      <c r="Q262" s="2">
        <v>0.01</v>
      </c>
      <c r="R262" s="2">
        <v>0.24099999999999999</v>
      </c>
      <c r="S262" s="2">
        <v>1.5349999999999999</v>
      </c>
      <c r="T262" s="2">
        <v>3.6999999999999998E-2</v>
      </c>
      <c r="U262" s="2">
        <v>0.01</v>
      </c>
      <c r="V262" s="2">
        <v>2.4E-2</v>
      </c>
      <c r="W262" s="2">
        <v>0.01</v>
      </c>
      <c r="X262" s="2">
        <v>0.01</v>
      </c>
      <c r="Y262" s="2">
        <v>42</v>
      </c>
      <c r="Z262" s="2">
        <v>171.8</v>
      </c>
      <c r="AA262" s="2">
        <v>279.89999999999998</v>
      </c>
      <c r="AB262" s="2">
        <v>6.4</v>
      </c>
      <c r="AC262" s="2" t="s">
        <v>83</v>
      </c>
      <c r="AD262" s="2">
        <v>279319.5</v>
      </c>
      <c r="AE262" s="2">
        <v>39026.91015625</v>
      </c>
      <c r="AF262" s="2" t="s">
        <v>83</v>
      </c>
      <c r="AG262" s="2">
        <v>503487.9375</v>
      </c>
      <c r="AH262" s="2">
        <v>929272.75</v>
      </c>
      <c r="AI262" s="2">
        <v>38664.595214843801</v>
      </c>
      <c r="AJ262" s="2">
        <v>21865.679199218801</v>
      </c>
      <c r="AK262" s="2">
        <v>18056.750488281301</v>
      </c>
      <c r="AL262" s="2">
        <v>50991.401855468801</v>
      </c>
      <c r="AM262" s="2" t="s">
        <v>83</v>
      </c>
      <c r="AN262" s="2">
        <v>40312.330566406301</v>
      </c>
      <c r="AO262" s="2">
        <v>33052.376220703103</v>
      </c>
      <c r="AP262" s="2">
        <v>80786.435546875</v>
      </c>
      <c r="AQ262" s="2">
        <v>32464.1484375</v>
      </c>
      <c r="AR262" s="2">
        <v>42167.615478515603</v>
      </c>
      <c r="AS262" s="2">
        <v>6004.3515625</v>
      </c>
      <c r="AT262" s="2">
        <v>8031.9814453125</v>
      </c>
      <c r="AU262" s="2" t="s">
        <v>83</v>
      </c>
      <c r="AV262" s="2">
        <v>8235.4892578125</v>
      </c>
      <c r="AW262" s="2">
        <v>10625.984375</v>
      </c>
      <c r="AX262" s="2" t="s">
        <v>83</v>
      </c>
      <c r="AY262" s="2" t="s">
        <v>83</v>
      </c>
      <c r="AZ262" s="2" t="s">
        <v>83</v>
      </c>
      <c r="BA262" s="2" t="s">
        <v>83</v>
      </c>
      <c r="BB262" s="2" t="s">
        <v>83</v>
      </c>
      <c r="BC262" s="2" t="s">
        <v>91</v>
      </c>
      <c r="BD262" s="2" t="s">
        <v>91</v>
      </c>
      <c r="BE262" s="2" t="s">
        <v>79</v>
      </c>
      <c r="BF262" s="2" t="s">
        <v>91</v>
      </c>
      <c r="BG262" s="2" t="s">
        <v>91</v>
      </c>
      <c r="BH262" s="2" t="s">
        <v>91</v>
      </c>
      <c r="BI262" s="2" t="s">
        <v>91</v>
      </c>
      <c r="BJ262" s="2" t="s">
        <v>91</v>
      </c>
      <c r="BK262" s="2" t="s">
        <v>79</v>
      </c>
      <c r="BL262" s="2" t="s">
        <v>98</v>
      </c>
      <c r="BM262" s="2" t="s">
        <v>91</v>
      </c>
      <c r="BN262" s="2" t="s">
        <v>91</v>
      </c>
      <c r="BO262" s="2" t="s">
        <v>79</v>
      </c>
      <c r="BP262" s="2" t="s">
        <v>91</v>
      </c>
      <c r="BQ262" s="2" t="s">
        <v>91</v>
      </c>
      <c r="BR262" s="2" t="s">
        <v>91</v>
      </c>
      <c r="BS262" s="2" t="s">
        <v>91</v>
      </c>
      <c r="BT262" s="2" t="s">
        <v>98</v>
      </c>
      <c r="BU262" s="2" t="s">
        <v>91</v>
      </c>
      <c r="BV262" s="2" t="s">
        <v>91</v>
      </c>
      <c r="BW262" s="2" t="s">
        <v>98</v>
      </c>
      <c r="BX262" s="2" t="s">
        <v>98</v>
      </c>
      <c r="BY262" s="2" t="s">
        <v>98</v>
      </c>
      <c r="BZ262" s="2" t="s">
        <v>98</v>
      </c>
      <c r="CA262" s="2" t="s">
        <v>98</v>
      </c>
      <c r="CB262">
        <f>TTEST(AS262:AW262,AI262:AM262,2,2)</f>
        <v>2.0141182527320878E-2</v>
      </c>
      <c r="CC262">
        <f>TTEST(AD262:AH262,AI262:AM262,2,2)</f>
        <v>7.6173658483758219E-2</v>
      </c>
      <c r="CD262">
        <f>TTEST(AN262:AR262,AI262:AM262,2,2)</f>
        <v>0.30907484766334631</v>
      </c>
      <c r="CE262" t="e">
        <f>TTEST(AX262:BB262,AI262:AM262,2,2)</f>
        <v>#DIV/0!</v>
      </c>
      <c r="CF262">
        <v>137</v>
      </c>
      <c r="CG262">
        <v>186</v>
      </c>
      <c r="CH262">
        <v>156</v>
      </c>
      <c r="CI262">
        <v>236</v>
      </c>
      <c r="CJ262">
        <f>0.05*CF262/464</f>
        <v>1.476293103448276E-2</v>
      </c>
      <c r="CK262">
        <f>0.05*CG262/464</f>
        <v>2.0043103448275864E-2</v>
      </c>
      <c r="CL262">
        <f>0.05*CH262/464</f>
        <v>1.6810344827586209E-2</v>
      </c>
      <c r="CM262">
        <f>0.05*CI262/464</f>
        <v>2.5431034482758623E-2</v>
      </c>
      <c r="CN262" t="str">
        <f>IF(CB262&lt;CJ262,"yes","no")</f>
        <v>no</v>
      </c>
      <c r="CO262" t="str">
        <f>IF(CC262&lt;CK262,"yes","no")</f>
        <v>no</v>
      </c>
      <c r="CP262" t="str">
        <f>IF(CD262&lt;CL262,"yes","no")</f>
        <v>no</v>
      </c>
      <c r="CQ262" t="e">
        <f>IF(CE262&lt;CM262,"yes","no")</f>
        <v>#DIV/0!</v>
      </c>
      <c r="CR262">
        <f>TTEST(AS262:AW262,AD262:AH262,2,2)</f>
        <v>6.3739478306328701E-2</v>
      </c>
      <c r="CS262">
        <f>TTEST(AS262:AW262,AN262:AR262,2,2)</f>
        <v>7.8639766618147956E-3</v>
      </c>
      <c r="CT262" t="e">
        <f>TTEST(AS262:AW262,AX262:BB262,2,2)</f>
        <v>#DIV/0!</v>
      </c>
      <c r="CU262">
        <v>236</v>
      </c>
      <c r="CV262">
        <v>126</v>
      </c>
      <c r="CW262">
        <v>261</v>
      </c>
      <c r="CX262">
        <f t="shared" si="12"/>
        <v>2.5431034482758623E-2</v>
      </c>
      <c r="CY262">
        <f t="shared" si="13"/>
        <v>1.3577586206896553E-2</v>
      </c>
      <c r="CZ262">
        <f t="shared" si="14"/>
        <v>2.8125000000000001E-2</v>
      </c>
      <c r="DA262" t="str">
        <f>IF(CR262&lt;CX262,"yes","no")</f>
        <v>no</v>
      </c>
      <c r="DB262" t="str">
        <f>IF(CS262&lt;CY262,"yes","no")</f>
        <v>yes</v>
      </c>
      <c r="DC262" t="e">
        <f>IF(CT262&lt;CZ262,"yes","no")</f>
        <v>#DIV/0!</v>
      </c>
    </row>
    <row r="263" spans="1:107" x14ac:dyDescent="0.2">
      <c r="A263" s="2" t="b">
        <v>0</v>
      </c>
      <c r="B263" s="2" t="s">
        <v>79</v>
      </c>
      <c r="C263" s="2" t="s">
        <v>80</v>
      </c>
      <c r="D263" s="2" t="s">
        <v>638</v>
      </c>
      <c r="E263" s="2" t="s">
        <v>639</v>
      </c>
      <c r="F263" s="2">
        <v>4</v>
      </c>
      <c r="G263" s="2">
        <v>4</v>
      </c>
      <c r="H263" s="2">
        <v>28.2</v>
      </c>
      <c r="I263" s="2">
        <v>7.8</v>
      </c>
      <c r="J263" s="2" t="s">
        <v>254</v>
      </c>
      <c r="K263" s="2" t="s">
        <v>84</v>
      </c>
      <c r="L263" s="2" t="s">
        <v>83</v>
      </c>
      <c r="M263" s="2" t="s">
        <v>640</v>
      </c>
      <c r="N263" s="2" t="s">
        <v>638</v>
      </c>
      <c r="O263" s="2">
        <v>24.172999999999998</v>
      </c>
      <c r="P263" s="2">
        <v>2.198</v>
      </c>
      <c r="Q263" s="2">
        <v>0.01</v>
      </c>
      <c r="R263" s="2">
        <v>1.3680000000000001</v>
      </c>
      <c r="S263" s="2">
        <v>28.709</v>
      </c>
      <c r="T263" s="2">
        <v>2.5449999999999999</v>
      </c>
      <c r="U263" s="2">
        <v>0.01</v>
      </c>
      <c r="V263" s="2">
        <v>8.2000000000000003E-2</v>
      </c>
      <c r="W263" s="2">
        <v>0.01</v>
      </c>
      <c r="X263" s="2">
        <v>0.01</v>
      </c>
      <c r="Y263" s="2">
        <v>15.7</v>
      </c>
      <c r="Z263" s="2">
        <v>10.1</v>
      </c>
      <c r="AA263" s="2">
        <v>446</v>
      </c>
      <c r="AB263" s="2">
        <v>28.3</v>
      </c>
      <c r="AC263" s="2" t="s">
        <v>83</v>
      </c>
      <c r="AD263" s="2">
        <v>2272096.70703125</v>
      </c>
      <c r="AE263" s="2">
        <v>1726477.2578125</v>
      </c>
      <c r="AF263" s="2">
        <v>1486015.7421875</v>
      </c>
      <c r="AG263" s="2">
        <v>1830689.015625</v>
      </c>
      <c r="AH263" s="2">
        <v>1796645.66796875</v>
      </c>
      <c r="AI263" s="2">
        <v>28452.03125</v>
      </c>
      <c r="AJ263" s="2">
        <v>15542.904296875</v>
      </c>
      <c r="AK263" s="2">
        <v>20909.16015625</v>
      </c>
      <c r="AL263" s="2">
        <v>58451.908203125</v>
      </c>
      <c r="AM263" s="2">
        <v>16598.685546875</v>
      </c>
      <c r="AN263" s="2">
        <v>849483.7578125</v>
      </c>
      <c r="AO263" s="2">
        <v>959056.064453125</v>
      </c>
      <c r="AP263" s="2">
        <v>1203812.1796875</v>
      </c>
      <c r="AQ263" s="2">
        <v>961217.419921875</v>
      </c>
      <c r="AR263" s="2">
        <v>1843882.41015625</v>
      </c>
      <c r="AS263" s="2">
        <v>472986.28027343802</v>
      </c>
      <c r="AT263" s="2">
        <v>637876.1484375</v>
      </c>
      <c r="AU263" s="2">
        <v>501147.462890625</v>
      </c>
      <c r="AV263" s="2">
        <v>526323.0234375</v>
      </c>
      <c r="AW263" s="2">
        <v>482577.59375</v>
      </c>
      <c r="AX263" s="2" t="s">
        <v>83</v>
      </c>
      <c r="AY263" s="2" t="s">
        <v>83</v>
      </c>
      <c r="AZ263" s="2" t="s">
        <v>83</v>
      </c>
      <c r="BA263" s="2" t="s">
        <v>83</v>
      </c>
      <c r="BB263" s="2" t="s">
        <v>83</v>
      </c>
      <c r="BC263" s="2" t="s">
        <v>79</v>
      </c>
      <c r="BD263" s="2" t="s">
        <v>79</v>
      </c>
      <c r="BE263" s="2" t="s">
        <v>79</v>
      </c>
      <c r="BF263" s="2" t="s">
        <v>79</v>
      </c>
      <c r="BG263" s="2" t="s">
        <v>79</v>
      </c>
      <c r="BH263" s="2" t="s">
        <v>91</v>
      </c>
      <c r="BI263" s="2" t="s">
        <v>91</v>
      </c>
      <c r="BJ263" s="2" t="s">
        <v>91</v>
      </c>
      <c r="BK263" s="2" t="s">
        <v>91</v>
      </c>
      <c r="BL263" s="2" t="s">
        <v>91</v>
      </c>
      <c r="BM263" s="2" t="s">
        <v>79</v>
      </c>
      <c r="BN263" s="2" t="s">
        <v>79</v>
      </c>
      <c r="BO263" s="2" t="s">
        <v>79</v>
      </c>
      <c r="BP263" s="2" t="s">
        <v>79</v>
      </c>
      <c r="BQ263" s="2" t="s">
        <v>79</v>
      </c>
      <c r="BR263" s="2" t="s">
        <v>79</v>
      </c>
      <c r="BS263" s="2" t="s">
        <v>79</v>
      </c>
      <c r="BT263" s="2" t="s">
        <v>79</v>
      </c>
      <c r="BU263" s="2" t="s">
        <v>79</v>
      </c>
      <c r="BV263" s="2" t="s">
        <v>79</v>
      </c>
      <c r="BW263" s="2" t="s">
        <v>98</v>
      </c>
      <c r="BX263" s="2" t="s">
        <v>98</v>
      </c>
      <c r="BY263" s="2" t="s">
        <v>98</v>
      </c>
      <c r="BZ263" s="2" t="s">
        <v>98</v>
      </c>
      <c r="CA263" s="2" t="s">
        <v>98</v>
      </c>
      <c r="CB263">
        <f>TTEST(AS263:AW263,AI263:AM263,2,2)</f>
        <v>2.2602802260603547E-7</v>
      </c>
      <c r="CC263">
        <f>TTEST(AD263:AH263,AI263:AM263,2,2)</f>
        <v>6.4195300938520693E-7</v>
      </c>
      <c r="CD263">
        <f>TTEST(AN263:AR263,AI263:AM263,2,2)</f>
        <v>2.2965777104973388E-4</v>
      </c>
      <c r="CE263" t="e">
        <f>TTEST(AX263:BB263,AI263:AM263,2,2)</f>
        <v>#DIV/0!</v>
      </c>
      <c r="CF263">
        <v>3</v>
      </c>
      <c r="CG263">
        <v>47</v>
      </c>
      <c r="CH263">
        <v>57</v>
      </c>
      <c r="CI263">
        <v>237</v>
      </c>
      <c r="CJ263">
        <f>0.05*CF263/464</f>
        <v>3.2327586206896557E-4</v>
      </c>
      <c r="CK263">
        <f>0.05*CG263/464</f>
        <v>5.0646551724137937E-3</v>
      </c>
      <c r="CL263">
        <f>0.05*CH263/464</f>
        <v>6.142241379310345E-3</v>
      </c>
      <c r="CM263">
        <f>0.05*CI263/464</f>
        <v>2.5538793103448278E-2</v>
      </c>
      <c r="CN263" t="str">
        <f>IF(CB263&lt;CJ263,"yes","no")</f>
        <v>yes</v>
      </c>
      <c r="CO263" t="str">
        <f>IF(CC263&lt;CK263,"yes","no")</f>
        <v>yes</v>
      </c>
      <c r="CP263" t="str">
        <f>IF(CD263&lt;CL263,"yes","no")</f>
        <v>yes</v>
      </c>
      <c r="CQ263" t="e">
        <f>IF(CE263&lt;CM263,"yes","no")</f>
        <v>#DIV/0!</v>
      </c>
      <c r="CR263">
        <f>TTEST(AS263:AW263,AD263:AH263,2,2)</f>
        <v>9.0718421337319961E-6</v>
      </c>
      <c r="CS263">
        <f>TTEST(AS263:AW263,AN263:AR263,2,2)</f>
        <v>7.9673675680706317E-3</v>
      </c>
      <c r="CT263" t="e">
        <f>TTEST(AS263:AW263,AX263:BB263,2,2)</f>
        <v>#DIV/0!</v>
      </c>
      <c r="CU263">
        <v>96</v>
      </c>
      <c r="CV263">
        <v>127</v>
      </c>
      <c r="CW263">
        <v>262</v>
      </c>
      <c r="CX263">
        <f t="shared" si="12"/>
        <v>1.0344827586206898E-2</v>
      </c>
      <c r="CY263">
        <f t="shared" si="13"/>
        <v>1.3685344827586208E-2</v>
      </c>
      <c r="CZ263">
        <f t="shared" si="14"/>
        <v>2.823275862068966E-2</v>
      </c>
      <c r="DA263" t="str">
        <f>IF(CR263&lt;CX263,"yes","no")</f>
        <v>yes</v>
      </c>
      <c r="DB263" t="str">
        <f>IF(CS263&lt;CY263,"yes","no")</f>
        <v>yes</v>
      </c>
      <c r="DC263" t="e">
        <f>IF(CT263&lt;CZ263,"yes","no")</f>
        <v>#DIV/0!</v>
      </c>
    </row>
    <row r="264" spans="1:107" x14ac:dyDescent="0.2">
      <c r="A264" s="2" t="b">
        <v>0</v>
      </c>
      <c r="B264" s="2" t="s">
        <v>79</v>
      </c>
      <c r="C264" s="2" t="s">
        <v>80</v>
      </c>
      <c r="D264" s="2" t="s">
        <v>656</v>
      </c>
      <c r="E264" s="2" t="s">
        <v>657</v>
      </c>
      <c r="F264" s="2">
        <v>4</v>
      </c>
      <c r="G264" s="2">
        <v>2</v>
      </c>
      <c r="H264" s="2">
        <v>51.7</v>
      </c>
      <c r="I264" s="2">
        <v>5.21</v>
      </c>
      <c r="J264" s="2" t="s">
        <v>83</v>
      </c>
      <c r="K264" s="2" t="s">
        <v>83</v>
      </c>
      <c r="L264" s="2" t="s">
        <v>83</v>
      </c>
      <c r="M264" s="2" t="s">
        <v>658</v>
      </c>
      <c r="N264" s="2" t="s">
        <v>656</v>
      </c>
      <c r="O264" s="2">
        <v>2.915</v>
      </c>
      <c r="P264" s="2">
        <v>0.45800000000000002</v>
      </c>
      <c r="Q264" s="2">
        <v>0.01</v>
      </c>
      <c r="R264" s="2">
        <v>0.372</v>
      </c>
      <c r="S264" s="2">
        <v>1.4650000000000001</v>
      </c>
      <c r="T264" s="2">
        <v>0.25600000000000001</v>
      </c>
      <c r="U264" s="2">
        <v>0.01</v>
      </c>
      <c r="V264" s="2">
        <v>0.152</v>
      </c>
      <c r="W264" s="2">
        <v>0.01</v>
      </c>
      <c r="X264" s="2">
        <v>0.01</v>
      </c>
      <c r="Y264" s="2">
        <v>67.3</v>
      </c>
      <c r="Z264" s="2">
        <v>190.3</v>
      </c>
      <c r="AA264" s="2">
        <v>200</v>
      </c>
      <c r="AB264" s="2">
        <v>42.4</v>
      </c>
      <c r="AC264" s="2" t="s">
        <v>83</v>
      </c>
      <c r="AD264" s="2">
        <v>810021.6328125</v>
      </c>
      <c r="AE264" s="2">
        <v>517578.05078125</v>
      </c>
      <c r="AF264" s="2">
        <v>589152.46484375</v>
      </c>
      <c r="AG264" s="2">
        <v>1244241.65625</v>
      </c>
      <c r="AH264" s="2">
        <v>893445.65625</v>
      </c>
      <c r="AI264" s="2">
        <v>39714.44140625</v>
      </c>
      <c r="AJ264" s="2">
        <v>50666.8291015625</v>
      </c>
      <c r="AK264" s="2">
        <v>19835.888671875</v>
      </c>
      <c r="AL264" s="2" t="s">
        <v>83</v>
      </c>
      <c r="AM264" s="2">
        <v>36407.876953125</v>
      </c>
      <c r="AN264" s="2">
        <v>45353.0791015625</v>
      </c>
      <c r="AO264" s="2">
        <v>54433.531738281301</v>
      </c>
      <c r="AP264" s="2">
        <v>46383.4345703125</v>
      </c>
      <c r="AQ264" s="2">
        <v>16221.0361328125</v>
      </c>
      <c r="AR264" s="2">
        <v>53482.849609375</v>
      </c>
      <c r="AS264" s="2">
        <v>74133.181640625</v>
      </c>
      <c r="AT264" s="2">
        <v>90593.169921875</v>
      </c>
      <c r="AU264" s="2">
        <v>66437.580078125</v>
      </c>
      <c r="AV264" s="2">
        <v>64398.0751953125</v>
      </c>
      <c r="AW264" s="2">
        <v>65434.73828125</v>
      </c>
      <c r="AX264" s="2" t="s">
        <v>83</v>
      </c>
      <c r="AY264" s="2" t="s">
        <v>83</v>
      </c>
      <c r="AZ264" s="2" t="s">
        <v>83</v>
      </c>
      <c r="BA264" s="2" t="s">
        <v>83</v>
      </c>
      <c r="BB264" s="2" t="s">
        <v>83</v>
      </c>
      <c r="BC264" s="2" t="s">
        <v>79</v>
      </c>
      <c r="BD264" s="2" t="s">
        <v>79</v>
      </c>
      <c r="BE264" s="2" t="s">
        <v>79</v>
      </c>
      <c r="BF264" s="2" t="s">
        <v>79</v>
      </c>
      <c r="BG264" s="2" t="s">
        <v>79</v>
      </c>
      <c r="BH264" s="2" t="s">
        <v>91</v>
      </c>
      <c r="BI264" s="2" t="s">
        <v>91</v>
      </c>
      <c r="BJ264" s="2" t="s">
        <v>91</v>
      </c>
      <c r="BK264" s="2" t="s">
        <v>98</v>
      </c>
      <c r="BL264" s="2" t="s">
        <v>91</v>
      </c>
      <c r="BM264" s="2" t="s">
        <v>91</v>
      </c>
      <c r="BN264" s="2" t="s">
        <v>91</v>
      </c>
      <c r="BO264" s="2" t="s">
        <v>79</v>
      </c>
      <c r="BP264" s="2" t="s">
        <v>91</v>
      </c>
      <c r="BQ264" s="2" t="s">
        <v>79</v>
      </c>
      <c r="BR264" s="2" t="s">
        <v>91</v>
      </c>
      <c r="BS264" s="2" t="s">
        <v>79</v>
      </c>
      <c r="BT264" s="2" t="s">
        <v>79</v>
      </c>
      <c r="BU264" s="2" t="s">
        <v>79</v>
      </c>
      <c r="BV264" s="2" t="s">
        <v>79</v>
      </c>
      <c r="BW264" s="2" t="s">
        <v>98</v>
      </c>
      <c r="BX264" s="2" t="s">
        <v>98</v>
      </c>
      <c r="BY264" s="2" t="s">
        <v>98</v>
      </c>
      <c r="BZ264" s="2" t="s">
        <v>98</v>
      </c>
      <c r="CA264" s="2" t="s">
        <v>98</v>
      </c>
      <c r="CB264">
        <f>TTEST(AS264:AW264,AI264:AM264,2,2)</f>
        <v>2.798955279127705E-3</v>
      </c>
      <c r="CC264">
        <f>TTEST(AD264:AH264,AI264:AM264,2,2)</f>
        <v>1.1073325069307369E-3</v>
      </c>
      <c r="CD264">
        <f>TTEST(AN264:AR264,AI264:AM264,2,2)</f>
        <v>0.52306995000402245</v>
      </c>
      <c r="CE264" t="e">
        <f>TTEST(AX264:BB264,AI264:AM264,2,2)</f>
        <v>#DIV/0!</v>
      </c>
      <c r="CF264">
        <v>114</v>
      </c>
      <c r="CG264">
        <v>135</v>
      </c>
      <c r="CH264">
        <v>190</v>
      </c>
      <c r="CI264">
        <v>238</v>
      </c>
      <c r="CJ264">
        <f>0.05*CF264/464</f>
        <v>1.228448275862069E-2</v>
      </c>
      <c r="CK264">
        <f>0.05*CG264/464</f>
        <v>1.4547413793103448E-2</v>
      </c>
      <c r="CL264">
        <f>0.05*CH264/464</f>
        <v>2.0474137931034482E-2</v>
      </c>
      <c r="CM264">
        <f>0.05*CI264/464</f>
        <v>2.564655172413793E-2</v>
      </c>
      <c r="CN264" t="str">
        <f>IF(CB264&lt;CJ264,"yes","no")</f>
        <v>yes</v>
      </c>
      <c r="CO264" t="str">
        <f>IF(CC264&lt;CK264,"yes","no")</f>
        <v>yes</v>
      </c>
      <c r="CP264" t="str">
        <f>IF(CD264&lt;CL264,"yes","no")</f>
        <v>no</v>
      </c>
      <c r="CQ264" t="e">
        <f>IF(CE264&lt;CM264,"yes","no")</f>
        <v>#DIV/0!</v>
      </c>
      <c r="CR264">
        <f>TTEST(AS264:AW264,AD264:AH264,2,2)</f>
        <v>4.2990877710497326E-4</v>
      </c>
      <c r="CS264">
        <f>TTEST(AS264:AW264,AN264:AR264,2,2)</f>
        <v>9.3438088565902001E-3</v>
      </c>
      <c r="CT264" t="e">
        <f>TTEST(AS264:AW264,AX264:BB264,2,2)</f>
        <v>#DIV/0!</v>
      </c>
      <c r="CU264">
        <v>152</v>
      </c>
      <c r="CV264">
        <v>130</v>
      </c>
      <c r="CW264">
        <v>263</v>
      </c>
      <c r="CX264">
        <f t="shared" si="12"/>
        <v>1.6379310344827588E-2</v>
      </c>
      <c r="CY264">
        <f t="shared" si="13"/>
        <v>1.4008620689655173E-2</v>
      </c>
      <c r="CZ264">
        <f t="shared" si="14"/>
        <v>2.8340517241379311E-2</v>
      </c>
      <c r="DA264" t="str">
        <f>IF(CR264&lt;CX264,"yes","no")</f>
        <v>yes</v>
      </c>
      <c r="DB264" t="str">
        <f>IF(CS264&lt;CY264,"yes","no")</f>
        <v>yes</v>
      </c>
      <c r="DC264" t="e">
        <f>IF(CT264&lt;CZ264,"yes","no")</f>
        <v>#DIV/0!</v>
      </c>
    </row>
    <row r="265" spans="1:107" x14ac:dyDescent="0.2">
      <c r="A265" s="2" t="b">
        <v>0</v>
      </c>
      <c r="B265" s="2" t="s">
        <v>79</v>
      </c>
      <c r="C265" s="2" t="s">
        <v>80</v>
      </c>
      <c r="D265" s="2" t="s">
        <v>978</v>
      </c>
      <c r="E265" s="2" t="s">
        <v>979</v>
      </c>
      <c r="F265" s="2">
        <v>2</v>
      </c>
      <c r="G265" s="2">
        <v>2</v>
      </c>
      <c r="H265" s="2">
        <v>70.099999999999994</v>
      </c>
      <c r="I265" s="2">
        <v>5.45</v>
      </c>
      <c r="J265" s="2" t="s">
        <v>980</v>
      </c>
      <c r="K265" s="2" t="s">
        <v>509</v>
      </c>
      <c r="L265" s="2" t="s">
        <v>83</v>
      </c>
      <c r="M265" s="2" t="s">
        <v>981</v>
      </c>
      <c r="N265" s="2" t="s">
        <v>978</v>
      </c>
      <c r="O265" s="2">
        <v>2.1030000000000002</v>
      </c>
      <c r="P265" s="2">
        <v>1.9390000000000001</v>
      </c>
      <c r="Q265" s="2">
        <v>0.01</v>
      </c>
      <c r="R265" s="2">
        <v>0.628</v>
      </c>
      <c r="S265" s="2">
        <v>0.90200000000000002</v>
      </c>
      <c r="T265" s="2" t="s">
        <v>83</v>
      </c>
      <c r="U265" s="2">
        <v>0.01</v>
      </c>
      <c r="V265" s="2">
        <v>0.8</v>
      </c>
      <c r="W265" s="2">
        <v>0.01</v>
      </c>
      <c r="X265" s="2">
        <v>0.01</v>
      </c>
      <c r="Y265" s="2">
        <v>120.7</v>
      </c>
      <c r="Z265" s="2">
        <v>125.4</v>
      </c>
      <c r="AA265" s="2">
        <v>164.1</v>
      </c>
      <c r="AB265" s="2">
        <v>89.8</v>
      </c>
      <c r="AC265" s="2" t="s">
        <v>83</v>
      </c>
      <c r="AD265" s="2">
        <v>381652.734375</v>
      </c>
      <c r="AE265" s="2">
        <v>386901.109375</v>
      </c>
      <c r="AF265" s="2">
        <v>290954.125</v>
      </c>
      <c r="AG265" s="2">
        <v>385950.6875</v>
      </c>
      <c r="AH265" s="2">
        <v>284522.421875</v>
      </c>
      <c r="AI265" s="2">
        <v>11737.3095703125</v>
      </c>
      <c r="AJ265" s="2" t="s">
        <v>83</v>
      </c>
      <c r="AK265" s="2" t="s">
        <v>83</v>
      </c>
      <c r="AL265" s="2">
        <v>6705.33349609375</v>
      </c>
      <c r="AM265" s="2" t="s">
        <v>83</v>
      </c>
      <c r="AN265" s="2" t="s">
        <v>83</v>
      </c>
      <c r="AO265" s="2" t="s">
        <v>83</v>
      </c>
      <c r="AP265" s="2">
        <v>15992.5849609375</v>
      </c>
      <c r="AQ265" s="2">
        <v>6693.68896484375</v>
      </c>
      <c r="AR265" s="2" t="s">
        <v>83</v>
      </c>
      <c r="AS265" s="2">
        <v>31394.47265625</v>
      </c>
      <c r="AT265" s="2">
        <v>51852.48046875</v>
      </c>
      <c r="AU265" s="2">
        <v>47496.650390625</v>
      </c>
      <c r="AV265" s="2">
        <v>36000.90234375</v>
      </c>
      <c r="AW265" s="2">
        <v>60355.228515625</v>
      </c>
      <c r="AX265" s="2" t="s">
        <v>83</v>
      </c>
      <c r="AY265" s="2" t="s">
        <v>83</v>
      </c>
      <c r="AZ265" s="2" t="s">
        <v>83</v>
      </c>
      <c r="BA265" s="2" t="s">
        <v>83</v>
      </c>
      <c r="BB265" s="2" t="s">
        <v>83</v>
      </c>
      <c r="BC265" s="2" t="s">
        <v>79</v>
      </c>
      <c r="BD265" s="2" t="s">
        <v>79</v>
      </c>
      <c r="BE265" s="2" t="s">
        <v>79</v>
      </c>
      <c r="BF265" s="2" t="s">
        <v>79</v>
      </c>
      <c r="BG265" s="2" t="s">
        <v>79</v>
      </c>
      <c r="BH265" s="2" t="s">
        <v>91</v>
      </c>
      <c r="BI265" s="2" t="s">
        <v>98</v>
      </c>
      <c r="BJ265" s="2" t="s">
        <v>98</v>
      </c>
      <c r="BK265" s="2" t="s">
        <v>91</v>
      </c>
      <c r="BL265" s="2" t="s">
        <v>98</v>
      </c>
      <c r="BM265" s="2" t="s">
        <v>98</v>
      </c>
      <c r="BN265" s="2" t="s">
        <v>98</v>
      </c>
      <c r="BO265" s="2" t="s">
        <v>91</v>
      </c>
      <c r="BP265" s="2" t="s">
        <v>91</v>
      </c>
      <c r="BQ265" s="2" t="s">
        <v>98</v>
      </c>
      <c r="BR265" s="2" t="s">
        <v>79</v>
      </c>
      <c r="BS265" s="2" t="s">
        <v>79</v>
      </c>
      <c r="BT265" s="2" t="s">
        <v>79</v>
      </c>
      <c r="BU265" s="2" t="s">
        <v>79</v>
      </c>
      <c r="BV265" s="2" t="s">
        <v>79</v>
      </c>
      <c r="BW265" s="2" t="s">
        <v>98</v>
      </c>
      <c r="BX265" s="2" t="s">
        <v>98</v>
      </c>
      <c r="BY265" s="2" t="s">
        <v>98</v>
      </c>
      <c r="BZ265" s="2" t="s">
        <v>98</v>
      </c>
      <c r="CA265" s="2" t="s">
        <v>98</v>
      </c>
      <c r="CB265">
        <f>TTEST(AS265:AW265,AI265:AM265,2,2)</f>
        <v>9.6960985836651113E-3</v>
      </c>
      <c r="CC265">
        <f>TTEST(AD265:AH265,AI265:AM265,2,2)</f>
        <v>3.8233598117182329E-4</v>
      </c>
      <c r="CD265">
        <f>TTEST(AN265:AR265,AI265:AM265,2,2)</f>
        <v>0.72697707933935529</v>
      </c>
      <c r="CE265" t="e">
        <f>TTEST(AX265:BB265,AI265:AM265,2,2)</f>
        <v>#DIV/0!</v>
      </c>
      <c r="CF265">
        <v>131</v>
      </c>
      <c r="CG265">
        <v>124</v>
      </c>
      <c r="CH265">
        <v>211</v>
      </c>
      <c r="CI265">
        <v>239</v>
      </c>
      <c r="CJ265">
        <f>0.05*CF265/464</f>
        <v>1.411637931034483E-2</v>
      </c>
      <c r="CK265">
        <f>0.05*CG265/464</f>
        <v>1.3362068965517242E-2</v>
      </c>
      <c r="CL265">
        <f>0.05*CH265/464</f>
        <v>2.2737068965517242E-2</v>
      </c>
      <c r="CM265">
        <f>0.05*CI265/464</f>
        <v>2.5754310344827589E-2</v>
      </c>
      <c r="CN265" t="str">
        <f>IF(CB265&lt;CJ265,"yes","no")</f>
        <v>yes</v>
      </c>
      <c r="CO265" t="str">
        <f>IF(CC265&lt;CK265,"yes","no")</f>
        <v>yes</v>
      </c>
      <c r="CP265" t="str">
        <f>IF(CD265&lt;CL265,"yes","no")</f>
        <v>no</v>
      </c>
      <c r="CQ265" t="e">
        <f>IF(CE265&lt;CM265,"yes","no")</f>
        <v>#DIV/0!</v>
      </c>
      <c r="CR265">
        <f>TTEST(AS265:AW265,AD265:AH265,2,2)</f>
        <v>1.753345164018277E-6</v>
      </c>
      <c r="CS265">
        <f>TTEST(AS265:AW265,AN265:AR265,2,2)</f>
        <v>1.3625761677772163E-2</v>
      </c>
      <c r="CT265" t="e">
        <f>TTEST(AS265:AW265,AX265:BB265,2,2)</f>
        <v>#DIV/0!</v>
      </c>
      <c r="CU265">
        <v>63</v>
      </c>
      <c r="CV265">
        <v>137</v>
      </c>
      <c r="CW265">
        <v>264</v>
      </c>
      <c r="CX265">
        <f t="shared" si="12"/>
        <v>6.7887931034482764E-3</v>
      </c>
      <c r="CY265">
        <f t="shared" si="13"/>
        <v>1.476293103448276E-2</v>
      </c>
      <c r="CZ265">
        <f t="shared" si="14"/>
        <v>2.8448275862068967E-2</v>
      </c>
      <c r="DA265" t="str">
        <f>IF(CR265&lt;CX265,"yes","no")</f>
        <v>yes</v>
      </c>
      <c r="DB265" t="str">
        <f>IF(CS265&lt;CY265,"yes","no")</f>
        <v>yes</v>
      </c>
      <c r="DC265" t="e">
        <f>IF(CT265&lt;CZ265,"yes","no")</f>
        <v>#DIV/0!</v>
      </c>
    </row>
    <row r="266" spans="1:107" x14ac:dyDescent="0.2">
      <c r="A266" s="2" t="b">
        <v>0</v>
      </c>
      <c r="B266" s="2" t="s">
        <v>79</v>
      </c>
      <c r="C266" s="2" t="s">
        <v>80</v>
      </c>
      <c r="D266" s="2" t="s">
        <v>920</v>
      </c>
      <c r="E266" s="2" t="s">
        <v>921</v>
      </c>
      <c r="F266" s="2">
        <v>1</v>
      </c>
      <c r="G266" s="2">
        <v>1</v>
      </c>
      <c r="H266" s="2">
        <v>12.7</v>
      </c>
      <c r="I266" s="2">
        <v>5.96</v>
      </c>
      <c r="J266" s="2" t="s">
        <v>83</v>
      </c>
      <c r="K266" s="2" t="s">
        <v>83</v>
      </c>
      <c r="L266" s="2" t="s">
        <v>83</v>
      </c>
      <c r="M266" s="2" t="s">
        <v>83</v>
      </c>
      <c r="N266" s="2" t="s">
        <v>920</v>
      </c>
      <c r="O266" s="2">
        <v>1.9570000000000001</v>
      </c>
      <c r="P266" s="2">
        <v>0.78100000000000003</v>
      </c>
      <c r="Q266" s="2">
        <v>0.01</v>
      </c>
      <c r="R266" s="2">
        <v>100</v>
      </c>
      <c r="S266" s="2">
        <v>100</v>
      </c>
      <c r="T266" s="2">
        <v>100</v>
      </c>
      <c r="U266" s="2" t="s">
        <v>83</v>
      </c>
      <c r="V266" s="2">
        <v>0.39900000000000002</v>
      </c>
      <c r="W266" s="2">
        <v>0.01</v>
      </c>
      <c r="X266" s="2">
        <v>0.01</v>
      </c>
      <c r="Y266" s="2">
        <v>133.80000000000001</v>
      </c>
      <c r="Z266" s="2" t="s">
        <v>83</v>
      </c>
      <c r="AA266" s="2">
        <v>261.8</v>
      </c>
      <c r="AB266" s="2">
        <v>104.5</v>
      </c>
      <c r="AC266" s="2" t="s">
        <v>83</v>
      </c>
      <c r="AD266" s="2">
        <v>406122.6875</v>
      </c>
      <c r="AE266" s="2">
        <v>321504.96875</v>
      </c>
      <c r="AF266" s="2">
        <v>355695.09375</v>
      </c>
      <c r="AG266" s="2">
        <v>405443.875</v>
      </c>
      <c r="AH266" s="2">
        <v>333043.375</v>
      </c>
      <c r="AI266" s="2" t="s">
        <v>83</v>
      </c>
      <c r="AJ266" s="2" t="s">
        <v>83</v>
      </c>
      <c r="AK266" s="2" t="s">
        <v>83</v>
      </c>
      <c r="AL266" s="2" t="s">
        <v>83</v>
      </c>
      <c r="AM266" s="2" t="s">
        <v>83</v>
      </c>
      <c r="AN266" s="2" t="s">
        <v>83</v>
      </c>
      <c r="AO266" s="2">
        <v>10109.63671875</v>
      </c>
      <c r="AP266" s="2">
        <v>23226.802734375</v>
      </c>
      <c r="AQ266" s="2">
        <v>15070.8505859375</v>
      </c>
      <c r="AR266" s="2" t="s">
        <v>83</v>
      </c>
      <c r="AS266" s="2">
        <v>57352.5390625</v>
      </c>
      <c r="AT266" s="2">
        <v>59172.4140625</v>
      </c>
      <c r="AU266" s="2">
        <v>31395.76953125</v>
      </c>
      <c r="AV266" s="2">
        <v>36639.6953125</v>
      </c>
      <c r="AW266" s="2">
        <v>73988.109375</v>
      </c>
      <c r="AX266" s="2" t="s">
        <v>83</v>
      </c>
      <c r="AY266" s="2" t="s">
        <v>83</v>
      </c>
      <c r="AZ266" s="2" t="s">
        <v>83</v>
      </c>
      <c r="BA266" s="2" t="s">
        <v>83</v>
      </c>
      <c r="BB266" s="2" t="s">
        <v>83</v>
      </c>
      <c r="BC266" s="2" t="s">
        <v>79</v>
      </c>
      <c r="BD266" s="2" t="s">
        <v>79</v>
      </c>
      <c r="BE266" s="2" t="s">
        <v>79</v>
      </c>
      <c r="BF266" s="2" t="s">
        <v>79</v>
      </c>
      <c r="BG266" s="2" t="s">
        <v>79</v>
      </c>
      <c r="BH266" s="2" t="s">
        <v>98</v>
      </c>
      <c r="BI266" s="2" t="s">
        <v>98</v>
      </c>
      <c r="BJ266" s="2" t="s">
        <v>98</v>
      </c>
      <c r="BK266" s="2" t="s">
        <v>98</v>
      </c>
      <c r="BL266" s="2" t="s">
        <v>98</v>
      </c>
      <c r="BM266" s="2" t="s">
        <v>98</v>
      </c>
      <c r="BN266" s="2" t="s">
        <v>91</v>
      </c>
      <c r="BO266" s="2" t="s">
        <v>91</v>
      </c>
      <c r="BP266" s="2" t="s">
        <v>91</v>
      </c>
      <c r="BQ266" s="2" t="s">
        <v>98</v>
      </c>
      <c r="BR266" s="2" t="s">
        <v>91</v>
      </c>
      <c r="BS266" s="2" t="s">
        <v>79</v>
      </c>
      <c r="BT266" s="2" t="s">
        <v>91</v>
      </c>
      <c r="BU266" s="2" t="s">
        <v>91</v>
      </c>
      <c r="BV266" s="2" t="s">
        <v>79</v>
      </c>
      <c r="BW266" s="2" t="s">
        <v>98</v>
      </c>
      <c r="BX266" s="2" t="s">
        <v>98</v>
      </c>
      <c r="BY266" s="2" t="s">
        <v>98</v>
      </c>
      <c r="BZ266" s="2" t="s">
        <v>98</v>
      </c>
      <c r="CA266" s="2" t="s">
        <v>98</v>
      </c>
      <c r="CB266" t="e">
        <f>TTEST(AS266:AW266,AI266:AM266,2,2)</f>
        <v>#DIV/0!</v>
      </c>
      <c r="CC266" t="e">
        <f>TTEST(AD266:AH266,AI266:AM266,2,2)</f>
        <v>#DIV/0!</v>
      </c>
      <c r="CD266" t="e">
        <f>TTEST(AN266:AR266,AI266:AM266,2,2)</f>
        <v>#DIV/0!</v>
      </c>
      <c r="CE266" t="e">
        <f>TTEST(AX266:BB266,AI266:AM266,2,2)</f>
        <v>#DIV/0!</v>
      </c>
      <c r="CF266">
        <v>235</v>
      </c>
      <c r="CG266">
        <v>249</v>
      </c>
      <c r="CH266">
        <v>253</v>
      </c>
      <c r="CI266">
        <v>240</v>
      </c>
      <c r="CJ266">
        <f>0.05*CF266/464</f>
        <v>2.5323275862068964E-2</v>
      </c>
      <c r="CK266">
        <f>0.05*CG266/464</f>
        <v>2.683189655172414E-2</v>
      </c>
      <c r="CL266">
        <f>0.05*CH266/464</f>
        <v>2.7262931034482761E-2</v>
      </c>
      <c r="CM266">
        <f>0.05*CI266/464</f>
        <v>2.5862068965517241E-2</v>
      </c>
      <c r="CN266" t="e">
        <f>IF(CB266&lt;CJ266,"yes","no")</f>
        <v>#DIV/0!</v>
      </c>
      <c r="CO266" t="e">
        <f>IF(CC266&lt;CK266,"yes","no")</f>
        <v>#DIV/0!</v>
      </c>
      <c r="CP266" t="e">
        <f>IF(CD266&lt;CL266,"yes","no")</f>
        <v>#DIV/0!</v>
      </c>
      <c r="CQ266" t="e">
        <f>IF(CE266&lt;CM266,"yes","no")</f>
        <v>#DIV/0!</v>
      </c>
      <c r="CR266">
        <f>TTEST(AS266:AW266,AD266:AH266,2,2)</f>
        <v>2.2302840909327128E-7</v>
      </c>
      <c r="CS266">
        <f>TTEST(AS266:AW266,AN266:AR266,2,2)</f>
        <v>1.6511583063102516E-2</v>
      </c>
      <c r="CT266" t="e">
        <f>TTEST(AS266:AW266,AX266:BB266,2,2)</f>
        <v>#DIV/0!</v>
      </c>
      <c r="CU266">
        <v>21</v>
      </c>
      <c r="CV266">
        <v>139</v>
      </c>
      <c r="CW266">
        <v>265</v>
      </c>
      <c r="CX266">
        <f t="shared" si="12"/>
        <v>2.2629310344827588E-3</v>
      </c>
      <c r="CY266">
        <f t="shared" si="13"/>
        <v>1.4978448275862069E-2</v>
      </c>
      <c r="CZ266">
        <f t="shared" si="14"/>
        <v>2.8556034482758622E-2</v>
      </c>
      <c r="DA266" t="str">
        <f>IF(CR266&lt;CX266,"yes","no")</f>
        <v>yes</v>
      </c>
      <c r="DB266" t="str">
        <f>IF(CS266&lt;CY266,"yes","no")</f>
        <v>no</v>
      </c>
      <c r="DC266" t="e">
        <f>IF(CT266&lt;CZ266,"yes","no")</f>
        <v>#DIV/0!</v>
      </c>
    </row>
    <row r="267" spans="1:107" x14ac:dyDescent="0.2">
      <c r="A267" s="2" t="b">
        <v>0</v>
      </c>
      <c r="B267" s="2" t="s">
        <v>79</v>
      </c>
      <c r="C267" s="2" t="s">
        <v>80</v>
      </c>
      <c r="D267" s="2" t="s">
        <v>620</v>
      </c>
      <c r="E267" s="2" t="s">
        <v>621</v>
      </c>
      <c r="F267" s="2">
        <v>7</v>
      </c>
      <c r="G267" s="2">
        <v>7</v>
      </c>
      <c r="H267" s="2">
        <v>65.2</v>
      </c>
      <c r="I267" s="2">
        <v>6.1</v>
      </c>
      <c r="J267" s="2" t="s">
        <v>168</v>
      </c>
      <c r="K267" s="2" t="s">
        <v>179</v>
      </c>
      <c r="L267" s="2" t="s">
        <v>83</v>
      </c>
      <c r="M267" s="2" t="s">
        <v>622</v>
      </c>
      <c r="N267" s="2" t="s">
        <v>620</v>
      </c>
      <c r="O267" s="2">
        <v>5.782</v>
      </c>
      <c r="P267" s="2">
        <v>0.30399999999999999</v>
      </c>
      <c r="Q267" s="2">
        <v>0.01</v>
      </c>
      <c r="R267" s="2">
        <v>0.46500000000000002</v>
      </c>
      <c r="S267" s="2">
        <v>5.0599999999999996</v>
      </c>
      <c r="T267" s="2">
        <v>1.325</v>
      </c>
      <c r="U267" s="2">
        <v>0.01</v>
      </c>
      <c r="V267" s="2">
        <v>0.16400000000000001</v>
      </c>
      <c r="W267" s="2">
        <v>0.01</v>
      </c>
      <c r="X267" s="2">
        <v>0.01</v>
      </c>
      <c r="Y267" s="2">
        <v>89.6</v>
      </c>
      <c r="Z267" s="2">
        <v>32.299999999999997</v>
      </c>
      <c r="AA267" s="2">
        <v>373.5</v>
      </c>
      <c r="AB267" s="2">
        <v>4.7</v>
      </c>
      <c r="AC267" s="2" t="s">
        <v>83</v>
      </c>
      <c r="AD267" s="2">
        <v>1724041.7421875</v>
      </c>
      <c r="AE267" s="2">
        <v>1457157.47265625</v>
      </c>
      <c r="AF267" s="2">
        <v>1282162.69140625</v>
      </c>
      <c r="AG267" s="2">
        <v>935321.9140625</v>
      </c>
      <c r="AH267" s="2">
        <v>830695.71875</v>
      </c>
      <c r="AI267" s="2">
        <v>9386.087890625</v>
      </c>
      <c r="AJ267" s="2">
        <v>11792.564453125</v>
      </c>
      <c r="AK267" s="2">
        <v>9185.4697265625</v>
      </c>
      <c r="AL267" s="2">
        <v>11590.828125</v>
      </c>
      <c r="AM267" s="2">
        <v>13997.0556640625</v>
      </c>
      <c r="AN267" s="2">
        <v>97787.876464843794</v>
      </c>
      <c r="AO267" s="2">
        <v>104189.2578125</v>
      </c>
      <c r="AP267" s="2">
        <v>149166.44580078099</v>
      </c>
      <c r="AQ267" s="2">
        <v>107510.131347656</v>
      </c>
      <c r="AR267" s="2">
        <v>127371.03125</v>
      </c>
      <c r="AS267" s="2">
        <v>10784.052734375</v>
      </c>
      <c r="AT267" s="2">
        <v>13515.5458984375</v>
      </c>
      <c r="AU267" s="2">
        <v>94381.5234375</v>
      </c>
      <c r="AV267" s="2" t="s">
        <v>83</v>
      </c>
      <c r="AW267" s="2" t="s">
        <v>83</v>
      </c>
      <c r="AX267" s="2" t="s">
        <v>83</v>
      </c>
      <c r="AY267" s="2" t="s">
        <v>83</v>
      </c>
      <c r="AZ267" s="2" t="s">
        <v>83</v>
      </c>
      <c r="BA267" s="2" t="s">
        <v>83</v>
      </c>
      <c r="BB267" s="2" t="s">
        <v>83</v>
      </c>
      <c r="BC267" s="2" t="s">
        <v>79</v>
      </c>
      <c r="BD267" s="2" t="s">
        <v>79</v>
      </c>
      <c r="BE267" s="2" t="s">
        <v>79</v>
      </c>
      <c r="BF267" s="2" t="s">
        <v>79</v>
      </c>
      <c r="BG267" s="2" t="s">
        <v>79</v>
      </c>
      <c r="BH267" s="2" t="s">
        <v>91</v>
      </c>
      <c r="BI267" s="2" t="s">
        <v>91</v>
      </c>
      <c r="BJ267" s="2" t="s">
        <v>91</v>
      </c>
      <c r="BK267" s="2" t="s">
        <v>91</v>
      </c>
      <c r="BL267" s="2" t="s">
        <v>91</v>
      </c>
      <c r="BM267" s="2" t="s">
        <v>79</v>
      </c>
      <c r="BN267" s="2" t="s">
        <v>79</v>
      </c>
      <c r="BO267" s="2" t="s">
        <v>79</v>
      </c>
      <c r="BP267" s="2" t="s">
        <v>79</v>
      </c>
      <c r="BQ267" s="2" t="s">
        <v>79</v>
      </c>
      <c r="BR267" s="2" t="s">
        <v>91</v>
      </c>
      <c r="BS267" s="2" t="s">
        <v>91</v>
      </c>
      <c r="BT267" s="2" t="s">
        <v>91</v>
      </c>
      <c r="BU267" s="2" t="s">
        <v>98</v>
      </c>
      <c r="BV267" s="2" t="s">
        <v>98</v>
      </c>
      <c r="BW267" s="2" t="s">
        <v>98</v>
      </c>
      <c r="BX267" s="2" t="s">
        <v>98</v>
      </c>
      <c r="BY267" s="2" t="s">
        <v>98</v>
      </c>
      <c r="BZ267" s="2" t="s">
        <v>98</v>
      </c>
      <c r="CA267" s="2" t="s">
        <v>98</v>
      </c>
      <c r="CB267">
        <f>TTEST(AS267:AW267,AI267:AM267,2,2)</f>
        <v>0.20703702939128341</v>
      </c>
      <c r="CC267">
        <f>TTEST(AD267:AH267,AI267:AM267,2,2)</f>
        <v>6.9918090822875903E-5</v>
      </c>
      <c r="CD267">
        <f>TTEST(AN267:AR267,AI267:AM267,2,2)</f>
        <v>3.5373413555842683E-6</v>
      </c>
      <c r="CE267" t="e">
        <f>TTEST(AX267:BB267,AI267:AM267,2,2)</f>
        <v>#DIV/0!</v>
      </c>
      <c r="CF267">
        <v>166</v>
      </c>
      <c r="CG267">
        <v>109</v>
      </c>
      <c r="CH267">
        <v>15</v>
      </c>
      <c r="CI267">
        <v>241</v>
      </c>
      <c r="CJ267">
        <f>0.05*CF267/464</f>
        <v>1.788793103448276E-2</v>
      </c>
      <c r="CK267">
        <f>0.05*CG267/464</f>
        <v>1.1745689655172415E-2</v>
      </c>
      <c r="CL267">
        <f>0.05*CH267/464</f>
        <v>1.6163793103448276E-3</v>
      </c>
      <c r="CM267">
        <f>0.05*CI267/464</f>
        <v>2.5969827586206896E-2</v>
      </c>
      <c r="CN267" t="str">
        <f>IF(CB267&lt;CJ267,"yes","no")</f>
        <v>no</v>
      </c>
      <c r="CO267" t="str">
        <f>IF(CC267&lt;CK267,"yes","no")</f>
        <v>yes</v>
      </c>
      <c r="CP267" t="str">
        <f>IF(CD267&lt;CL267,"yes","no")</f>
        <v>yes</v>
      </c>
      <c r="CQ267" t="e">
        <f>IF(CE267&lt;CM267,"yes","no")</f>
        <v>#DIV/0!</v>
      </c>
      <c r="CR267">
        <f>TTEST(AS267:AW267,AD267:AH267,2,2)</f>
        <v>1.5636621815364609E-3</v>
      </c>
      <c r="CS267">
        <f>TTEST(AS267:AW267,AN267:AR267,2,2)</f>
        <v>1.6674720312295332E-2</v>
      </c>
      <c r="CT267" t="e">
        <f>TTEST(AS267:AW267,AX267:BB267,2,2)</f>
        <v>#DIV/0!</v>
      </c>
      <c r="CU267">
        <v>167</v>
      </c>
      <c r="CV267">
        <v>140</v>
      </c>
      <c r="CW267">
        <v>266</v>
      </c>
      <c r="CX267">
        <f t="shared" si="12"/>
        <v>1.7995689655172412E-2</v>
      </c>
      <c r="CY267">
        <f t="shared" si="13"/>
        <v>1.5086206896551725E-2</v>
      </c>
      <c r="CZ267">
        <f t="shared" si="14"/>
        <v>2.8663793103448278E-2</v>
      </c>
      <c r="DA267" t="str">
        <f>IF(CR267&lt;CX267,"yes","no")</f>
        <v>yes</v>
      </c>
      <c r="DB267" t="str">
        <f>IF(CS267&lt;CY267,"yes","no")</f>
        <v>no</v>
      </c>
      <c r="DC267" t="e">
        <f>IF(CT267&lt;CZ267,"yes","no")</f>
        <v>#DIV/0!</v>
      </c>
    </row>
    <row r="268" spans="1:107" x14ac:dyDescent="0.2">
      <c r="A268" s="2" t="b">
        <v>0</v>
      </c>
      <c r="B268" s="2" t="s">
        <v>79</v>
      </c>
      <c r="C268" s="2" t="s">
        <v>80</v>
      </c>
      <c r="D268" s="2" t="s">
        <v>896</v>
      </c>
      <c r="E268" s="2" t="s">
        <v>897</v>
      </c>
      <c r="F268" s="2">
        <v>2</v>
      </c>
      <c r="G268" s="2">
        <v>1</v>
      </c>
      <c r="H268" s="2">
        <v>10.4</v>
      </c>
      <c r="I268" s="2">
        <v>7.12</v>
      </c>
      <c r="J268" s="2" t="s">
        <v>83</v>
      </c>
      <c r="K268" s="2" t="s">
        <v>83</v>
      </c>
      <c r="L268" s="2" t="s">
        <v>83</v>
      </c>
      <c r="M268" s="2" t="s">
        <v>83</v>
      </c>
      <c r="N268" s="2" t="s">
        <v>896</v>
      </c>
      <c r="O268" s="2">
        <v>1.835</v>
      </c>
      <c r="P268" s="2">
        <v>0.70099999999999996</v>
      </c>
      <c r="Q268" s="2">
        <v>0.01</v>
      </c>
      <c r="R268" s="2">
        <v>100</v>
      </c>
      <c r="S268" s="2">
        <v>100</v>
      </c>
      <c r="T268" s="2">
        <v>100</v>
      </c>
      <c r="U268" s="2" t="s">
        <v>83</v>
      </c>
      <c r="V268" s="2">
        <v>0.435</v>
      </c>
      <c r="W268" s="2">
        <v>0.01</v>
      </c>
      <c r="X268" s="2">
        <v>0.01</v>
      </c>
      <c r="Y268" s="2">
        <v>155.30000000000001</v>
      </c>
      <c r="Z268" s="2" t="s">
        <v>83</v>
      </c>
      <c r="AA268" s="2">
        <v>240.6</v>
      </c>
      <c r="AB268" s="2">
        <v>104.2</v>
      </c>
      <c r="AC268" s="2" t="s">
        <v>83</v>
      </c>
      <c r="AD268" s="2">
        <v>418247.90625</v>
      </c>
      <c r="AE268" s="2">
        <v>338591.03125</v>
      </c>
      <c r="AF268" s="2">
        <v>289115.4375</v>
      </c>
      <c r="AG268" s="2">
        <v>246148.421875</v>
      </c>
      <c r="AH268" s="2">
        <v>241899.4375</v>
      </c>
      <c r="AI268" s="2" t="s">
        <v>83</v>
      </c>
      <c r="AJ268" s="2" t="s">
        <v>83</v>
      </c>
      <c r="AK268" s="2" t="s">
        <v>83</v>
      </c>
      <c r="AL268" s="2" t="s">
        <v>83</v>
      </c>
      <c r="AM268" s="2" t="s">
        <v>83</v>
      </c>
      <c r="AN268" s="2" t="s">
        <v>83</v>
      </c>
      <c r="AO268" s="2">
        <v>5960.537109375</v>
      </c>
      <c r="AP268" s="2">
        <v>16001.7763671875</v>
      </c>
      <c r="AQ268" s="2" t="s">
        <v>83</v>
      </c>
      <c r="AR268" s="2" t="s">
        <v>83</v>
      </c>
      <c r="AS268" s="2">
        <v>28164.615234375</v>
      </c>
      <c r="AT268" s="2">
        <v>49977.58203125</v>
      </c>
      <c r="AU268" s="2">
        <v>34689.51171875</v>
      </c>
      <c r="AV268" s="2">
        <v>32253.53125</v>
      </c>
      <c r="AW268" s="2">
        <v>31341.896484375</v>
      </c>
      <c r="AX268" s="2" t="s">
        <v>83</v>
      </c>
      <c r="AY268" s="2" t="s">
        <v>83</v>
      </c>
      <c r="AZ268" s="2" t="s">
        <v>83</v>
      </c>
      <c r="BA268" s="2" t="s">
        <v>83</v>
      </c>
      <c r="BB268" s="2" t="s">
        <v>83</v>
      </c>
      <c r="BC268" s="2" t="s">
        <v>79</v>
      </c>
      <c r="BD268" s="2" t="s">
        <v>79</v>
      </c>
      <c r="BE268" s="2" t="s">
        <v>79</v>
      </c>
      <c r="BF268" s="2" t="s">
        <v>79</v>
      </c>
      <c r="BG268" s="2" t="s">
        <v>79</v>
      </c>
      <c r="BH268" s="2" t="s">
        <v>98</v>
      </c>
      <c r="BI268" s="2" t="s">
        <v>98</v>
      </c>
      <c r="BJ268" s="2" t="s">
        <v>98</v>
      </c>
      <c r="BK268" s="2" t="s">
        <v>98</v>
      </c>
      <c r="BL268" s="2" t="s">
        <v>98</v>
      </c>
      <c r="BM268" s="2" t="s">
        <v>98</v>
      </c>
      <c r="BN268" s="2" t="s">
        <v>91</v>
      </c>
      <c r="BO268" s="2" t="s">
        <v>91</v>
      </c>
      <c r="BP268" s="2" t="s">
        <v>98</v>
      </c>
      <c r="BQ268" s="2" t="s">
        <v>98</v>
      </c>
      <c r="BR268" s="2" t="s">
        <v>79</v>
      </c>
      <c r="BS268" s="2" t="s">
        <v>79</v>
      </c>
      <c r="BT268" s="2" t="s">
        <v>79</v>
      </c>
      <c r="BU268" s="2" t="s">
        <v>79</v>
      </c>
      <c r="BV268" s="2" t="s">
        <v>79</v>
      </c>
      <c r="BW268" s="2" t="s">
        <v>98</v>
      </c>
      <c r="BX268" s="2" t="s">
        <v>98</v>
      </c>
      <c r="BY268" s="2" t="s">
        <v>98</v>
      </c>
      <c r="BZ268" s="2" t="s">
        <v>98</v>
      </c>
      <c r="CA268" s="2" t="s">
        <v>98</v>
      </c>
      <c r="CB268" t="e">
        <f>TTEST(AS268:AW268,AI268:AM268,2,2)</f>
        <v>#DIV/0!</v>
      </c>
      <c r="CC268" t="e">
        <f>TTEST(AD268:AH268,AI268:AM268,2,2)</f>
        <v>#DIV/0!</v>
      </c>
      <c r="CD268" t="e">
        <f>TTEST(AN268:AR268,AI268:AM268,2,2)</f>
        <v>#DIV/0!</v>
      </c>
      <c r="CE268" t="e">
        <f>TTEST(AX268:BB268,AI268:AM268,2,2)</f>
        <v>#DIV/0!</v>
      </c>
      <c r="CF268">
        <v>247</v>
      </c>
      <c r="CG268">
        <v>261</v>
      </c>
      <c r="CH268">
        <v>265</v>
      </c>
      <c r="CI268">
        <v>242</v>
      </c>
      <c r="CJ268">
        <f>0.05*CF268/464</f>
        <v>2.6616379310344832E-2</v>
      </c>
      <c r="CK268">
        <f>0.05*CG268/464</f>
        <v>2.8125000000000001E-2</v>
      </c>
      <c r="CL268">
        <f>0.05*CH268/464</f>
        <v>2.8556034482758622E-2</v>
      </c>
      <c r="CM268">
        <f>0.05*CI268/464</f>
        <v>2.6077586206896555E-2</v>
      </c>
      <c r="CN268" t="e">
        <f>IF(CB268&lt;CJ268,"yes","no")</f>
        <v>#DIV/0!</v>
      </c>
      <c r="CO268" t="e">
        <f>IF(CC268&lt;CK268,"yes","no")</f>
        <v>#DIV/0!</v>
      </c>
      <c r="CP268" t="e">
        <f>IF(CD268&lt;CL268,"yes","no")</f>
        <v>#DIV/0!</v>
      </c>
      <c r="CQ268" t="e">
        <f>IF(CE268&lt;CM268,"yes","no")</f>
        <v>#DIV/0!</v>
      </c>
      <c r="CR268">
        <f>TTEST(AS268:AW268,AD268:AH268,2,2)</f>
        <v>3.6534512071381357E-5</v>
      </c>
      <c r="CS268">
        <f>TTEST(AS268:AW268,AN268:AR268,2,2)</f>
        <v>1.7063918053884995E-2</v>
      </c>
      <c r="CT268" t="e">
        <f>TTEST(AS268:AW268,AX268:BB268,2,2)</f>
        <v>#DIV/0!</v>
      </c>
      <c r="CU268">
        <v>114</v>
      </c>
      <c r="CV268">
        <v>141</v>
      </c>
      <c r="CW268">
        <v>267</v>
      </c>
      <c r="CX268">
        <f t="shared" si="12"/>
        <v>1.228448275862069E-2</v>
      </c>
      <c r="CY268">
        <f t="shared" si="13"/>
        <v>1.519396551724138E-2</v>
      </c>
      <c r="CZ268">
        <f t="shared" si="14"/>
        <v>2.8771551724137933E-2</v>
      </c>
      <c r="DA268" t="str">
        <f>IF(CR268&lt;CX268,"yes","no")</f>
        <v>yes</v>
      </c>
      <c r="DB268" t="str">
        <f>IF(CS268&lt;CY268,"yes","no")</f>
        <v>no</v>
      </c>
      <c r="DC268" t="e">
        <f>IF(CT268&lt;CZ268,"yes","no")</f>
        <v>#DIV/0!</v>
      </c>
    </row>
    <row r="269" spans="1:107" x14ac:dyDescent="0.2">
      <c r="A269" s="2" t="b">
        <v>0</v>
      </c>
      <c r="B269" s="2" t="s">
        <v>79</v>
      </c>
      <c r="C269" s="2" t="s">
        <v>80</v>
      </c>
      <c r="D269" s="2" t="s">
        <v>1162</v>
      </c>
      <c r="E269" s="2" t="s">
        <v>1163</v>
      </c>
      <c r="F269" s="2">
        <v>3</v>
      </c>
      <c r="G269" s="2">
        <v>3</v>
      </c>
      <c r="H269" s="2">
        <v>126.3</v>
      </c>
      <c r="I269" s="2">
        <v>6.93</v>
      </c>
      <c r="J269" s="2" t="s">
        <v>1164</v>
      </c>
      <c r="K269" s="2" t="s">
        <v>1165</v>
      </c>
      <c r="L269" s="2" t="s">
        <v>218</v>
      </c>
      <c r="M269" s="2" t="s">
        <v>1166</v>
      </c>
      <c r="N269" s="2" t="s">
        <v>1162</v>
      </c>
      <c r="O269" s="2">
        <v>40.680999999999997</v>
      </c>
      <c r="P269" s="2">
        <v>1.946</v>
      </c>
      <c r="Q269" s="2">
        <v>0.01</v>
      </c>
      <c r="R269" s="2">
        <v>0.25700000000000001</v>
      </c>
      <c r="S269" s="2">
        <v>11.303000000000001</v>
      </c>
      <c r="T269" s="2">
        <v>0.497</v>
      </c>
      <c r="U269" s="2">
        <v>0.01</v>
      </c>
      <c r="V269" s="2">
        <v>4.4999999999999998E-2</v>
      </c>
      <c r="W269" s="2">
        <v>0.01</v>
      </c>
      <c r="X269" s="2">
        <v>0.01</v>
      </c>
      <c r="Y269" s="2">
        <v>7</v>
      </c>
      <c r="Z269" s="2">
        <v>22.9</v>
      </c>
      <c r="AA269" s="2">
        <v>458.4</v>
      </c>
      <c r="AB269" s="2">
        <v>11.7</v>
      </c>
      <c r="AC269" s="2" t="s">
        <v>83</v>
      </c>
      <c r="AD269" s="2">
        <v>56216.43359375</v>
      </c>
      <c r="AE269" s="2">
        <v>45697.3984375</v>
      </c>
      <c r="AF269" s="2">
        <v>49896.50390625</v>
      </c>
      <c r="AG269" s="2">
        <v>43019.30859375</v>
      </c>
      <c r="AH269" s="2">
        <v>34580.00390625</v>
      </c>
      <c r="AI269" s="2">
        <v>3478.44091796875</v>
      </c>
      <c r="AJ269" s="2">
        <v>3342.36254882813</v>
      </c>
      <c r="AK269" s="2" t="s">
        <v>83</v>
      </c>
      <c r="AL269" s="2">
        <v>4801.23876953125</v>
      </c>
      <c r="AM269" s="2">
        <v>3448.62060546875</v>
      </c>
      <c r="AN269" s="2">
        <v>47228.08203125</v>
      </c>
      <c r="AO269" s="2">
        <v>48718.732421875</v>
      </c>
      <c r="AP269" s="2">
        <v>92332.392578125</v>
      </c>
      <c r="AQ269" s="2">
        <v>47643.9609375</v>
      </c>
      <c r="AR269" s="2">
        <v>135494.91015625</v>
      </c>
      <c r="AS269" s="2">
        <v>11013.9873046875</v>
      </c>
      <c r="AT269" s="2">
        <v>18220.16796875</v>
      </c>
      <c r="AU269" s="2">
        <v>14187.291015625</v>
      </c>
      <c r="AV269" s="2">
        <v>11090.640625</v>
      </c>
      <c r="AW269" s="2" t="s">
        <v>83</v>
      </c>
      <c r="AX269" s="2" t="s">
        <v>83</v>
      </c>
      <c r="AY269" s="2" t="s">
        <v>83</v>
      </c>
      <c r="AZ269" s="2" t="s">
        <v>83</v>
      </c>
      <c r="BA269" s="2" t="s">
        <v>83</v>
      </c>
      <c r="BB269" s="2" t="s">
        <v>83</v>
      </c>
      <c r="BC269" s="2" t="s">
        <v>79</v>
      </c>
      <c r="BD269" s="2" t="s">
        <v>91</v>
      </c>
      <c r="BE269" s="2" t="s">
        <v>79</v>
      </c>
      <c r="BF269" s="2" t="s">
        <v>79</v>
      </c>
      <c r="BG269" s="2" t="s">
        <v>79</v>
      </c>
      <c r="BH269" s="2" t="s">
        <v>91</v>
      </c>
      <c r="BI269" s="2" t="s">
        <v>91</v>
      </c>
      <c r="BJ269" s="2" t="s">
        <v>98</v>
      </c>
      <c r="BK269" s="2" t="s">
        <v>91</v>
      </c>
      <c r="BL269" s="2" t="s">
        <v>91</v>
      </c>
      <c r="BM269" s="2" t="s">
        <v>79</v>
      </c>
      <c r="BN269" s="2" t="s">
        <v>79</v>
      </c>
      <c r="BO269" s="2" t="s">
        <v>79</v>
      </c>
      <c r="BP269" s="2" t="s">
        <v>79</v>
      </c>
      <c r="BQ269" s="2" t="s">
        <v>79</v>
      </c>
      <c r="BR269" s="2" t="s">
        <v>91</v>
      </c>
      <c r="BS269" s="2" t="s">
        <v>79</v>
      </c>
      <c r="BT269" s="2" t="s">
        <v>91</v>
      </c>
      <c r="BU269" s="2" t="s">
        <v>91</v>
      </c>
      <c r="BV269" s="2" t="s">
        <v>98</v>
      </c>
      <c r="BW269" s="2" t="s">
        <v>98</v>
      </c>
      <c r="BX269" s="2" t="s">
        <v>98</v>
      </c>
      <c r="BY269" s="2" t="s">
        <v>98</v>
      </c>
      <c r="BZ269" s="2" t="s">
        <v>98</v>
      </c>
      <c r="CA269" s="2" t="s">
        <v>98</v>
      </c>
      <c r="CB269">
        <f>TTEST(AS269:AW269,AI269:AM269,2,2)</f>
        <v>1.2781443822963345E-3</v>
      </c>
      <c r="CC269">
        <f>TTEST(AD269:AH269,AI269:AM269,2,2)</f>
        <v>1.7658346824908507E-5</v>
      </c>
      <c r="CD269">
        <f>TTEST(AN269:AR269,AI269:AM269,2,2)</f>
        <v>9.4584141184386496E-3</v>
      </c>
      <c r="CE269" t="e">
        <f>TTEST(AX269:BB269,AI269:AM269,2,2)</f>
        <v>#DIV/0!</v>
      </c>
      <c r="CF269">
        <v>105</v>
      </c>
      <c r="CG269">
        <v>85</v>
      </c>
      <c r="CH269">
        <v>95</v>
      </c>
      <c r="CI269">
        <v>243</v>
      </c>
      <c r="CJ269">
        <f>0.05*CF269/464</f>
        <v>1.1314655172413793E-2</v>
      </c>
      <c r="CK269">
        <f>0.05*CG269/464</f>
        <v>9.1594827586206889E-3</v>
      </c>
      <c r="CL269">
        <f>0.05*CH269/464</f>
        <v>1.0237068965517241E-2</v>
      </c>
      <c r="CM269">
        <f>0.05*CI269/464</f>
        <v>2.6185344827586207E-2</v>
      </c>
      <c r="CN269" t="str">
        <f>IF(CB269&lt;CJ269,"yes","no")</f>
        <v>yes</v>
      </c>
      <c r="CO269" t="str">
        <f>IF(CC269&lt;CK269,"yes","no")</f>
        <v>yes</v>
      </c>
      <c r="CP269" t="str">
        <f>IF(CD269&lt;CL269,"yes","no")</f>
        <v>yes</v>
      </c>
      <c r="CQ269" t="e">
        <f>IF(CE269&lt;CM269,"yes","no")</f>
        <v>#DIV/0!</v>
      </c>
      <c r="CR269">
        <f>TTEST(AS269:AW269,AD269:AH269,2,2)</f>
        <v>1.4631482233620649E-4</v>
      </c>
      <c r="CS269">
        <f>TTEST(AS269:AW269,AN269:AR269,2,2)</f>
        <v>1.8910790563404483E-2</v>
      </c>
      <c r="CT269" t="e">
        <f>TTEST(AS269:AW269,AX269:BB269,2,2)</f>
        <v>#DIV/0!</v>
      </c>
      <c r="CU269">
        <v>135</v>
      </c>
      <c r="CV269">
        <v>145</v>
      </c>
      <c r="CW269">
        <v>268</v>
      </c>
      <c r="CX269">
        <f t="shared" si="12"/>
        <v>1.4547413793103448E-2</v>
      </c>
      <c r="CY269">
        <f t="shared" si="13"/>
        <v>1.5625E-2</v>
      </c>
      <c r="CZ269">
        <f t="shared" si="14"/>
        <v>2.8879310344827588E-2</v>
      </c>
      <c r="DA269" t="str">
        <f>IF(CR269&lt;CX269,"yes","no")</f>
        <v>yes</v>
      </c>
      <c r="DB269" t="str">
        <f>IF(CS269&lt;CY269,"yes","no")</f>
        <v>no</v>
      </c>
      <c r="DC269" t="e">
        <f>IF(CT269&lt;CZ269,"yes","no")</f>
        <v>#DIV/0!</v>
      </c>
    </row>
    <row r="270" spans="1:107" x14ac:dyDescent="0.2">
      <c r="A270" s="2" t="b">
        <v>0</v>
      </c>
      <c r="B270" s="2" t="s">
        <v>79</v>
      </c>
      <c r="C270" s="2" t="s">
        <v>80</v>
      </c>
      <c r="D270" s="2" t="s">
        <v>542</v>
      </c>
      <c r="E270" s="2" t="s">
        <v>543</v>
      </c>
      <c r="F270" s="2">
        <v>9</v>
      </c>
      <c r="G270" s="2">
        <v>6</v>
      </c>
      <c r="H270" s="2">
        <v>48</v>
      </c>
      <c r="I270" s="2">
        <v>5.69</v>
      </c>
      <c r="J270" s="2" t="s">
        <v>83</v>
      </c>
      <c r="K270" s="2" t="s">
        <v>84</v>
      </c>
      <c r="L270" s="2" t="s">
        <v>85</v>
      </c>
      <c r="M270" s="2" t="s">
        <v>83</v>
      </c>
      <c r="N270" s="2" t="s">
        <v>83</v>
      </c>
      <c r="O270" s="2">
        <v>3.5339999999999998</v>
      </c>
      <c r="P270" s="2">
        <v>0.65500000000000003</v>
      </c>
      <c r="Q270" s="2">
        <v>0.01</v>
      </c>
      <c r="R270" s="2">
        <v>0.626</v>
      </c>
      <c r="S270" s="2">
        <v>2.052</v>
      </c>
      <c r="T270" s="2" t="s">
        <v>83</v>
      </c>
      <c r="U270" s="2">
        <v>0.01</v>
      </c>
      <c r="V270" s="2">
        <v>0.187</v>
      </c>
      <c r="W270" s="2">
        <v>0.01</v>
      </c>
      <c r="X270" s="2">
        <v>0.01</v>
      </c>
      <c r="Y270" s="2">
        <v>172.2</v>
      </c>
      <c r="Z270" s="2">
        <v>43.6</v>
      </c>
      <c r="AA270" s="2">
        <v>213.8</v>
      </c>
      <c r="AB270" s="2">
        <v>70.400000000000006</v>
      </c>
      <c r="AC270" s="2" t="s">
        <v>83</v>
      </c>
      <c r="AD270" s="2">
        <v>928829.9375</v>
      </c>
      <c r="AE270" s="2">
        <v>671418.84375</v>
      </c>
      <c r="AF270" s="2">
        <v>557153.71484375</v>
      </c>
      <c r="AG270" s="2">
        <v>598494.3359375</v>
      </c>
      <c r="AH270" s="2">
        <v>409912.3359375</v>
      </c>
      <c r="AI270" s="2" t="s">
        <v>83</v>
      </c>
      <c r="AJ270" s="2" t="s">
        <v>83</v>
      </c>
      <c r="AK270" s="2" t="s">
        <v>83</v>
      </c>
      <c r="AL270" s="2">
        <v>4852.57666015625</v>
      </c>
      <c r="AM270" s="2" t="s">
        <v>83</v>
      </c>
      <c r="AN270" s="2">
        <v>18250.369140625</v>
      </c>
      <c r="AO270" s="2">
        <v>6700.18212890625</v>
      </c>
      <c r="AP270" s="2">
        <v>18818.81640625</v>
      </c>
      <c r="AQ270" s="2">
        <v>15393.5852050781</v>
      </c>
      <c r="AR270" s="2">
        <v>24850.625</v>
      </c>
      <c r="AS270" s="2">
        <v>33680.789550781301</v>
      </c>
      <c r="AT270" s="2">
        <v>74661.0380859375</v>
      </c>
      <c r="AU270" s="2">
        <v>38721.601318359397</v>
      </c>
      <c r="AV270" s="2">
        <v>25257.5725097656</v>
      </c>
      <c r="AW270" s="2">
        <v>42253.412597656301</v>
      </c>
      <c r="AX270" s="2" t="s">
        <v>83</v>
      </c>
      <c r="AY270" s="2" t="s">
        <v>83</v>
      </c>
      <c r="AZ270" s="2" t="s">
        <v>83</v>
      </c>
      <c r="BA270" s="2" t="s">
        <v>83</v>
      </c>
      <c r="BB270" s="2" t="s">
        <v>83</v>
      </c>
      <c r="BC270" s="2" t="s">
        <v>79</v>
      </c>
      <c r="BD270" s="2" t="s">
        <v>79</v>
      </c>
      <c r="BE270" s="2" t="s">
        <v>79</v>
      </c>
      <c r="BF270" s="2" t="s">
        <v>79</v>
      </c>
      <c r="BG270" s="2" t="s">
        <v>79</v>
      </c>
      <c r="BH270" s="2" t="s">
        <v>98</v>
      </c>
      <c r="BI270" s="2" t="s">
        <v>98</v>
      </c>
      <c r="BJ270" s="2" t="s">
        <v>98</v>
      </c>
      <c r="BK270" s="2" t="s">
        <v>91</v>
      </c>
      <c r="BL270" s="2" t="s">
        <v>98</v>
      </c>
      <c r="BM270" s="2" t="s">
        <v>91</v>
      </c>
      <c r="BN270" s="2" t="s">
        <v>91</v>
      </c>
      <c r="BO270" s="2" t="s">
        <v>91</v>
      </c>
      <c r="BP270" s="2" t="s">
        <v>91</v>
      </c>
      <c r="BQ270" s="2" t="s">
        <v>91</v>
      </c>
      <c r="BR270" s="2" t="s">
        <v>91</v>
      </c>
      <c r="BS270" s="2" t="s">
        <v>91</v>
      </c>
      <c r="BT270" s="2" t="s">
        <v>91</v>
      </c>
      <c r="BU270" s="2" t="s">
        <v>91</v>
      </c>
      <c r="BV270" s="2" t="s">
        <v>91</v>
      </c>
      <c r="BW270" s="2" t="s">
        <v>98</v>
      </c>
      <c r="BX270" s="2" t="s">
        <v>98</v>
      </c>
      <c r="BY270" s="2" t="s">
        <v>98</v>
      </c>
      <c r="BZ270" s="2" t="s">
        <v>98</v>
      </c>
      <c r="CA270" s="2" t="s">
        <v>98</v>
      </c>
      <c r="CB270" t="e">
        <f>TTEST(AS270:AW270,AI270:AM270,2,2)</f>
        <v>#DIV/0!</v>
      </c>
      <c r="CC270" t="e">
        <f>TTEST(AD270:AH270,AI270:AM270,2,2)</f>
        <v>#DIV/0!</v>
      </c>
      <c r="CD270" t="e">
        <f>TTEST(AN270:AR270,AI270:AM270,2,2)</f>
        <v>#DIV/0!</v>
      </c>
      <c r="CE270" t="e">
        <f>TTEST(AX270:BB270,AI270:AM270,2,2)</f>
        <v>#DIV/0!</v>
      </c>
      <c r="CF270">
        <v>252</v>
      </c>
      <c r="CG270">
        <v>266</v>
      </c>
      <c r="CH270">
        <v>270</v>
      </c>
      <c r="CI270">
        <v>244</v>
      </c>
      <c r="CJ270">
        <f>0.05*CF270/464</f>
        <v>2.7155172413793106E-2</v>
      </c>
      <c r="CK270">
        <f>0.05*CG270/464</f>
        <v>2.8663793103448278E-2</v>
      </c>
      <c r="CL270">
        <f>0.05*CH270/464</f>
        <v>2.9094827586206896E-2</v>
      </c>
      <c r="CM270">
        <f>0.05*CI270/464</f>
        <v>2.6293103448275866E-2</v>
      </c>
      <c r="CN270" t="e">
        <f>IF(CB270&lt;CJ270,"yes","no")</f>
        <v>#DIV/0!</v>
      </c>
      <c r="CO270" t="e">
        <f>IF(CC270&lt;CK270,"yes","no")</f>
        <v>#DIV/0!</v>
      </c>
      <c r="CP270" t="e">
        <f>IF(CD270&lt;CL270,"yes","no")</f>
        <v>#DIV/0!</v>
      </c>
      <c r="CQ270" t="e">
        <f>IF(CE270&lt;CM270,"yes","no")</f>
        <v>#DIV/0!</v>
      </c>
      <c r="CR270">
        <f>TTEST(AS270:AW270,AD270:AH270,2,2)</f>
        <v>1.2683297286362785E-4</v>
      </c>
      <c r="CS270">
        <f>TTEST(AS270:AW270,AN270:AR270,2,2)</f>
        <v>1.9250572351495434E-2</v>
      </c>
      <c r="CT270" t="e">
        <f>TTEST(AS270:AW270,AX270:BB270,2,2)</f>
        <v>#DIV/0!</v>
      </c>
      <c r="CU270">
        <v>132</v>
      </c>
      <c r="CV270">
        <v>148</v>
      </c>
      <c r="CW270">
        <v>269</v>
      </c>
      <c r="CX270">
        <f t="shared" si="12"/>
        <v>1.4224137931034483E-2</v>
      </c>
      <c r="CY270">
        <f t="shared" si="13"/>
        <v>1.5948275862068966E-2</v>
      </c>
      <c r="CZ270">
        <f t="shared" si="14"/>
        <v>2.8987068965517244E-2</v>
      </c>
      <c r="DA270" t="str">
        <f>IF(CR270&lt;CX270,"yes","no")</f>
        <v>yes</v>
      </c>
      <c r="DB270" t="str">
        <f>IF(CS270&lt;CY270,"yes","no")</f>
        <v>no</v>
      </c>
      <c r="DC270" t="e">
        <f>IF(CT270&lt;CZ270,"yes","no")</f>
        <v>#DIV/0!</v>
      </c>
    </row>
    <row r="271" spans="1:107" x14ac:dyDescent="0.2">
      <c r="A271" s="2" t="b">
        <v>0</v>
      </c>
      <c r="B271" s="2" t="s">
        <v>79</v>
      </c>
      <c r="C271" s="2" t="s">
        <v>80</v>
      </c>
      <c r="D271" s="2" t="s">
        <v>1022</v>
      </c>
      <c r="E271" s="2" t="s">
        <v>1023</v>
      </c>
      <c r="F271" s="2">
        <v>1</v>
      </c>
      <c r="G271" s="2">
        <v>1</v>
      </c>
      <c r="H271" s="2">
        <v>13.4</v>
      </c>
      <c r="I271" s="2">
        <v>7.24</v>
      </c>
      <c r="J271" s="2" t="s">
        <v>83</v>
      </c>
      <c r="K271" s="2" t="s">
        <v>83</v>
      </c>
      <c r="L271" s="2" t="s">
        <v>83</v>
      </c>
      <c r="M271" s="2" t="s">
        <v>83</v>
      </c>
      <c r="N271" s="2" t="s">
        <v>1022</v>
      </c>
      <c r="O271" s="2">
        <v>0.55800000000000005</v>
      </c>
      <c r="P271" s="2">
        <v>1.054</v>
      </c>
      <c r="Q271" s="2">
        <v>0.01</v>
      </c>
      <c r="R271" s="2">
        <v>1.18</v>
      </c>
      <c r="S271" s="2">
        <v>0.63800000000000001</v>
      </c>
      <c r="T271" s="2">
        <v>1.3180000000000001</v>
      </c>
      <c r="U271" s="2">
        <v>0.01</v>
      </c>
      <c r="V271" s="2">
        <v>1.897</v>
      </c>
      <c r="W271" s="2">
        <v>0.01</v>
      </c>
      <c r="X271" s="2">
        <v>0.01</v>
      </c>
      <c r="Y271" s="2">
        <v>143.69999999999999</v>
      </c>
      <c r="Z271" s="2">
        <v>125.1</v>
      </c>
      <c r="AA271" s="2">
        <v>79.8</v>
      </c>
      <c r="AB271" s="2">
        <v>151.4</v>
      </c>
      <c r="AC271" s="2" t="s">
        <v>83</v>
      </c>
      <c r="AD271" s="2">
        <v>699277.9375</v>
      </c>
      <c r="AE271" s="2">
        <v>295441.4375</v>
      </c>
      <c r="AF271" s="2">
        <v>266885.71875</v>
      </c>
      <c r="AG271" s="2">
        <v>496797.25</v>
      </c>
      <c r="AH271" s="2">
        <v>423965.53125</v>
      </c>
      <c r="AI271" s="2">
        <v>4980.26904296875</v>
      </c>
      <c r="AJ271" s="2" t="s">
        <v>83</v>
      </c>
      <c r="AK271" s="2">
        <v>6490.611328125</v>
      </c>
      <c r="AL271" s="2" t="s">
        <v>83</v>
      </c>
      <c r="AM271" s="2">
        <v>6491.16455078125</v>
      </c>
      <c r="AN271" s="2" t="s">
        <v>83</v>
      </c>
      <c r="AO271" s="2">
        <v>3574.45849609375</v>
      </c>
      <c r="AP271" s="2">
        <v>5767.75146484375</v>
      </c>
      <c r="AQ271" s="2" t="s">
        <v>83</v>
      </c>
      <c r="AR271" s="2" t="s">
        <v>83</v>
      </c>
      <c r="AS271" s="2">
        <v>74322.84375</v>
      </c>
      <c r="AT271" s="2">
        <v>110843.1640625</v>
      </c>
      <c r="AU271" s="2">
        <v>60942.16796875</v>
      </c>
      <c r="AV271" s="2">
        <v>53656.5546875</v>
      </c>
      <c r="AW271" s="2">
        <v>43899.20703125</v>
      </c>
      <c r="AX271" s="2" t="s">
        <v>83</v>
      </c>
      <c r="AY271" s="2" t="s">
        <v>83</v>
      </c>
      <c r="AZ271" s="2" t="s">
        <v>83</v>
      </c>
      <c r="BA271" s="2" t="s">
        <v>83</v>
      </c>
      <c r="BB271" s="2" t="s">
        <v>83</v>
      </c>
      <c r="BC271" s="2" t="s">
        <v>79</v>
      </c>
      <c r="BD271" s="2" t="s">
        <v>79</v>
      </c>
      <c r="BE271" s="2" t="s">
        <v>79</v>
      </c>
      <c r="BF271" s="2" t="s">
        <v>79</v>
      </c>
      <c r="BG271" s="2" t="s">
        <v>79</v>
      </c>
      <c r="BH271" s="2" t="s">
        <v>91</v>
      </c>
      <c r="BI271" s="2" t="s">
        <v>98</v>
      </c>
      <c r="BJ271" s="2" t="s">
        <v>91</v>
      </c>
      <c r="BK271" s="2" t="s">
        <v>98</v>
      </c>
      <c r="BL271" s="2" t="s">
        <v>91</v>
      </c>
      <c r="BM271" s="2" t="s">
        <v>98</v>
      </c>
      <c r="BN271" s="2" t="s">
        <v>91</v>
      </c>
      <c r="BO271" s="2" t="s">
        <v>91</v>
      </c>
      <c r="BP271" s="2" t="s">
        <v>98</v>
      </c>
      <c r="BQ271" s="2" t="s">
        <v>98</v>
      </c>
      <c r="BR271" s="2" t="s">
        <v>91</v>
      </c>
      <c r="BS271" s="2" t="s">
        <v>79</v>
      </c>
      <c r="BT271" s="2" t="s">
        <v>79</v>
      </c>
      <c r="BU271" s="2" t="s">
        <v>91</v>
      </c>
      <c r="BV271" s="2" t="s">
        <v>91</v>
      </c>
      <c r="BW271" s="2" t="s">
        <v>98</v>
      </c>
      <c r="BX271" s="2" t="s">
        <v>98</v>
      </c>
      <c r="BY271" s="2" t="s">
        <v>98</v>
      </c>
      <c r="BZ271" s="2" t="s">
        <v>98</v>
      </c>
      <c r="CA271" s="2" t="s">
        <v>98</v>
      </c>
      <c r="CB271">
        <f>TTEST(AS271:AW271,AI271:AM271,2,2)</f>
        <v>6.7860622007801553E-3</v>
      </c>
      <c r="CC271">
        <f>TTEST(AD271:AH271,AI271:AM271,2,2)</f>
        <v>6.0641554919880622E-3</v>
      </c>
      <c r="CD271">
        <f>TTEST(AN271:AR271,AI271:AM271,2,2)</f>
        <v>0.29666859415206348</v>
      </c>
      <c r="CE271" t="e">
        <f>TTEST(AX271:BB271,AI271:AM271,2,2)</f>
        <v>#DIV/0!</v>
      </c>
      <c r="CF271">
        <v>128</v>
      </c>
      <c r="CG271">
        <v>158</v>
      </c>
      <c r="CH271">
        <v>155</v>
      </c>
      <c r="CI271">
        <v>245</v>
      </c>
      <c r="CJ271">
        <f>0.05*CF271/464</f>
        <v>1.3793103448275864E-2</v>
      </c>
      <c r="CK271">
        <f>0.05*CG271/464</f>
        <v>1.7025862068965517E-2</v>
      </c>
      <c r="CL271">
        <f>0.05*CH271/464</f>
        <v>1.670258620689655E-2</v>
      </c>
      <c r="CM271">
        <f>0.05*CI271/464</f>
        <v>2.6400862068965518E-2</v>
      </c>
      <c r="CN271" t="str">
        <f>IF(CB271&lt;CJ271,"yes","no")</f>
        <v>yes</v>
      </c>
      <c r="CO271" t="str">
        <f>IF(CC271&lt;CK271,"yes","no")</f>
        <v>yes</v>
      </c>
      <c r="CP271" t="str">
        <f>IF(CD271&lt;CL271,"yes","no")</f>
        <v>no</v>
      </c>
      <c r="CQ271" t="e">
        <f>IF(CE271&lt;CM271,"yes","no")</f>
        <v>#DIV/0!</v>
      </c>
      <c r="CR271">
        <f>TTEST(AS271:AW271,AD271:AH271,2,2)</f>
        <v>1.6105224190122761E-3</v>
      </c>
      <c r="CS271">
        <f>TTEST(AS271:AW271,AN271:AR271,2,2)</f>
        <v>2.1763805025624861E-2</v>
      </c>
      <c r="CT271" t="e">
        <f>TTEST(AS271:AW271,AX271:BB271,2,2)</f>
        <v>#DIV/0!</v>
      </c>
      <c r="CU271">
        <v>168</v>
      </c>
      <c r="CV271">
        <v>151</v>
      </c>
      <c r="CW271">
        <v>270</v>
      </c>
      <c r="CX271">
        <f t="shared" si="12"/>
        <v>1.810344827586207E-2</v>
      </c>
      <c r="CY271">
        <f t="shared" si="13"/>
        <v>1.6271551724137932E-2</v>
      </c>
      <c r="CZ271">
        <f t="shared" si="14"/>
        <v>2.9094827586206896E-2</v>
      </c>
      <c r="DA271" t="str">
        <f>IF(CR271&lt;CX271,"yes","no")</f>
        <v>yes</v>
      </c>
      <c r="DB271" t="str">
        <f>IF(CS271&lt;CY271,"yes","no")</f>
        <v>no</v>
      </c>
      <c r="DC271" t="e">
        <f>IF(CT271&lt;CZ271,"yes","no")</f>
        <v>#DIV/0!</v>
      </c>
    </row>
    <row r="272" spans="1:107" x14ac:dyDescent="0.2">
      <c r="A272" s="2" t="b">
        <v>0</v>
      </c>
      <c r="B272" s="2" t="s">
        <v>79</v>
      </c>
      <c r="C272" s="2" t="s">
        <v>80</v>
      </c>
      <c r="D272" s="2" t="s">
        <v>1460</v>
      </c>
      <c r="E272" s="2" t="s">
        <v>1461</v>
      </c>
      <c r="F272" s="2">
        <v>1</v>
      </c>
      <c r="G272" s="2">
        <v>1</v>
      </c>
      <c r="H272" s="2">
        <v>52</v>
      </c>
      <c r="I272" s="2">
        <v>6.42</v>
      </c>
      <c r="J272" s="2" t="s">
        <v>539</v>
      </c>
      <c r="K272" s="2" t="s">
        <v>1462</v>
      </c>
      <c r="L272" s="2" t="s">
        <v>119</v>
      </c>
      <c r="M272" s="2" t="s">
        <v>1463</v>
      </c>
      <c r="N272" s="2" t="s">
        <v>1464</v>
      </c>
      <c r="O272" s="2">
        <v>1.6819999999999999</v>
      </c>
      <c r="P272" s="2">
        <v>0.48699999999999999</v>
      </c>
      <c r="Q272" s="2">
        <v>0.01</v>
      </c>
      <c r="R272" s="2">
        <v>100</v>
      </c>
      <c r="S272" s="2">
        <v>100</v>
      </c>
      <c r="T272" s="2">
        <v>100</v>
      </c>
      <c r="U272" s="2" t="s">
        <v>83</v>
      </c>
      <c r="V272" s="2">
        <v>0.28899999999999998</v>
      </c>
      <c r="W272" s="2">
        <v>0.01</v>
      </c>
      <c r="X272" s="2">
        <v>0.01</v>
      </c>
      <c r="Y272" s="2">
        <v>157.80000000000001</v>
      </c>
      <c r="Z272" s="2" t="s">
        <v>83</v>
      </c>
      <c r="AA272" s="2">
        <v>265.39999999999998</v>
      </c>
      <c r="AB272" s="2">
        <v>76.8</v>
      </c>
      <c r="AC272" s="2" t="s">
        <v>83</v>
      </c>
      <c r="AD272" s="2">
        <v>206350.484375</v>
      </c>
      <c r="AE272" s="2" t="s">
        <v>83</v>
      </c>
      <c r="AF272" s="2">
        <v>94888.3359375</v>
      </c>
      <c r="AG272" s="2">
        <v>122516.0703125</v>
      </c>
      <c r="AH272" s="2">
        <v>70833.484375</v>
      </c>
      <c r="AI272" s="2" t="s">
        <v>83</v>
      </c>
      <c r="AJ272" s="2" t="s">
        <v>83</v>
      </c>
      <c r="AK272" s="2" t="s">
        <v>83</v>
      </c>
      <c r="AL272" s="2" t="s">
        <v>83</v>
      </c>
      <c r="AM272" s="2" t="s">
        <v>83</v>
      </c>
      <c r="AN272" s="2" t="s">
        <v>83</v>
      </c>
      <c r="AO272" s="2">
        <v>3197.58544921875</v>
      </c>
      <c r="AP272" s="2" t="s">
        <v>83</v>
      </c>
      <c r="AQ272" s="2" t="s">
        <v>83</v>
      </c>
      <c r="AR272" s="2">
        <v>3974.1806640625</v>
      </c>
      <c r="AS272" s="2" t="s">
        <v>83</v>
      </c>
      <c r="AT272" s="2" t="s">
        <v>83</v>
      </c>
      <c r="AU272" s="2" t="s">
        <v>83</v>
      </c>
      <c r="AV272" s="2">
        <v>7087.3349609375</v>
      </c>
      <c r="AW272" s="2">
        <v>9060.9443359375</v>
      </c>
      <c r="AX272" s="2" t="s">
        <v>83</v>
      </c>
      <c r="AY272" s="2" t="s">
        <v>83</v>
      </c>
      <c r="AZ272" s="2" t="s">
        <v>83</v>
      </c>
      <c r="BA272" s="2" t="s">
        <v>83</v>
      </c>
      <c r="BB272" s="2" t="s">
        <v>83</v>
      </c>
      <c r="BC272" s="2" t="s">
        <v>79</v>
      </c>
      <c r="BD272" s="2" t="s">
        <v>79</v>
      </c>
      <c r="BE272" s="2" t="s">
        <v>79</v>
      </c>
      <c r="BF272" s="2" t="s">
        <v>79</v>
      </c>
      <c r="BG272" s="2" t="s">
        <v>79</v>
      </c>
      <c r="BH272" s="2" t="s">
        <v>98</v>
      </c>
      <c r="BI272" s="2" t="s">
        <v>98</v>
      </c>
      <c r="BJ272" s="2" t="s">
        <v>98</v>
      </c>
      <c r="BK272" s="2" t="s">
        <v>98</v>
      </c>
      <c r="BL272" s="2" t="s">
        <v>98</v>
      </c>
      <c r="BM272" s="2" t="s">
        <v>98</v>
      </c>
      <c r="BN272" s="2" t="s">
        <v>91</v>
      </c>
      <c r="BO272" s="2" t="s">
        <v>98</v>
      </c>
      <c r="BP272" s="2" t="s">
        <v>98</v>
      </c>
      <c r="BQ272" s="2" t="s">
        <v>91</v>
      </c>
      <c r="BR272" s="2" t="s">
        <v>98</v>
      </c>
      <c r="BS272" s="2" t="s">
        <v>98</v>
      </c>
      <c r="BT272" s="2" t="s">
        <v>98</v>
      </c>
      <c r="BU272" s="2" t="s">
        <v>91</v>
      </c>
      <c r="BV272" s="2" t="s">
        <v>91</v>
      </c>
      <c r="BW272" s="2" t="s">
        <v>98</v>
      </c>
      <c r="BX272" s="2" t="s">
        <v>98</v>
      </c>
      <c r="BY272" s="2" t="s">
        <v>98</v>
      </c>
      <c r="BZ272" s="2" t="s">
        <v>98</v>
      </c>
      <c r="CA272" s="2" t="s">
        <v>98</v>
      </c>
      <c r="CB272" t="e">
        <f>TTEST(AS272:AW272,AI272:AM272,2,2)</f>
        <v>#DIV/0!</v>
      </c>
      <c r="CC272" t="e">
        <f>TTEST(AD272:AH272,AI272:AM272,2,2)</f>
        <v>#DIV/0!</v>
      </c>
      <c r="CD272" t="e">
        <f>TTEST(AN272:AR272,AI272:AM272,2,2)</f>
        <v>#DIV/0!</v>
      </c>
      <c r="CE272" t="e">
        <f>TTEST(AX272:BB272,AI272:AM272,2,2)</f>
        <v>#DIV/0!</v>
      </c>
      <c r="CF272">
        <v>294</v>
      </c>
      <c r="CG272">
        <v>308</v>
      </c>
      <c r="CH272">
        <v>312</v>
      </c>
      <c r="CI272">
        <v>250</v>
      </c>
      <c r="CJ272">
        <f>0.05*CF272/464</f>
        <v>3.1681034482758622E-2</v>
      </c>
      <c r="CK272">
        <f>0.05*CG272/464</f>
        <v>3.3189655172413797E-2</v>
      </c>
      <c r="CL272">
        <f>0.05*CH272/464</f>
        <v>3.3620689655172419E-2</v>
      </c>
      <c r="CM272">
        <f>0.05*CI272/464</f>
        <v>2.6939655172413791E-2</v>
      </c>
      <c r="CN272" t="e">
        <f>IF(CB272&lt;CJ272,"yes","no")</f>
        <v>#DIV/0!</v>
      </c>
      <c r="CO272" t="e">
        <f>IF(CC272&lt;CK272,"yes","no")</f>
        <v>#DIV/0!</v>
      </c>
      <c r="CP272" t="e">
        <f>IF(CD272&lt;CL272,"yes","no")</f>
        <v>#DIV/0!</v>
      </c>
      <c r="CQ272" t="e">
        <f>IF(CE272&lt;CM272,"yes","no")</f>
        <v>#DIV/0!</v>
      </c>
      <c r="CR272">
        <f>TTEST(AS272:AW272,AD272:AH272,2,2)</f>
        <v>5.9434528478654401E-2</v>
      </c>
      <c r="CS272">
        <f>TTEST(AS272:AW272,AN272:AR272,2,2)</f>
        <v>5.1546451912673819E-2</v>
      </c>
      <c r="CT272" t="e">
        <f>TTEST(AS272:AW272,AX272:BB272,2,2)</f>
        <v>#DIV/0!</v>
      </c>
      <c r="CU272">
        <v>234</v>
      </c>
      <c r="CV272">
        <v>166</v>
      </c>
      <c r="CW272">
        <v>271</v>
      </c>
      <c r="CX272">
        <f t="shared" si="12"/>
        <v>2.5215517241379312E-2</v>
      </c>
      <c r="CY272">
        <f t="shared" si="13"/>
        <v>1.788793103448276E-2</v>
      </c>
      <c r="CZ272">
        <f t="shared" si="14"/>
        <v>2.9202586206896555E-2</v>
      </c>
      <c r="DA272" t="str">
        <f>IF(CR272&lt;CX272,"yes","no")</f>
        <v>no</v>
      </c>
      <c r="DB272" t="str">
        <f>IF(CS272&lt;CY272,"yes","no")</f>
        <v>no</v>
      </c>
      <c r="DC272" t="e">
        <f>IF(CT272&lt;CZ272,"yes","no")</f>
        <v>#DIV/0!</v>
      </c>
    </row>
    <row r="273" spans="1:107" x14ac:dyDescent="0.2">
      <c r="A273" s="2" t="b">
        <v>0</v>
      </c>
      <c r="B273" s="2" t="s">
        <v>79</v>
      </c>
      <c r="C273" s="2" t="s">
        <v>80</v>
      </c>
      <c r="D273" s="2" t="s">
        <v>1438</v>
      </c>
      <c r="E273" s="2" t="s">
        <v>1250</v>
      </c>
      <c r="F273" s="2">
        <v>1</v>
      </c>
      <c r="G273" s="2">
        <v>1</v>
      </c>
      <c r="H273" s="2">
        <v>14.7</v>
      </c>
      <c r="I273" s="2">
        <v>8.4700000000000006</v>
      </c>
      <c r="J273" s="2" t="s">
        <v>83</v>
      </c>
      <c r="K273" s="2" t="s">
        <v>83</v>
      </c>
      <c r="L273" s="2" t="s">
        <v>83</v>
      </c>
      <c r="M273" s="2" t="s">
        <v>83</v>
      </c>
      <c r="N273" s="2" t="s">
        <v>1438</v>
      </c>
      <c r="O273" s="2">
        <v>2.125</v>
      </c>
      <c r="P273" s="2">
        <v>0.96699999999999997</v>
      </c>
      <c r="Q273" s="2">
        <v>0.6</v>
      </c>
      <c r="R273" s="2">
        <v>100</v>
      </c>
      <c r="S273" s="2">
        <v>100</v>
      </c>
      <c r="T273" s="2">
        <v>100</v>
      </c>
      <c r="U273" s="2">
        <v>100</v>
      </c>
      <c r="V273" s="2">
        <v>0.46</v>
      </c>
      <c r="W273" s="2">
        <v>0.28399999999999997</v>
      </c>
      <c r="X273" s="2">
        <v>0.59899999999999998</v>
      </c>
      <c r="Y273" s="2">
        <v>106.1</v>
      </c>
      <c r="Z273" s="2" t="s">
        <v>83</v>
      </c>
      <c r="AA273" s="2">
        <v>224.1</v>
      </c>
      <c r="AB273" s="2">
        <v>106.2</v>
      </c>
      <c r="AC273" s="2">
        <v>63.6</v>
      </c>
      <c r="AD273" s="2">
        <v>581068.125</v>
      </c>
      <c r="AE273" s="2">
        <v>322732.0625</v>
      </c>
      <c r="AF273" s="2">
        <v>211953.421875</v>
      </c>
      <c r="AG273" s="2">
        <v>407277.375</v>
      </c>
      <c r="AH273" s="2">
        <v>372981.28125</v>
      </c>
      <c r="AI273" s="2" t="s">
        <v>83</v>
      </c>
      <c r="AJ273" s="2" t="s">
        <v>83</v>
      </c>
      <c r="AK273" s="2" t="s">
        <v>83</v>
      </c>
      <c r="AL273" s="2" t="s">
        <v>83</v>
      </c>
      <c r="AM273" s="2" t="s">
        <v>83</v>
      </c>
      <c r="AN273" s="2">
        <v>6794.763671875</v>
      </c>
      <c r="AO273" s="2" t="s">
        <v>83</v>
      </c>
      <c r="AP273" s="2" t="s">
        <v>83</v>
      </c>
      <c r="AQ273" s="2" t="s">
        <v>83</v>
      </c>
      <c r="AR273" s="2">
        <v>33240.25390625</v>
      </c>
      <c r="AS273" s="2">
        <v>52591.328125</v>
      </c>
      <c r="AT273" s="2">
        <v>76136.71875</v>
      </c>
      <c r="AU273" s="2">
        <v>38305.0625</v>
      </c>
      <c r="AV273" s="2">
        <v>41466.59375</v>
      </c>
      <c r="AW273" s="2">
        <v>66687.2109375</v>
      </c>
      <c r="AX273" s="2" t="s">
        <v>83</v>
      </c>
      <c r="AY273" s="2" t="s">
        <v>83</v>
      </c>
      <c r="AZ273" s="2" t="s">
        <v>83</v>
      </c>
      <c r="BA273" s="2" t="s">
        <v>83</v>
      </c>
      <c r="BB273" s="2">
        <v>10060.7578125</v>
      </c>
      <c r="BC273" s="2" t="s">
        <v>79</v>
      </c>
      <c r="BD273" s="2" t="s">
        <v>79</v>
      </c>
      <c r="BE273" s="2" t="s">
        <v>79</v>
      </c>
      <c r="BF273" s="2" t="s">
        <v>79</v>
      </c>
      <c r="BG273" s="2" t="s">
        <v>79</v>
      </c>
      <c r="BH273" s="2" t="s">
        <v>98</v>
      </c>
      <c r="BI273" s="2" t="s">
        <v>98</v>
      </c>
      <c r="BJ273" s="2" t="s">
        <v>98</v>
      </c>
      <c r="BK273" s="2" t="s">
        <v>98</v>
      </c>
      <c r="BL273" s="2" t="s">
        <v>98</v>
      </c>
      <c r="BM273" s="2" t="s">
        <v>91</v>
      </c>
      <c r="BN273" s="2" t="s">
        <v>98</v>
      </c>
      <c r="BO273" s="2" t="s">
        <v>98</v>
      </c>
      <c r="BP273" s="2" t="s">
        <v>98</v>
      </c>
      <c r="BQ273" s="2" t="s">
        <v>91</v>
      </c>
      <c r="BR273" s="2" t="s">
        <v>91</v>
      </c>
      <c r="BS273" s="2" t="s">
        <v>91</v>
      </c>
      <c r="BT273" s="2" t="s">
        <v>91</v>
      </c>
      <c r="BU273" s="2" t="s">
        <v>91</v>
      </c>
      <c r="BV273" s="2" t="s">
        <v>91</v>
      </c>
      <c r="BW273" s="2" t="s">
        <v>98</v>
      </c>
      <c r="BX273" s="2" t="s">
        <v>98</v>
      </c>
      <c r="BY273" s="2" t="s">
        <v>98</v>
      </c>
      <c r="BZ273" s="2" t="s">
        <v>98</v>
      </c>
      <c r="CA273" s="2" t="s">
        <v>91</v>
      </c>
      <c r="CB273" t="e">
        <f>TTEST(AS273:AW273,AI273:AM273,2,2)</f>
        <v>#DIV/0!</v>
      </c>
      <c r="CC273" t="e">
        <f>TTEST(AD273:AH273,AI273:AM273,2,2)</f>
        <v>#DIV/0!</v>
      </c>
      <c r="CD273" t="e">
        <f>TTEST(AN273:AR273,AI273:AM273,2,2)</f>
        <v>#DIV/0!</v>
      </c>
      <c r="CE273" t="e">
        <f>TTEST(AX273:BB273,AI273:AM273,2,2)</f>
        <v>#DIV/0!</v>
      </c>
      <c r="CF273">
        <v>258</v>
      </c>
      <c r="CG273">
        <v>272</v>
      </c>
      <c r="CH273">
        <v>276</v>
      </c>
      <c r="CI273">
        <v>251</v>
      </c>
      <c r="CJ273">
        <f>0.05*CF273/464</f>
        <v>2.7801724137931035E-2</v>
      </c>
      <c r="CK273">
        <f>0.05*CG273/464</f>
        <v>2.931034482758621E-2</v>
      </c>
      <c r="CL273">
        <f>0.05*CH273/464</f>
        <v>2.9741379310344828E-2</v>
      </c>
      <c r="CM273">
        <f>0.05*CI273/464</f>
        <v>2.704741379310345E-2</v>
      </c>
      <c r="CN273" t="e">
        <f>IF(CB273&lt;CJ273,"yes","no")</f>
        <v>#DIV/0!</v>
      </c>
      <c r="CO273" t="e">
        <f>IF(CC273&lt;CK273,"yes","no")</f>
        <v>#DIV/0!</v>
      </c>
      <c r="CP273" t="e">
        <f>IF(CD273&lt;CL273,"yes","no")</f>
        <v>#DIV/0!</v>
      </c>
      <c r="CQ273" t="e">
        <f>IF(CE273&lt;CM273,"yes","no")</f>
        <v>#DIV/0!</v>
      </c>
      <c r="CR273">
        <f>TTEST(AS273:AW273,AD273:AH273,2,2)</f>
        <v>6.9675768857314728E-4</v>
      </c>
      <c r="CS273">
        <f>TTEST(AS273:AW273,AN273:AR273,2,2)</f>
        <v>5.4437323233981087E-2</v>
      </c>
      <c r="CT273" t="e">
        <f>TTEST(AS273:AW273,AX273:BB273,2,2)</f>
        <v>#DIV/0!</v>
      </c>
      <c r="CU273">
        <v>158</v>
      </c>
      <c r="CV273">
        <v>167</v>
      </c>
      <c r="CW273">
        <v>272</v>
      </c>
      <c r="CX273">
        <f t="shared" si="12"/>
        <v>1.7025862068965517E-2</v>
      </c>
      <c r="CY273">
        <f t="shared" si="13"/>
        <v>1.7995689655172412E-2</v>
      </c>
      <c r="CZ273">
        <f t="shared" si="14"/>
        <v>2.931034482758621E-2</v>
      </c>
      <c r="DA273" t="str">
        <f>IF(CR273&lt;CX273,"yes","no")</f>
        <v>yes</v>
      </c>
      <c r="DB273" t="str">
        <f>IF(CS273&lt;CY273,"yes","no")</f>
        <v>no</v>
      </c>
      <c r="DC273" t="e">
        <f>IF(CT273&lt;CZ273,"yes","no")</f>
        <v>#DIV/0!</v>
      </c>
    </row>
    <row r="274" spans="1:107" x14ac:dyDescent="0.2">
      <c r="A274" s="2" t="b">
        <v>0</v>
      </c>
      <c r="B274" s="2" t="s">
        <v>79</v>
      </c>
      <c r="C274" s="2" t="s">
        <v>80</v>
      </c>
      <c r="D274" s="2" t="s">
        <v>1412</v>
      </c>
      <c r="E274" s="2" t="s">
        <v>1413</v>
      </c>
      <c r="F274" s="2">
        <v>1</v>
      </c>
      <c r="G274" s="2">
        <v>1</v>
      </c>
      <c r="H274" s="2">
        <v>34.299999999999997</v>
      </c>
      <c r="I274" s="2">
        <v>7.36</v>
      </c>
      <c r="J274" s="2" t="s">
        <v>1220</v>
      </c>
      <c r="K274" s="2" t="s">
        <v>271</v>
      </c>
      <c r="L274" s="2" t="s">
        <v>315</v>
      </c>
      <c r="M274" s="2" t="s">
        <v>83</v>
      </c>
      <c r="N274" s="2" t="s">
        <v>1414</v>
      </c>
      <c r="O274" s="2">
        <v>5.7389999999999999</v>
      </c>
      <c r="P274" s="2">
        <v>2.6930000000000001</v>
      </c>
      <c r="Q274" s="2">
        <v>0.01</v>
      </c>
      <c r="R274" s="2">
        <v>0.32100000000000001</v>
      </c>
      <c r="S274" s="2">
        <v>1.8360000000000001</v>
      </c>
      <c r="T274" s="2">
        <v>0.66800000000000004</v>
      </c>
      <c r="U274" s="2">
        <v>0.01</v>
      </c>
      <c r="V274" s="2">
        <v>0.52100000000000002</v>
      </c>
      <c r="W274" s="2">
        <v>0.01</v>
      </c>
      <c r="X274" s="2">
        <v>0.01</v>
      </c>
      <c r="Y274" s="2">
        <v>33.9</v>
      </c>
      <c r="Z274" s="2">
        <v>105.5</v>
      </c>
      <c r="AA274" s="2">
        <v>260.60000000000002</v>
      </c>
      <c r="AB274" s="2">
        <v>100</v>
      </c>
      <c r="AC274" s="2" t="s">
        <v>83</v>
      </c>
      <c r="AD274" s="2">
        <v>85189.6171875</v>
      </c>
      <c r="AE274" s="2">
        <v>73189.875</v>
      </c>
      <c r="AF274" s="2">
        <v>86178.9921875</v>
      </c>
      <c r="AG274" s="2">
        <v>147438.390625</v>
      </c>
      <c r="AH274" s="2" t="s">
        <v>83</v>
      </c>
      <c r="AI274" s="2">
        <v>6035.98828125</v>
      </c>
      <c r="AJ274" s="2" t="s">
        <v>83</v>
      </c>
      <c r="AK274" s="2">
        <v>3309.12841796875</v>
      </c>
      <c r="AL274" s="2">
        <v>24143.619140625</v>
      </c>
      <c r="AM274" s="2">
        <v>4597.10498046875</v>
      </c>
      <c r="AN274" s="2">
        <v>10876.6533203125</v>
      </c>
      <c r="AO274" s="2">
        <v>11908.5302734375</v>
      </c>
      <c r="AP274" s="2">
        <v>7654.7158203125</v>
      </c>
      <c r="AQ274" s="2">
        <v>8344.2333984375</v>
      </c>
      <c r="AR274" s="2">
        <v>17528.484375</v>
      </c>
      <c r="AS274" s="2">
        <v>17304.41015625</v>
      </c>
      <c r="AT274" s="2">
        <v>11282.1494140625</v>
      </c>
      <c r="AU274" s="2">
        <v>74562.9140625</v>
      </c>
      <c r="AV274" s="2" t="s">
        <v>83</v>
      </c>
      <c r="AW274" s="2">
        <v>99556.9140625</v>
      </c>
      <c r="AX274" s="2" t="s">
        <v>83</v>
      </c>
      <c r="AY274" s="2" t="s">
        <v>83</v>
      </c>
      <c r="AZ274" s="2" t="s">
        <v>83</v>
      </c>
      <c r="BA274" s="2" t="s">
        <v>83</v>
      </c>
      <c r="BB274" s="2" t="s">
        <v>83</v>
      </c>
      <c r="BC274" s="2" t="s">
        <v>91</v>
      </c>
      <c r="BD274" s="2" t="s">
        <v>91</v>
      </c>
      <c r="BE274" s="2" t="s">
        <v>91</v>
      </c>
      <c r="BF274" s="2" t="s">
        <v>79</v>
      </c>
      <c r="BG274" s="2" t="s">
        <v>98</v>
      </c>
      <c r="BH274" s="2" t="s">
        <v>91</v>
      </c>
      <c r="BI274" s="2" t="s">
        <v>98</v>
      </c>
      <c r="BJ274" s="2" t="s">
        <v>91</v>
      </c>
      <c r="BK274" s="2" t="s">
        <v>91</v>
      </c>
      <c r="BL274" s="2" t="s">
        <v>91</v>
      </c>
      <c r="BM274" s="2" t="s">
        <v>91</v>
      </c>
      <c r="BN274" s="2" t="s">
        <v>91</v>
      </c>
      <c r="BO274" s="2" t="s">
        <v>91</v>
      </c>
      <c r="BP274" s="2" t="s">
        <v>91</v>
      </c>
      <c r="BQ274" s="2" t="s">
        <v>91</v>
      </c>
      <c r="BR274" s="2" t="s">
        <v>91</v>
      </c>
      <c r="BS274" s="2" t="s">
        <v>91</v>
      </c>
      <c r="BT274" s="2" t="s">
        <v>91</v>
      </c>
      <c r="BU274" s="2" t="s">
        <v>98</v>
      </c>
      <c r="BV274" s="2" t="s">
        <v>91</v>
      </c>
      <c r="BW274" s="2" t="s">
        <v>98</v>
      </c>
      <c r="BX274" s="2" t="s">
        <v>98</v>
      </c>
      <c r="BY274" s="2" t="s">
        <v>98</v>
      </c>
      <c r="BZ274" s="2" t="s">
        <v>98</v>
      </c>
      <c r="CA274" s="2" t="s">
        <v>98</v>
      </c>
      <c r="CB274">
        <f>TTEST(AS274:AW274,AI274:AM274,2,2)</f>
        <v>0.11319143320009607</v>
      </c>
      <c r="CC274">
        <f>TTEST(AD274:AH274,AI274:AM274,2,2)</f>
        <v>2.2845274603518107E-3</v>
      </c>
      <c r="CD274">
        <f>TTEST(AN274:AR274,AI274:AM274,2,2)</f>
        <v>0.72448751189975147</v>
      </c>
      <c r="CE274" t="e">
        <f>TTEST(AX274:BB274,AI274:AM274,2,2)</f>
        <v>#DIV/0!</v>
      </c>
      <c r="CF274">
        <v>158</v>
      </c>
      <c r="CG274">
        <v>144</v>
      </c>
      <c r="CH274">
        <v>210</v>
      </c>
      <c r="CI274">
        <v>252</v>
      </c>
      <c r="CJ274">
        <f>0.05*CF274/464</f>
        <v>1.7025862068965517E-2</v>
      </c>
      <c r="CK274">
        <f>0.05*CG274/464</f>
        <v>1.5517241379310345E-2</v>
      </c>
      <c r="CL274">
        <f>0.05*CH274/464</f>
        <v>2.2629310344827586E-2</v>
      </c>
      <c r="CM274">
        <f>0.05*CI274/464</f>
        <v>2.7155172413793106E-2</v>
      </c>
      <c r="CN274" t="str">
        <f>IF(CB274&lt;CJ274,"yes","no")</f>
        <v>no</v>
      </c>
      <c r="CO274" t="str">
        <f>IF(CC274&lt;CK274,"yes","no")</f>
        <v>yes</v>
      </c>
      <c r="CP274" t="str">
        <f>IF(CD274&lt;CL274,"yes","no")</f>
        <v>no</v>
      </c>
      <c r="CQ274" t="e">
        <f>IF(CE274&lt;CM274,"yes","no")</f>
        <v>#DIV/0!</v>
      </c>
      <c r="CR274">
        <f>TTEST(AS274:AW274,AD274:AH274,2,2)</f>
        <v>0.13453435838364486</v>
      </c>
      <c r="CS274">
        <f>TTEST(AS274:AW274,AN274:AR274,2,2)</f>
        <v>7.8205084928019183E-2</v>
      </c>
      <c r="CT274" t="e">
        <f>TTEST(AS274:AW274,AX274:BB274,2,2)</f>
        <v>#DIV/0!</v>
      </c>
      <c r="CU274">
        <v>259</v>
      </c>
      <c r="CV274">
        <v>173</v>
      </c>
      <c r="CW274">
        <v>273</v>
      </c>
      <c r="CX274">
        <f t="shared" si="12"/>
        <v>2.7909482758620693E-2</v>
      </c>
      <c r="CY274">
        <f t="shared" si="13"/>
        <v>1.8642241379310344E-2</v>
      </c>
      <c r="CZ274">
        <f t="shared" si="14"/>
        <v>2.9418103448275862E-2</v>
      </c>
      <c r="DA274" t="str">
        <f>IF(CR274&lt;CX274,"yes","no")</f>
        <v>no</v>
      </c>
      <c r="DB274" t="str">
        <f>IF(CS274&lt;CY274,"yes","no")</f>
        <v>no</v>
      </c>
      <c r="DC274" t="e">
        <f>IF(CT274&lt;CZ274,"yes","no")</f>
        <v>#DIV/0!</v>
      </c>
    </row>
    <row r="275" spans="1:107" x14ac:dyDescent="0.2">
      <c r="A275" s="2" t="b">
        <v>0</v>
      </c>
      <c r="B275" s="2" t="s">
        <v>79</v>
      </c>
      <c r="C275" s="2" t="s">
        <v>80</v>
      </c>
      <c r="D275" s="2" t="s">
        <v>394</v>
      </c>
      <c r="E275" s="2" t="s">
        <v>395</v>
      </c>
      <c r="F275" s="2">
        <v>10</v>
      </c>
      <c r="G275" s="2">
        <v>2</v>
      </c>
      <c r="H275" s="2">
        <v>49.6</v>
      </c>
      <c r="I275" s="2">
        <v>4.8899999999999997</v>
      </c>
      <c r="J275" s="2" t="s">
        <v>396</v>
      </c>
      <c r="K275" s="2" t="s">
        <v>397</v>
      </c>
      <c r="L275" s="2" t="s">
        <v>202</v>
      </c>
      <c r="M275" s="2" t="s">
        <v>398</v>
      </c>
      <c r="N275" s="2" t="s">
        <v>399</v>
      </c>
      <c r="O275" s="2">
        <v>7.234</v>
      </c>
      <c r="P275" s="2">
        <v>0.49299999999999999</v>
      </c>
      <c r="Q275" s="2">
        <v>0.01</v>
      </c>
      <c r="R275" s="2">
        <v>0.26800000000000002</v>
      </c>
      <c r="S275" s="2">
        <v>1.4910000000000001</v>
      </c>
      <c r="T275" s="2">
        <v>0.13300000000000001</v>
      </c>
      <c r="U275" s="2">
        <v>0.01</v>
      </c>
      <c r="V275" s="2">
        <v>6.9000000000000006E-2</v>
      </c>
      <c r="W275" s="2">
        <v>0.01</v>
      </c>
      <c r="X275" s="2">
        <v>0.01</v>
      </c>
      <c r="Y275" s="2">
        <v>38.700000000000003</v>
      </c>
      <c r="Z275" s="2">
        <v>152.4</v>
      </c>
      <c r="AA275" s="2">
        <v>289.8</v>
      </c>
      <c r="AB275" s="2">
        <v>19.100000000000001</v>
      </c>
      <c r="AC275" s="2" t="s">
        <v>83</v>
      </c>
      <c r="AD275" s="2">
        <v>113225.28125</v>
      </c>
      <c r="AE275" s="2">
        <v>110342.71875</v>
      </c>
      <c r="AF275" s="2">
        <v>92826.9140625</v>
      </c>
      <c r="AG275" s="2">
        <v>118771.4765625</v>
      </c>
      <c r="AH275" s="2">
        <v>95815.5078125</v>
      </c>
      <c r="AI275" s="2" t="s">
        <v>83</v>
      </c>
      <c r="AJ275" s="2">
        <v>4338.43896484375</v>
      </c>
      <c r="AK275" s="2" t="s">
        <v>83</v>
      </c>
      <c r="AL275" s="2">
        <v>24034.587890625</v>
      </c>
      <c r="AM275" s="2" t="s">
        <v>83</v>
      </c>
      <c r="AN275" s="2">
        <v>13455.0263671875</v>
      </c>
      <c r="AO275" s="2">
        <v>14273.0810546875</v>
      </c>
      <c r="AP275" s="2">
        <v>18263.44921875</v>
      </c>
      <c r="AQ275" s="2">
        <v>8544.859375</v>
      </c>
      <c r="AR275" s="2">
        <v>10564</v>
      </c>
      <c r="AS275" s="2" t="s">
        <v>83</v>
      </c>
      <c r="AT275" s="2">
        <v>12726.3369140625</v>
      </c>
      <c r="AU275" s="2">
        <v>6641.45361328125</v>
      </c>
      <c r="AV275" s="2">
        <v>7119.90576171875</v>
      </c>
      <c r="AW275" s="2">
        <v>8447.27734375</v>
      </c>
      <c r="AX275" s="2" t="s">
        <v>83</v>
      </c>
      <c r="AY275" s="2" t="s">
        <v>83</v>
      </c>
      <c r="AZ275" s="2" t="s">
        <v>83</v>
      </c>
      <c r="BA275" s="2" t="s">
        <v>83</v>
      </c>
      <c r="BB275" s="2" t="s">
        <v>83</v>
      </c>
      <c r="BC275" s="2" t="s">
        <v>91</v>
      </c>
      <c r="BD275" s="2" t="s">
        <v>79</v>
      </c>
      <c r="BE275" s="2" t="s">
        <v>79</v>
      </c>
      <c r="BF275" s="2" t="s">
        <v>79</v>
      </c>
      <c r="BG275" s="2" t="s">
        <v>79</v>
      </c>
      <c r="BH275" s="2" t="s">
        <v>98</v>
      </c>
      <c r="BI275" s="2" t="s">
        <v>91</v>
      </c>
      <c r="BJ275" s="2" t="s">
        <v>98</v>
      </c>
      <c r="BK275" s="2" t="s">
        <v>79</v>
      </c>
      <c r="BL275" s="2" t="s">
        <v>98</v>
      </c>
      <c r="BM275" s="2" t="s">
        <v>91</v>
      </c>
      <c r="BN275" s="2" t="s">
        <v>79</v>
      </c>
      <c r="BO275" s="2" t="s">
        <v>79</v>
      </c>
      <c r="BP275" s="2" t="s">
        <v>91</v>
      </c>
      <c r="BQ275" s="2" t="s">
        <v>79</v>
      </c>
      <c r="BR275" s="2" t="s">
        <v>98</v>
      </c>
      <c r="BS275" s="2" t="s">
        <v>91</v>
      </c>
      <c r="BT275" s="2" t="s">
        <v>91</v>
      </c>
      <c r="BU275" s="2" t="s">
        <v>91</v>
      </c>
      <c r="BV275" s="2" t="s">
        <v>91</v>
      </c>
      <c r="BW275" s="2" t="s">
        <v>98</v>
      </c>
      <c r="BX275" s="2" t="s">
        <v>98</v>
      </c>
      <c r="BY275" s="2" t="s">
        <v>98</v>
      </c>
      <c r="BZ275" s="2" t="s">
        <v>98</v>
      </c>
      <c r="CA275" s="2" t="s">
        <v>98</v>
      </c>
      <c r="CB275">
        <f>TTEST(AS275:AW275,AI275:AM275,2,2)</f>
        <v>0.4407910975654275</v>
      </c>
      <c r="CC275">
        <f>TTEST(AD275:AH275,AI275:AM275,2,2)</f>
        <v>2.468598894022323E-4</v>
      </c>
      <c r="CD275">
        <f>TTEST(AN275:AR275,AI275:AM275,2,2)</f>
        <v>0.85125375642085799</v>
      </c>
      <c r="CE275" t="e">
        <f>TTEST(AX275:BB275,AI275:AM275,2,2)</f>
        <v>#DIV/0!</v>
      </c>
      <c r="CF275">
        <v>193</v>
      </c>
      <c r="CG275">
        <v>120</v>
      </c>
      <c r="CH275">
        <v>222</v>
      </c>
      <c r="CI275">
        <v>254</v>
      </c>
      <c r="CJ275">
        <f>0.05*CF275/464</f>
        <v>2.0797413793103448E-2</v>
      </c>
      <c r="CK275">
        <f>0.05*CG275/464</f>
        <v>1.2931034482758621E-2</v>
      </c>
      <c r="CL275">
        <f>0.05*CH275/464</f>
        <v>2.3922413793103451E-2</v>
      </c>
      <c r="CM275">
        <f>0.05*CI275/464</f>
        <v>2.7370689655172416E-2</v>
      </c>
      <c r="CN275" t="str">
        <f>IF(CB275&lt;CJ275,"yes","no")</f>
        <v>no</v>
      </c>
      <c r="CO275" t="str">
        <f>IF(CC275&lt;CK275,"yes","no")</f>
        <v>yes</v>
      </c>
      <c r="CP275" t="str">
        <f>IF(CD275&lt;CL275,"yes","no")</f>
        <v>no</v>
      </c>
      <c r="CQ275" t="e">
        <f>IF(CE275&lt;CM275,"yes","no")</f>
        <v>#DIV/0!</v>
      </c>
      <c r="CR275">
        <f>TTEST(AS275:AW275,AD275:AH275,2,2)</f>
        <v>6.9439978091897116E-7</v>
      </c>
      <c r="CS275">
        <f>TTEST(AS275:AW275,AN275:AR275,2,2)</f>
        <v>9.7714682834225894E-2</v>
      </c>
      <c r="CT275" t="e">
        <f>TTEST(AS275:AW275,AX275:BB275,2,2)</f>
        <v>#DIV/0!</v>
      </c>
      <c r="CU275">
        <v>42</v>
      </c>
      <c r="CV275">
        <v>178</v>
      </c>
      <c r="CW275">
        <v>274</v>
      </c>
      <c r="CX275">
        <f t="shared" si="12"/>
        <v>4.5258620689655176E-3</v>
      </c>
      <c r="CY275">
        <f t="shared" si="13"/>
        <v>1.9181034482758621E-2</v>
      </c>
      <c r="CZ275">
        <f t="shared" si="14"/>
        <v>2.9525862068965521E-2</v>
      </c>
      <c r="DA275" t="str">
        <f>IF(CR275&lt;CX275,"yes","no")</f>
        <v>yes</v>
      </c>
      <c r="DB275" t="str">
        <f>IF(CS275&lt;CY275,"yes","no")</f>
        <v>no</v>
      </c>
      <c r="DC275" t="e">
        <f>IF(CT275&lt;CZ275,"yes","no")</f>
        <v>#DIV/0!</v>
      </c>
    </row>
    <row r="276" spans="1:107" x14ac:dyDescent="0.2">
      <c r="A276" s="2" t="b">
        <v>0</v>
      </c>
      <c r="B276" s="2" t="s">
        <v>79</v>
      </c>
      <c r="C276" s="2" t="s">
        <v>80</v>
      </c>
      <c r="D276" s="2" t="s">
        <v>297</v>
      </c>
      <c r="E276" s="2" t="s">
        <v>298</v>
      </c>
      <c r="F276" s="2">
        <v>12</v>
      </c>
      <c r="G276" s="2">
        <v>1</v>
      </c>
      <c r="H276" s="2">
        <v>52.7</v>
      </c>
      <c r="I276" s="2">
        <v>5.16</v>
      </c>
      <c r="J276" s="2" t="s">
        <v>83</v>
      </c>
      <c r="K276" s="2" t="s">
        <v>247</v>
      </c>
      <c r="L276" s="2" t="s">
        <v>119</v>
      </c>
      <c r="M276" s="2" t="s">
        <v>83</v>
      </c>
      <c r="N276" s="2" t="s">
        <v>299</v>
      </c>
      <c r="O276" s="2">
        <v>41.576000000000001</v>
      </c>
      <c r="P276" s="2">
        <v>0.96799999999999997</v>
      </c>
      <c r="Q276" s="2">
        <v>7.9189999999999996</v>
      </c>
      <c r="R276" s="2">
        <v>2.5000000000000001E-2</v>
      </c>
      <c r="S276" s="2">
        <v>0.78900000000000003</v>
      </c>
      <c r="T276" s="2">
        <v>1.7000000000000001E-2</v>
      </c>
      <c r="U276" s="2">
        <v>0.182</v>
      </c>
      <c r="V276" s="2">
        <v>0.02</v>
      </c>
      <c r="W276" s="2">
        <v>0.20799999999999999</v>
      </c>
      <c r="X276" s="2">
        <v>13.651</v>
      </c>
      <c r="Y276" s="2">
        <v>8.3000000000000007</v>
      </c>
      <c r="Z276" s="2">
        <v>254.4</v>
      </c>
      <c r="AA276" s="2">
        <v>212.2</v>
      </c>
      <c r="AB276" s="2">
        <v>2.5</v>
      </c>
      <c r="AC276" s="2">
        <v>22.6</v>
      </c>
      <c r="AD276" s="2">
        <v>585983.2421875</v>
      </c>
      <c r="AE276" s="2">
        <v>841022.515625</v>
      </c>
      <c r="AF276" s="2">
        <v>78070.607421875</v>
      </c>
      <c r="AG276" s="2" t="s">
        <v>83</v>
      </c>
      <c r="AH276" s="2" t="s">
        <v>83</v>
      </c>
      <c r="AI276" s="2">
        <v>262339.583984375</v>
      </c>
      <c r="AJ276" s="2">
        <v>482231.015625</v>
      </c>
      <c r="AK276" s="2">
        <v>252848.98828125</v>
      </c>
      <c r="AL276" s="2">
        <v>871382.78125</v>
      </c>
      <c r="AM276" s="2">
        <v>259821.82519531299</v>
      </c>
      <c r="AN276" s="2">
        <v>107783.125488281</v>
      </c>
      <c r="AO276" s="2">
        <v>142965.45703125</v>
      </c>
      <c r="AP276" s="2">
        <v>717454.400390625</v>
      </c>
      <c r="AQ276" s="2">
        <v>285344.47167968802</v>
      </c>
      <c r="AR276" s="2">
        <v>692462.734375</v>
      </c>
      <c r="AS276" s="2" t="s">
        <v>83</v>
      </c>
      <c r="AT276" s="2" t="s">
        <v>83</v>
      </c>
      <c r="AU276" s="2">
        <v>103037.919921875</v>
      </c>
      <c r="AV276" s="2">
        <v>22203.134765625</v>
      </c>
      <c r="AW276" s="2">
        <v>23349.0908203125</v>
      </c>
      <c r="AX276" s="2" t="s">
        <v>83</v>
      </c>
      <c r="AY276" s="2">
        <v>127670.55078125</v>
      </c>
      <c r="AZ276" s="2" t="s">
        <v>83</v>
      </c>
      <c r="BA276" s="2" t="s">
        <v>83</v>
      </c>
      <c r="BB276" s="2" t="s">
        <v>83</v>
      </c>
      <c r="BC276" s="2" t="s">
        <v>79</v>
      </c>
      <c r="BD276" s="2" t="s">
        <v>79</v>
      </c>
      <c r="BE276" s="2" t="s">
        <v>91</v>
      </c>
      <c r="BF276" s="2" t="s">
        <v>98</v>
      </c>
      <c r="BG276" s="2" t="s">
        <v>98</v>
      </c>
      <c r="BH276" s="2" t="s">
        <v>79</v>
      </c>
      <c r="BI276" s="2" t="s">
        <v>79</v>
      </c>
      <c r="BJ276" s="2" t="s">
        <v>79</v>
      </c>
      <c r="BK276" s="2" t="s">
        <v>79</v>
      </c>
      <c r="BL276" s="2" t="s">
        <v>79</v>
      </c>
      <c r="BM276" s="2" t="s">
        <v>91</v>
      </c>
      <c r="BN276" s="2" t="s">
        <v>79</v>
      </c>
      <c r="BO276" s="2" t="s">
        <v>79</v>
      </c>
      <c r="BP276" s="2" t="s">
        <v>79</v>
      </c>
      <c r="BQ276" s="2" t="s">
        <v>79</v>
      </c>
      <c r="BR276" s="2" t="s">
        <v>98</v>
      </c>
      <c r="BS276" s="2" t="s">
        <v>98</v>
      </c>
      <c r="BT276" s="2" t="s">
        <v>91</v>
      </c>
      <c r="BU276" s="2" t="s">
        <v>91</v>
      </c>
      <c r="BV276" s="2" t="s">
        <v>91</v>
      </c>
      <c r="BW276" s="2" t="s">
        <v>98</v>
      </c>
      <c r="BX276" s="2" t="s">
        <v>91</v>
      </c>
      <c r="BY276" s="2" t="s">
        <v>98</v>
      </c>
      <c r="BZ276" s="2" t="s">
        <v>98</v>
      </c>
      <c r="CA276" s="2" t="s">
        <v>98</v>
      </c>
      <c r="CB276">
        <f>TTEST(AS276:AW276,AI276:AM276,2,2)</f>
        <v>5.7664437477050766E-2</v>
      </c>
      <c r="CC276">
        <f>TTEST(AD276:AH276,AI276:AM276,2,2)</f>
        <v>0.75089528911974057</v>
      </c>
      <c r="CD276">
        <f>TTEST(AN276:AR276,AI276:AM276,2,2)</f>
        <v>0.84286497619351364</v>
      </c>
      <c r="CE276" t="e">
        <f>TTEST(AX276:BB276,AI276:AM276,2,2)</f>
        <v>#DIV/0!</v>
      </c>
      <c r="CF276">
        <v>152</v>
      </c>
      <c r="CG276">
        <v>234</v>
      </c>
      <c r="CH276">
        <v>221</v>
      </c>
      <c r="CI276">
        <v>255</v>
      </c>
      <c r="CJ276">
        <f>0.05*CF276/464</f>
        <v>1.6379310344827588E-2</v>
      </c>
      <c r="CK276">
        <f>0.05*CG276/464</f>
        <v>2.5215517241379312E-2</v>
      </c>
      <c r="CL276">
        <f>0.05*CH276/464</f>
        <v>2.3814655172413796E-2</v>
      </c>
      <c r="CM276">
        <f>0.05*CI276/464</f>
        <v>2.7478448275862068E-2</v>
      </c>
      <c r="CN276" t="str">
        <f>IF(CB276&lt;CJ276,"yes","no")</f>
        <v>no</v>
      </c>
      <c r="CO276" t="str">
        <f>IF(CC276&lt;CK276,"yes","no")</f>
        <v>no</v>
      </c>
      <c r="CP276" t="str">
        <f>IF(CD276&lt;CL276,"yes","no")</f>
        <v>no</v>
      </c>
      <c r="CQ276" t="e">
        <f>IF(CE276&lt;CM276,"yes","no")</f>
        <v>#DIV/0!</v>
      </c>
      <c r="CR276">
        <f>TTEST(AS276:AW276,AD276:AH276,2,2)</f>
        <v>0.11582453158951814</v>
      </c>
      <c r="CS276">
        <f>TTEST(AS276:AW276,AN276:AR276,2,2)</f>
        <v>0.10425107212475668</v>
      </c>
      <c r="CT276" t="e">
        <f>TTEST(AS276:AW276,AX276:BB276,2,2)</f>
        <v>#DIV/0!</v>
      </c>
      <c r="CU276">
        <v>253</v>
      </c>
      <c r="CV276">
        <v>180</v>
      </c>
      <c r="CW276">
        <v>275</v>
      </c>
      <c r="CX276">
        <f t="shared" si="12"/>
        <v>2.7262931034482761E-2</v>
      </c>
      <c r="CY276">
        <f t="shared" si="13"/>
        <v>1.9396551724137932E-2</v>
      </c>
      <c r="CZ276">
        <f t="shared" si="14"/>
        <v>2.9633620689655173E-2</v>
      </c>
      <c r="DA276" t="str">
        <f>IF(CR276&lt;CX276,"yes","no")</f>
        <v>no</v>
      </c>
      <c r="DB276" t="str">
        <f>IF(CS276&lt;CY276,"yes","no")</f>
        <v>no</v>
      </c>
      <c r="DC276" t="e">
        <f>IF(CT276&lt;CZ276,"yes","no")</f>
        <v>#DIV/0!</v>
      </c>
    </row>
    <row r="277" spans="1:107" x14ac:dyDescent="0.2">
      <c r="A277" s="2" t="b">
        <v>0</v>
      </c>
      <c r="B277" s="2" t="s">
        <v>79</v>
      </c>
      <c r="C277" s="2" t="s">
        <v>80</v>
      </c>
      <c r="D277" s="2" t="s">
        <v>1652</v>
      </c>
      <c r="E277" s="2" t="s">
        <v>1653</v>
      </c>
      <c r="F277" s="2">
        <v>1</v>
      </c>
      <c r="G277" s="2">
        <v>1</v>
      </c>
      <c r="H277" s="2">
        <v>13.5</v>
      </c>
      <c r="I277" s="2">
        <v>7.83</v>
      </c>
      <c r="J277" s="2" t="s">
        <v>83</v>
      </c>
      <c r="K277" s="2" t="s">
        <v>83</v>
      </c>
      <c r="L277" s="2" t="s">
        <v>83</v>
      </c>
      <c r="M277" s="2" t="s">
        <v>83</v>
      </c>
      <c r="N277" s="2" t="s">
        <v>1652</v>
      </c>
      <c r="O277" s="2">
        <v>11.944000000000001</v>
      </c>
      <c r="P277" s="2">
        <v>6.4429999999999996</v>
      </c>
      <c r="Q277" s="2">
        <v>0.01</v>
      </c>
      <c r="R277" s="2">
        <v>0.112</v>
      </c>
      <c r="S277" s="2">
        <v>1.3129999999999999</v>
      </c>
      <c r="T277" s="2">
        <v>0.69499999999999995</v>
      </c>
      <c r="U277" s="2">
        <v>0.01</v>
      </c>
      <c r="V277" s="2">
        <v>0.52900000000000003</v>
      </c>
      <c r="W277" s="2">
        <v>0.01</v>
      </c>
      <c r="X277" s="2">
        <v>0.01</v>
      </c>
      <c r="Y277" s="2">
        <v>19.600000000000001</v>
      </c>
      <c r="Z277" s="2">
        <v>165.8</v>
      </c>
      <c r="AA277" s="2">
        <v>205.8</v>
      </c>
      <c r="AB277" s="2">
        <v>108.9</v>
      </c>
      <c r="AC277" s="2" t="s">
        <v>83</v>
      </c>
      <c r="AD277" s="2">
        <v>23060.904296875</v>
      </c>
      <c r="AE277" s="2" t="s">
        <v>83</v>
      </c>
      <c r="AF277" s="2" t="s">
        <v>83</v>
      </c>
      <c r="AG277" s="2">
        <v>42499.671875</v>
      </c>
      <c r="AH277" s="2">
        <v>38882.99609375</v>
      </c>
      <c r="AI277" s="2">
        <v>7876.80419921875</v>
      </c>
      <c r="AJ277" s="2" t="s">
        <v>83</v>
      </c>
      <c r="AK277" s="2" t="s">
        <v>83</v>
      </c>
      <c r="AL277" s="2">
        <v>9328.08984375</v>
      </c>
      <c r="AM277" s="2">
        <v>4001.49780273438</v>
      </c>
      <c r="AN277" s="2" t="s">
        <v>83</v>
      </c>
      <c r="AO277" s="2" t="s">
        <v>83</v>
      </c>
      <c r="AP277" s="2">
        <v>10933.328125</v>
      </c>
      <c r="AQ277" s="2" t="s">
        <v>83</v>
      </c>
      <c r="AR277" s="2">
        <v>8266.5029296875</v>
      </c>
      <c r="AS277" s="2">
        <v>17929.7421875</v>
      </c>
      <c r="AT277" s="2">
        <v>51583.94140625</v>
      </c>
      <c r="AU277" s="2">
        <v>23524.228515625</v>
      </c>
      <c r="AV277" s="2">
        <v>39999.78515625</v>
      </c>
      <c r="AW277" s="2" t="s">
        <v>83</v>
      </c>
      <c r="AX277" s="2" t="s">
        <v>83</v>
      </c>
      <c r="AY277" s="2" t="s">
        <v>83</v>
      </c>
      <c r="AZ277" s="2" t="s">
        <v>83</v>
      </c>
      <c r="BA277" s="2" t="s">
        <v>83</v>
      </c>
      <c r="BB277" s="2" t="s">
        <v>83</v>
      </c>
      <c r="BC277" s="2" t="s">
        <v>79</v>
      </c>
      <c r="BD277" s="2" t="s">
        <v>98</v>
      </c>
      <c r="BE277" s="2" t="s">
        <v>98</v>
      </c>
      <c r="BF277" s="2" t="s">
        <v>79</v>
      </c>
      <c r="BG277" s="2" t="s">
        <v>79</v>
      </c>
      <c r="BH277" s="2" t="s">
        <v>91</v>
      </c>
      <c r="BI277" s="2" t="s">
        <v>98</v>
      </c>
      <c r="BJ277" s="2" t="s">
        <v>98</v>
      </c>
      <c r="BK277" s="2" t="s">
        <v>91</v>
      </c>
      <c r="BL277" s="2" t="s">
        <v>91</v>
      </c>
      <c r="BM277" s="2" t="s">
        <v>98</v>
      </c>
      <c r="BN277" s="2" t="s">
        <v>98</v>
      </c>
      <c r="BO277" s="2" t="s">
        <v>91</v>
      </c>
      <c r="BP277" s="2" t="s">
        <v>98</v>
      </c>
      <c r="BQ277" s="2" t="s">
        <v>91</v>
      </c>
      <c r="BR277" s="2" t="s">
        <v>91</v>
      </c>
      <c r="BS277" s="2" t="s">
        <v>91</v>
      </c>
      <c r="BT277" s="2" t="s">
        <v>91</v>
      </c>
      <c r="BU277" s="2" t="s">
        <v>91</v>
      </c>
      <c r="BV277" s="2" t="s">
        <v>98</v>
      </c>
      <c r="BW277" s="2" t="s">
        <v>98</v>
      </c>
      <c r="BX277" s="2" t="s">
        <v>98</v>
      </c>
      <c r="BY277" s="2" t="s">
        <v>98</v>
      </c>
      <c r="BZ277" s="2" t="s">
        <v>98</v>
      </c>
      <c r="CA277" s="2" t="s">
        <v>98</v>
      </c>
      <c r="CB277">
        <f>TTEST(AS277:AW277,AI277:AM277,2,2)</f>
        <v>3.6013826804245759E-2</v>
      </c>
      <c r="CC277">
        <f>TTEST(AD277:AH277,AI277:AM277,2,2)</f>
        <v>1.0890537452686942E-2</v>
      </c>
      <c r="CD277">
        <f>TTEST(AN277:AR277,AI277:AM277,2,2)</f>
        <v>0.34799878022791986</v>
      </c>
      <c r="CE277" t="e">
        <f>TTEST(AX277:BB277,AI277:AM277,2,2)</f>
        <v>#DIV/0!</v>
      </c>
      <c r="CF277">
        <v>146</v>
      </c>
      <c r="CG277">
        <v>163</v>
      </c>
      <c r="CH277">
        <v>163</v>
      </c>
      <c r="CI277">
        <v>256</v>
      </c>
      <c r="CJ277">
        <f>0.05*CF277/464</f>
        <v>1.5732758620689655E-2</v>
      </c>
      <c r="CK277">
        <f>0.05*CG277/464</f>
        <v>1.7564655172413794E-2</v>
      </c>
      <c r="CL277">
        <f>0.05*CH277/464</f>
        <v>1.7564655172413794E-2</v>
      </c>
      <c r="CM277">
        <f>0.05*CI277/464</f>
        <v>2.7586206896551727E-2</v>
      </c>
      <c r="CN277" t="str">
        <f>IF(CB277&lt;CJ277,"yes","no")</f>
        <v>no</v>
      </c>
      <c r="CO277" t="str">
        <f>IF(CC277&lt;CK277,"yes","no")</f>
        <v>yes</v>
      </c>
      <c r="CP277" t="str">
        <f>IF(CD277&lt;CL277,"yes","no")</f>
        <v>no</v>
      </c>
      <c r="CQ277" t="e">
        <f>IF(CE277&lt;CM277,"yes","no")</f>
        <v>#DIV/0!</v>
      </c>
      <c r="CR277">
        <f>TTEST(AS277:AW277,AD277:AH277,2,2)</f>
        <v>0.88683960098501802</v>
      </c>
      <c r="CS277">
        <f>TTEST(AS277:AW277,AN277:AR277,2,2)</f>
        <v>0.11043567479100896</v>
      </c>
      <c r="CT277" t="e">
        <f>TTEST(AS277:AW277,AX277:BB277,2,2)</f>
        <v>#DIV/0!</v>
      </c>
      <c r="CU277">
        <v>302</v>
      </c>
      <c r="CV277">
        <v>181</v>
      </c>
      <c r="CW277">
        <v>276</v>
      </c>
      <c r="CX277">
        <f t="shared" si="12"/>
        <v>3.2543103448275865E-2</v>
      </c>
      <c r="CY277">
        <f t="shared" si="13"/>
        <v>1.9504310344827587E-2</v>
      </c>
      <c r="CZ277">
        <f t="shared" si="14"/>
        <v>2.9741379310344828E-2</v>
      </c>
      <c r="DA277" t="str">
        <f>IF(CR277&lt;CX277,"yes","no")</f>
        <v>no</v>
      </c>
      <c r="DB277" t="str">
        <f>IF(CS277&lt;CY277,"yes","no")</f>
        <v>no</v>
      </c>
      <c r="DC277" t="e">
        <f>IF(CT277&lt;CZ277,"yes","no")</f>
        <v>#DIV/0!</v>
      </c>
    </row>
    <row r="278" spans="1:107" x14ac:dyDescent="0.2">
      <c r="A278" s="2" t="b">
        <v>0</v>
      </c>
      <c r="B278" s="2" t="s">
        <v>79</v>
      </c>
      <c r="C278" s="2" t="s">
        <v>80</v>
      </c>
      <c r="D278" s="2" t="s">
        <v>1435</v>
      </c>
      <c r="E278" s="2" t="s">
        <v>1436</v>
      </c>
      <c r="F278" s="2">
        <v>1</v>
      </c>
      <c r="G278" s="2">
        <v>1</v>
      </c>
      <c r="H278" s="2">
        <v>21.7</v>
      </c>
      <c r="I278" s="2">
        <v>4.5599999999999996</v>
      </c>
      <c r="J278" s="2" t="s">
        <v>83</v>
      </c>
      <c r="K278" s="2" t="s">
        <v>271</v>
      </c>
      <c r="L278" s="2" t="s">
        <v>119</v>
      </c>
      <c r="M278" s="2" t="s">
        <v>1437</v>
      </c>
      <c r="N278" s="2" t="s">
        <v>1435</v>
      </c>
      <c r="O278" s="2">
        <v>13.727</v>
      </c>
      <c r="P278" s="2">
        <v>0.37</v>
      </c>
      <c r="Q278" s="2">
        <v>0.01</v>
      </c>
      <c r="R278" s="2">
        <v>0.13700000000000001</v>
      </c>
      <c r="S278" s="2">
        <v>1.69</v>
      </c>
      <c r="T278" s="2">
        <v>5.8000000000000003E-2</v>
      </c>
      <c r="U278" s="2">
        <v>0.01</v>
      </c>
      <c r="V278" s="2">
        <v>2.4E-2</v>
      </c>
      <c r="W278" s="2">
        <v>0.01</v>
      </c>
      <c r="X278" s="2">
        <v>0.01</v>
      </c>
      <c r="Y278" s="2">
        <v>24.2</v>
      </c>
      <c r="Z278" s="2">
        <v>176.9</v>
      </c>
      <c r="AA278" s="2">
        <v>291.8</v>
      </c>
      <c r="AB278" s="2">
        <v>7.1</v>
      </c>
      <c r="AC278" s="2" t="s">
        <v>83</v>
      </c>
      <c r="AD278" s="2">
        <v>113851.546875</v>
      </c>
      <c r="AE278" s="2" t="s">
        <v>83</v>
      </c>
      <c r="AF278" s="2">
        <v>91439.546875</v>
      </c>
      <c r="AG278" s="2">
        <v>89500.5546875</v>
      </c>
      <c r="AH278" s="2" t="s">
        <v>83</v>
      </c>
      <c r="AI278" s="2">
        <v>10844.4365234375</v>
      </c>
      <c r="AJ278" s="2">
        <v>10439.4345703125</v>
      </c>
      <c r="AK278" s="2">
        <v>14019.6171875</v>
      </c>
      <c r="AL278" s="2">
        <v>211294.09375</v>
      </c>
      <c r="AM278" s="2">
        <v>12060.5703125</v>
      </c>
      <c r="AN278" s="2">
        <v>19052.37890625</v>
      </c>
      <c r="AO278" s="2">
        <v>18156.880859375</v>
      </c>
      <c r="AP278" s="2">
        <v>76290.3671875</v>
      </c>
      <c r="AQ278" s="2">
        <v>18238.576171875</v>
      </c>
      <c r="AR278" s="2">
        <v>36753.9375</v>
      </c>
      <c r="AS278" s="2" t="s">
        <v>83</v>
      </c>
      <c r="AT278" s="2">
        <v>6183.91015625</v>
      </c>
      <c r="AU278" s="2" t="s">
        <v>83</v>
      </c>
      <c r="AV278" s="2">
        <v>6801.5537109375</v>
      </c>
      <c r="AW278" s="2">
        <v>4708.19580078125</v>
      </c>
      <c r="AX278" s="2" t="s">
        <v>83</v>
      </c>
      <c r="AY278" s="2" t="s">
        <v>83</v>
      </c>
      <c r="AZ278" s="2" t="s">
        <v>83</v>
      </c>
      <c r="BA278" s="2" t="s">
        <v>83</v>
      </c>
      <c r="BB278" s="2" t="s">
        <v>83</v>
      </c>
      <c r="BC278" s="2" t="s">
        <v>91</v>
      </c>
      <c r="BD278" s="2" t="s">
        <v>98</v>
      </c>
      <c r="BE278" s="2" t="s">
        <v>91</v>
      </c>
      <c r="BF278" s="2" t="s">
        <v>79</v>
      </c>
      <c r="BG278" s="2" t="s">
        <v>98</v>
      </c>
      <c r="BH278" s="2" t="s">
        <v>91</v>
      </c>
      <c r="BI278" s="2" t="s">
        <v>91</v>
      </c>
      <c r="BJ278" s="2" t="s">
        <v>91</v>
      </c>
      <c r="BK278" s="2" t="s">
        <v>79</v>
      </c>
      <c r="BL278" s="2" t="s">
        <v>91</v>
      </c>
      <c r="BM278" s="2" t="s">
        <v>91</v>
      </c>
      <c r="BN278" s="2" t="s">
        <v>91</v>
      </c>
      <c r="BO278" s="2" t="s">
        <v>79</v>
      </c>
      <c r="BP278" s="2" t="s">
        <v>91</v>
      </c>
      <c r="BQ278" s="2" t="s">
        <v>91</v>
      </c>
      <c r="BR278" s="2" t="s">
        <v>98</v>
      </c>
      <c r="BS278" s="2" t="s">
        <v>91</v>
      </c>
      <c r="BT278" s="2" t="s">
        <v>98</v>
      </c>
      <c r="BU278" s="2" t="s">
        <v>91</v>
      </c>
      <c r="BV278" s="2" t="s">
        <v>91</v>
      </c>
      <c r="BW278" s="2" t="s">
        <v>98</v>
      </c>
      <c r="BX278" s="2" t="s">
        <v>98</v>
      </c>
      <c r="BY278" s="2" t="s">
        <v>98</v>
      </c>
      <c r="BZ278" s="2" t="s">
        <v>98</v>
      </c>
      <c r="CA278" s="2" t="s">
        <v>98</v>
      </c>
      <c r="CB278">
        <f>TTEST(AS278:AW278,AI278:AM278,2,2)</f>
        <v>0.42199911321065131</v>
      </c>
      <c r="CC278">
        <f>TTEST(AD278:AH278,AI278:AM278,2,2)</f>
        <v>0.41785567992699818</v>
      </c>
      <c r="CD278">
        <f>TTEST(AN278:AR278,AI278:AM278,2,2)</f>
        <v>0.67497089475344385</v>
      </c>
      <c r="CE278" t="e">
        <f>TTEST(AX278:BB278,AI278:AM278,2,2)</f>
        <v>#DIV/0!</v>
      </c>
      <c r="CF278">
        <v>189</v>
      </c>
      <c r="CG278">
        <v>220</v>
      </c>
      <c r="CH278">
        <v>204</v>
      </c>
      <c r="CI278">
        <v>257</v>
      </c>
      <c r="CJ278">
        <f>0.05*CF278/464</f>
        <v>2.036637931034483E-2</v>
      </c>
      <c r="CK278">
        <f>0.05*CG278/464</f>
        <v>2.3706896551724137E-2</v>
      </c>
      <c r="CL278">
        <f>0.05*CH278/464</f>
        <v>2.1982758620689657E-2</v>
      </c>
      <c r="CM278">
        <f>0.05*CI278/464</f>
        <v>2.7693965517241383E-2</v>
      </c>
      <c r="CN278" t="str">
        <f>IF(CB278&lt;CJ278,"yes","no")</f>
        <v>no</v>
      </c>
      <c r="CO278" t="str">
        <f>IF(CC278&lt;CK278,"yes","no")</f>
        <v>no</v>
      </c>
      <c r="CP278" t="str">
        <f>IF(CD278&lt;CL278,"yes","no")</f>
        <v>no</v>
      </c>
      <c r="CQ278" t="e">
        <f>IF(CE278&lt;CM278,"yes","no")</f>
        <v>#DIV/0!</v>
      </c>
      <c r="CR278">
        <f>TTEST(AS278:AW278,AD278:AH278,2,2)</f>
        <v>2.9680763631521092E-4</v>
      </c>
      <c r="CS278">
        <f>TTEST(AS278:AW278,AN278:AR278,2,2)</f>
        <v>0.11265773196916806</v>
      </c>
      <c r="CT278" t="e">
        <f>TTEST(AS278:AW278,AX278:BB278,2,2)</f>
        <v>#DIV/0!</v>
      </c>
      <c r="CU278">
        <v>148</v>
      </c>
      <c r="CV278">
        <v>182</v>
      </c>
      <c r="CW278">
        <v>277</v>
      </c>
      <c r="CX278">
        <f t="shared" si="12"/>
        <v>1.5948275862068966E-2</v>
      </c>
      <c r="CY278">
        <f t="shared" si="13"/>
        <v>1.9612068965517239E-2</v>
      </c>
      <c r="CZ278">
        <f t="shared" si="14"/>
        <v>2.9849137931034487E-2</v>
      </c>
      <c r="DA278" t="str">
        <f>IF(CR278&lt;CX278,"yes","no")</f>
        <v>yes</v>
      </c>
      <c r="DB278" t="str">
        <f>IF(CS278&lt;CY278,"yes","no")</f>
        <v>no</v>
      </c>
      <c r="DC278" t="e">
        <f>IF(CT278&lt;CZ278,"yes","no")</f>
        <v>#DIV/0!</v>
      </c>
    </row>
    <row r="279" spans="1:107" x14ac:dyDescent="0.2">
      <c r="A279" s="2" t="b">
        <v>0</v>
      </c>
      <c r="B279" s="2" t="s">
        <v>79</v>
      </c>
      <c r="C279" s="2" t="s">
        <v>80</v>
      </c>
      <c r="D279" s="2" t="s">
        <v>904</v>
      </c>
      <c r="E279" s="2" t="s">
        <v>905</v>
      </c>
      <c r="F279" s="2">
        <v>4</v>
      </c>
      <c r="G279" s="2">
        <v>4</v>
      </c>
      <c r="H279" s="2">
        <v>42.9</v>
      </c>
      <c r="I279" s="2">
        <v>9.36</v>
      </c>
      <c r="J279" s="2" t="s">
        <v>135</v>
      </c>
      <c r="K279" s="2" t="s">
        <v>319</v>
      </c>
      <c r="L279" s="2" t="s">
        <v>119</v>
      </c>
      <c r="M279" s="2" t="s">
        <v>906</v>
      </c>
      <c r="N279" s="2" t="s">
        <v>904</v>
      </c>
      <c r="O279" s="2">
        <v>6.34</v>
      </c>
      <c r="P279" s="2">
        <v>0.73799999999999999</v>
      </c>
      <c r="Q279" s="2">
        <v>0.01</v>
      </c>
      <c r="R279" s="2">
        <v>0.17899999999999999</v>
      </c>
      <c r="S279" s="2">
        <v>2.4780000000000002</v>
      </c>
      <c r="T279" s="2">
        <v>0.23300000000000001</v>
      </c>
      <c r="U279" s="2">
        <v>0.01</v>
      </c>
      <c r="V279" s="2">
        <v>0.10100000000000001</v>
      </c>
      <c r="W279" s="2">
        <v>0.01</v>
      </c>
      <c r="X279" s="2">
        <v>0.01</v>
      </c>
      <c r="Y279" s="2">
        <v>52.5</v>
      </c>
      <c r="Z279" s="2">
        <v>48.5</v>
      </c>
      <c r="AA279" s="2">
        <v>367.7</v>
      </c>
      <c r="AB279" s="2">
        <v>31.3</v>
      </c>
      <c r="AC279" s="2" t="s">
        <v>83</v>
      </c>
      <c r="AD279" s="2">
        <v>912945.015625</v>
      </c>
      <c r="AE279" s="2">
        <v>420381.875</v>
      </c>
      <c r="AF279" s="2">
        <v>776660.1171875</v>
      </c>
      <c r="AG279" s="2">
        <v>1618989.20703125</v>
      </c>
      <c r="AH279" s="2">
        <v>291470.32421875</v>
      </c>
      <c r="AI279" s="2" t="s">
        <v>83</v>
      </c>
      <c r="AJ279" s="2">
        <v>9416.0927734375</v>
      </c>
      <c r="AK279" s="2">
        <v>19792.962890625</v>
      </c>
      <c r="AL279" s="2">
        <v>173424.8125</v>
      </c>
      <c r="AM279" s="2">
        <v>7834.77783203125</v>
      </c>
      <c r="AN279" s="2">
        <v>97768.37890625</v>
      </c>
      <c r="AO279" s="2">
        <v>84704.1591796875</v>
      </c>
      <c r="AP279" s="2">
        <v>98526.609375</v>
      </c>
      <c r="AQ279" s="2">
        <v>97525.1142578125</v>
      </c>
      <c r="AR279" s="2">
        <v>196153.6171875</v>
      </c>
      <c r="AS279" s="2">
        <v>57588.513671875</v>
      </c>
      <c r="AT279" s="2">
        <v>101988.019042969</v>
      </c>
      <c r="AU279" s="2">
        <v>79393.50390625</v>
      </c>
      <c r="AV279" s="2">
        <v>90564.935546875</v>
      </c>
      <c r="AW279" s="2">
        <v>72610.32421875</v>
      </c>
      <c r="AX279" s="2" t="s">
        <v>83</v>
      </c>
      <c r="AY279" s="2" t="s">
        <v>83</v>
      </c>
      <c r="AZ279" s="2" t="s">
        <v>83</v>
      </c>
      <c r="BA279" s="2" t="s">
        <v>83</v>
      </c>
      <c r="BB279" s="2" t="s">
        <v>83</v>
      </c>
      <c r="BC279" s="2" t="s">
        <v>79</v>
      </c>
      <c r="BD279" s="2" t="s">
        <v>79</v>
      </c>
      <c r="BE279" s="2" t="s">
        <v>79</v>
      </c>
      <c r="BF279" s="2" t="s">
        <v>79</v>
      </c>
      <c r="BG279" s="2" t="s">
        <v>79</v>
      </c>
      <c r="BH279" s="2" t="s">
        <v>98</v>
      </c>
      <c r="BI279" s="2" t="s">
        <v>91</v>
      </c>
      <c r="BJ279" s="2" t="s">
        <v>91</v>
      </c>
      <c r="BK279" s="2" t="s">
        <v>79</v>
      </c>
      <c r="BL279" s="2" t="s">
        <v>91</v>
      </c>
      <c r="BM279" s="2" t="s">
        <v>79</v>
      </c>
      <c r="BN279" s="2" t="s">
        <v>91</v>
      </c>
      <c r="BO279" s="2" t="s">
        <v>91</v>
      </c>
      <c r="BP279" s="2" t="s">
        <v>91</v>
      </c>
      <c r="BQ279" s="2" t="s">
        <v>79</v>
      </c>
      <c r="BR279" s="2" t="s">
        <v>91</v>
      </c>
      <c r="BS279" s="2" t="s">
        <v>91</v>
      </c>
      <c r="BT279" s="2" t="s">
        <v>91</v>
      </c>
      <c r="BU279" s="2" t="s">
        <v>91</v>
      </c>
      <c r="BV279" s="2" t="s">
        <v>91</v>
      </c>
      <c r="BW279" s="2" t="s">
        <v>98</v>
      </c>
      <c r="BX279" s="2" t="s">
        <v>98</v>
      </c>
      <c r="BY279" s="2" t="s">
        <v>98</v>
      </c>
      <c r="BZ279" s="2" t="s">
        <v>98</v>
      </c>
      <c r="CA279" s="2" t="s">
        <v>98</v>
      </c>
      <c r="CB279">
        <f>TTEST(AS279:AW279,AI279:AM279,2,2)</f>
        <v>0.47067037818894153</v>
      </c>
      <c r="CC279">
        <f>TTEST(AD279:AH279,AI279:AM279,2,2)</f>
        <v>2.5848680243411894E-2</v>
      </c>
      <c r="CD279">
        <f>TTEST(AN279:AR279,AI279:AM279,2,2)</f>
        <v>0.18477840666451931</v>
      </c>
      <c r="CE279" t="e">
        <f>TTEST(AX279:BB279,AI279:AM279,2,2)</f>
        <v>#DIV/0!</v>
      </c>
      <c r="CF279">
        <v>198</v>
      </c>
      <c r="CG279">
        <v>172</v>
      </c>
      <c r="CH279">
        <v>144</v>
      </c>
      <c r="CI279">
        <v>260</v>
      </c>
      <c r="CJ279">
        <f>0.05*CF279/464</f>
        <v>2.1336206896551725E-2</v>
      </c>
      <c r="CK279">
        <f>0.05*CG279/464</f>
        <v>1.8534482758620689E-2</v>
      </c>
      <c r="CL279">
        <f>0.05*CH279/464</f>
        <v>1.5517241379310345E-2</v>
      </c>
      <c r="CM279">
        <f>0.05*CI279/464</f>
        <v>2.8017241379310345E-2</v>
      </c>
      <c r="CN279" t="str">
        <f>IF(CB279&lt;CJ279,"yes","no")</f>
        <v>no</v>
      </c>
      <c r="CO279" t="str">
        <f>IF(CC279&lt;CK279,"yes","no")</f>
        <v>no</v>
      </c>
      <c r="CP279" t="str">
        <f>IF(CD279&lt;CL279,"yes","no")</f>
        <v>no</v>
      </c>
      <c r="CQ279" t="e">
        <f>IF(CE279&lt;CM279,"yes","no")</f>
        <v>#DIV/0!</v>
      </c>
      <c r="CR279">
        <f>TTEST(AS279:AW279,AD279:AH279,2,2)</f>
        <v>1.4601138888348993E-2</v>
      </c>
      <c r="CS279">
        <f>TTEST(AS279:AW279,AN279:AR279,2,2)</f>
        <v>0.15256312371364569</v>
      </c>
      <c r="CT279" t="e">
        <f>TTEST(AS279:AW279,AX279:BB279,2,2)</f>
        <v>#DIV/0!</v>
      </c>
      <c r="CU279">
        <v>198</v>
      </c>
      <c r="CV279">
        <v>190</v>
      </c>
      <c r="CW279">
        <v>278</v>
      </c>
      <c r="CX279">
        <f t="shared" si="12"/>
        <v>2.1336206896551725E-2</v>
      </c>
      <c r="CY279">
        <f t="shared" si="13"/>
        <v>2.0474137931034482E-2</v>
      </c>
      <c r="CZ279">
        <f t="shared" si="14"/>
        <v>2.9956896551724139E-2</v>
      </c>
      <c r="DA279" t="str">
        <f>IF(CR279&lt;CX279,"yes","no")</f>
        <v>yes</v>
      </c>
      <c r="DB279" t="str">
        <f>IF(CS279&lt;CY279,"yes","no")</f>
        <v>no</v>
      </c>
      <c r="DC279" t="e">
        <f>IF(CT279&lt;CZ279,"yes","no")</f>
        <v>#DIV/0!</v>
      </c>
    </row>
    <row r="280" spans="1:107" x14ac:dyDescent="0.2">
      <c r="A280" s="2" t="b">
        <v>0</v>
      </c>
      <c r="B280" s="2" t="s">
        <v>79</v>
      </c>
      <c r="C280" s="2" t="s">
        <v>80</v>
      </c>
      <c r="D280" s="2" t="s">
        <v>1405</v>
      </c>
      <c r="E280" s="2" t="s">
        <v>1406</v>
      </c>
      <c r="F280" s="2">
        <v>1</v>
      </c>
      <c r="G280" s="2">
        <v>1</v>
      </c>
      <c r="H280" s="2">
        <v>15.5</v>
      </c>
      <c r="I280" s="2">
        <v>9.39</v>
      </c>
      <c r="J280" s="2" t="s">
        <v>254</v>
      </c>
      <c r="K280" s="2" t="s">
        <v>514</v>
      </c>
      <c r="L280" s="2" t="s">
        <v>119</v>
      </c>
      <c r="M280" s="2" t="s">
        <v>1407</v>
      </c>
      <c r="N280" s="2" t="s">
        <v>1405</v>
      </c>
      <c r="O280" s="2">
        <v>1.0469999999999999</v>
      </c>
      <c r="P280" s="2">
        <v>0.317</v>
      </c>
      <c r="Q280" s="2">
        <v>0.01</v>
      </c>
      <c r="R280" s="2">
        <v>100</v>
      </c>
      <c r="S280" s="2">
        <v>100</v>
      </c>
      <c r="T280" s="2">
        <v>100</v>
      </c>
      <c r="U280" s="2" t="s">
        <v>83</v>
      </c>
      <c r="V280" s="2">
        <v>0.24399999999999999</v>
      </c>
      <c r="W280" s="2">
        <v>0.01</v>
      </c>
      <c r="X280" s="2">
        <v>0.01</v>
      </c>
      <c r="Y280" s="2">
        <v>190</v>
      </c>
      <c r="Z280" s="2" t="s">
        <v>83</v>
      </c>
      <c r="AA280" s="2">
        <v>249.2</v>
      </c>
      <c r="AB280" s="2">
        <v>60.8</v>
      </c>
      <c r="AC280" s="2" t="s">
        <v>83</v>
      </c>
      <c r="AD280" s="2">
        <v>430700.21875</v>
      </c>
      <c r="AE280" s="2" t="s">
        <v>83</v>
      </c>
      <c r="AF280" s="2">
        <v>392768.34375</v>
      </c>
      <c r="AG280" s="2">
        <v>1453314.875</v>
      </c>
      <c r="AH280" s="2" t="s">
        <v>83</v>
      </c>
      <c r="AI280" s="2" t="s">
        <v>83</v>
      </c>
      <c r="AJ280" s="2" t="s">
        <v>83</v>
      </c>
      <c r="AK280" s="2" t="s">
        <v>83</v>
      </c>
      <c r="AL280" s="2" t="s">
        <v>83</v>
      </c>
      <c r="AM280" s="2" t="s">
        <v>83</v>
      </c>
      <c r="AN280" s="2">
        <v>6254.63916015625</v>
      </c>
      <c r="AO280" s="2">
        <v>13478.033203125</v>
      </c>
      <c r="AP280" s="2">
        <v>11018.818359375</v>
      </c>
      <c r="AQ280" s="2">
        <v>12960.00390625</v>
      </c>
      <c r="AR280" s="2">
        <v>24784.0390625</v>
      </c>
      <c r="AS280" s="2" t="s">
        <v>83</v>
      </c>
      <c r="AT280" s="2" t="s">
        <v>83</v>
      </c>
      <c r="AU280" s="2" t="s">
        <v>83</v>
      </c>
      <c r="AV280" s="2">
        <v>23121.359375</v>
      </c>
      <c r="AW280" s="2">
        <v>21084.51953125</v>
      </c>
      <c r="AX280" s="2" t="s">
        <v>83</v>
      </c>
      <c r="AY280" s="2" t="s">
        <v>83</v>
      </c>
      <c r="AZ280" s="2" t="s">
        <v>83</v>
      </c>
      <c r="BA280" s="2" t="s">
        <v>83</v>
      </c>
      <c r="BB280" s="2" t="s">
        <v>83</v>
      </c>
      <c r="BC280" s="2" t="s">
        <v>79</v>
      </c>
      <c r="BD280" s="2" t="s">
        <v>98</v>
      </c>
      <c r="BE280" s="2" t="s">
        <v>91</v>
      </c>
      <c r="BF280" s="2" t="s">
        <v>79</v>
      </c>
      <c r="BG280" s="2" t="s">
        <v>98</v>
      </c>
      <c r="BH280" s="2" t="s">
        <v>98</v>
      </c>
      <c r="BI280" s="2" t="s">
        <v>98</v>
      </c>
      <c r="BJ280" s="2" t="s">
        <v>98</v>
      </c>
      <c r="BK280" s="2" t="s">
        <v>98</v>
      </c>
      <c r="BL280" s="2" t="s">
        <v>98</v>
      </c>
      <c r="BM280" s="2" t="s">
        <v>91</v>
      </c>
      <c r="BN280" s="2" t="s">
        <v>91</v>
      </c>
      <c r="BO280" s="2" t="s">
        <v>91</v>
      </c>
      <c r="BP280" s="2" t="s">
        <v>91</v>
      </c>
      <c r="BQ280" s="2" t="s">
        <v>91</v>
      </c>
      <c r="BR280" s="2" t="s">
        <v>98</v>
      </c>
      <c r="BS280" s="2" t="s">
        <v>98</v>
      </c>
      <c r="BT280" s="2" t="s">
        <v>98</v>
      </c>
      <c r="BU280" s="2" t="s">
        <v>91</v>
      </c>
      <c r="BV280" s="2" t="s">
        <v>91</v>
      </c>
      <c r="BW280" s="2" t="s">
        <v>98</v>
      </c>
      <c r="BX280" s="2" t="s">
        <v>98</v>
      </c>
      <c r="BY280" s="2" t="s">
        <v>98</v>
      </c>
      <c r="BZ280" s="2" t="s">
        <v>98</v>
      </c>
      <c r="CA280" s="2" t="s">
        <v>98</v>
      </c>
      <c r="CB280" t="e">
        <f>TTEST(AS280:AW280,AI280:AM280,2,2)</f>
        <v>#DIV/0!</v>
      </c>
      <c r="CC280" t="e">
        <f>TTEST(AD280:AH280,AI280:AM280,2,2)</f>
        <v>#DIV/0!</v>
      </c>
      <c r="CD280" t="e">
        <f>TTEST(AN280:AR280,AI280:AM280,2,2)</f>
        <v>#DIV/0!</v>
      </c>
      <c r="CE280" t="e">
        <f>TTEST(AX280:BB280,AI280:AM280,2,2)</f>
        <v>#DIV/0!</v>
      </c>
      <c r="CF280">
        <v>303</v>
      </c>
      <c r="CG280">
        <v>317</v>
      </c>
      <c r="CH280">
        <v>321</v>
      </c>
      <c r="CI280">
        <v>261</v>
      </c>
      <c r="CJ280">
        <f>0.05*CF280/464</f>
        <v>3.2650862068965517E-2</v>
      </c>
      <c r="CK280">
        <f>0.05*CG280/464</f>
        <v>3.4159482758620692E-2</v>
      </c>
      <c r="CL280">
        <f>0.05*CH280/464</f>
        <v>3.4590517241379314E-2</v>
      </c>
      <c r="CM280">
        <f>0.05*CI280/464</f>
        <v>2.8125000000000001E-2</v>
      </c>
      <c r="CN280" t="e">
        <f>IF(CB280&lt;CJ280,"yes","no")</f>
        <v>#DIV/0!</v>
      </c>
      <c r="CO280" t="e">
        <f>IF(CC280&lt;CK280,"yes","no")</f>
        <v>#DIV/0!</v>
      </c>
      <c r="CP280" t="e">
        <f>IF(CD280&lt;CL280,"yes","no")</f>
        <v>#DIV/0!</v>
      </c>
      <c r="CQ280" t="e">
        <f>IF(CE280&lt;CM280,"yes","no")</f>
        <v>#DIV/0!</v>
      </c>
      <c r="CR280">
        <f>TTEST(AS280:AW280,AD280:AH280,2,2)</f>
        <v>0.19891538775152331</v>
      </c>
      <c r="CS280">
        <f>TTEST(AS280:AW280,AN280:AR280,2,2)</f>
        <v>0.16246744352152367</v>
      </c>
      <c r="CT280" t="e">
        <f>TTEST(AS280:AW280,AX280:BB280,2,2)</f>
        <v>#DIV/0!</v>
      </c>
      <c r="CU280">
        <v>273</v>
      </c>
      <c r="CV280">
        <v>192</v>
      </c>
      <c r="CW280">
        <v>279</v>
      </c>
      <c r="CX280">
        <f t="shared" si="12"/>
        <v>2.9418103448275862E-2</v>
      </c>
      <c r="CY280">
        <f t="shared" si="13"/>
        <v>2.0689655172413796E-2</v>
      </c>
      <c r="CZ280">
        <f t="shared" si="14"/>
        <v>3.0064655172413794E-2</v>
      </c>
      <c r="DA280" t="str">
        <f>IF(CR280&lt;CX280,"yes","no")</f>
        <v>no</v>
      </c>
      <c r="DB280" t="str">
        <f>IF(CS280&lt;CY280,"yes","no")</f>
        <v>no</v>
      </c>
      <c r="DC280" t="e">
        <f>IF(CT280&lt;CZ280,"yes","no")</f>
        <v>#DIV/0!</v>
      </c>
    </row>
    <row r="281" spans="1:107" x14ac:dyDescent="0.2">
      <c r="A281" s="2" t="b">
        <v>0</v>
      </c>
      <c r="B281" s="2" t="s">
        <v>79</v>
      </c>
      <c r="C281" s="2" t="s">
        <v>80</v>
      </c>
      <c r="D281" s="2" t="s">
        <v>973</v>
      </c>
      <c r="E281" s="2" t="s">
        <v>974</v>
      </c>
      <c r="F281" s="2">
        <v>3</v>
      </c>
      <c r="G281" s="2">
        <v>3</v>
      </c>
      <c r="H281" s="2">
        <v>13.1</v>
      </c>
      <c r="I281" s="2">
        <v>8.6199999999999992</v>
      </c>
      <c r="J281" s="2" t="s">
        <v>254</v>
      </c>
      <c r="K281" s="2" t="s">
        <v>319</v>
      </c>
      <c r="L281" s="2" t="s">
        <v>119</v>
      </c>
      <c r="M281" s="2" t="s">
        <v>83</v>
      </c>
      <c r="N281" s="2" t="s">
        <v>973</v>
      </c>
      <c r="O281" s="2">
        <v>2.6880000000000002</v>
      </c>
      <c r="P281" s="2">
        <v>1.2210000000000001</v>
      </c>
      <c r="Q281" s="2">
        <v>6.0730000000000004</v>
      </c>
      <c r="R281" s="2">
        <v>1.5249999999999999</v>
      </c>
      <c r="S281" s="2">
        <v>3.8170000000000002</v>
      </c>
      <c r="T281" s="2">
        <v>1.8109999999999999</v>
      </c>
      <c r="U281" s="2">
        <v>0.11899999999999999</v>
      </c>
      <c r="V281" s="2">
        <v>0.44800000000000001</v>
      </c>
      <c r="W281" s="2">
        <v>0.20499999999999999</v>
      </c>
      <c r="X281" s="2">
        <v>10.128</v>
      </c>
      <c r="Y281" s="2">
        <v>55.5</v>
      </c>
      <c r="Z281" s="2">
        <v>146.6</v>
      </c>
      <c r="AA281" s="2">
        <v>157.4</v>
      </c>
      <c r="AB281" s="2">
        <v>67.400000000000006</v>
      </c>
      <c r="AC281" s="2">
        <v>73.099999999999994</v>
      </c>
      <c r="AD281" s="2">
        <v>449483.90625</v>
      </c>
      <c r="AE281" s="2">
        <v>369933.5</v>
      </c>
      <c r="AF281" s="2">
        <v>323176.59375</v>
      </c>
      <c r="AG281" s="2">
        <v>510289.6875</v>
      </c>
      <c r="AH281" s="2">
        <v>368128.90625</v>
      </c>
      <c r="AI281" s="2" t="s">
        <v>83</v>
      </c>
      <c r="AJ281" s="2">
        <v>5245.20556640625</v>
      </c>
      <c r="AK281" s="2">
        <v>74776.3984375</v>
      </c>
      <c r="AL281" s="2" t="s">
        <v>83</v>
      </c>
      <c r="AM281" s="2" t="s">
        <v>83</v>
      </c>
      <c r="AN281" s="2">
        <v>46422.541015625</v>
      </c>
      <c r="AO281" s="2">
        <v>16886.91015625</v>
      </c>
      <c r="AP281" s="2">
        <v>22354.779296875</v>
      </c>
      <c r="AQ281" s="2">
        <v>20701.072265625</v>
      </c>
      <c r="AR281" s="2">
        <v>112750.73046875</v>
      </c>
      <c r="AS281" s="2">
        <v>53404.4609375</v>
      </c>
      <c r="AT281" s="2">
        <v>102371.0546875</v>
      </c>
      <c r="AU281" s="2">
        <v>56846.5703125</v>
      </c>
      <c r="AV281" s="2">
        <v>81305.6396484375</v>
      </c>
      <c r="AW281" s="2">
        <v>79857.3359375</v>
      </c>
      <c r="AX281" s="2" t="s">
        <v>83</v>
      </c>
      <c r="AY281" s="2" t="s">
        <v>83</v>
      </c>
      <c r="AZ281" s="2" t="s">
        <v>83</v>
      </c>
      <c r="BA281" s="2">
        <v>25708.140625</v>
      </c>
      <c r="BB281" s="2" t="s">
        <v>83</v>
      </c>
      <c r="BC281" s="2" t="s">
        <v>79</v>
      </c>
      <c r="BD281" s="2" t="s">
        <v>79</v>
      </c>
      <c r="BE281" s="2" t="s">
        <v>79</v>
      </c>
      <c r="BF281" s="2" t="s">
        <v>79</v>
      </c>
      <c r="BG281" s="2" t="s">
        <v>79</v>
      </c>
      <c r="BH281" s="2" t="s">
        <v>91</v>
      </c>
      <c r="BI281" s="2" t="s">
        <v>91</v>
      </c>
      <c r="BJ281" s="2" t="s">
        <v>91</v>
      </c>
      <c r="BK281" s="2" t="s">
        <v>91</v>
      </c>
      <c r="BL281" s="2" t="s">
        <v>91</v>
      </c>
      <c r="BM281" s="2" t="s">
        <v>79</v>
      </c>
      <c r="BN281" s="2" t="s">
        <v>79</v>
      </c>
      <c r="BO281" s="2" t="s">
        <v>79</v>
      </c>
      <c r="BP281" s="2" t="s">
        <v>79</v>
      </c>
      <c r="BQ281" s="2" t="s">
        <v>79</v>
      </c>
      <c r="BR281" s="2" t="s">
        <v>91</v>
      </c>
      <c r="BS281" s="2" t="s">
        <v>79</v>
      </c>
      <c r="BT281" s="2" t="s">
        <v>79</v>
      </c>
      <c r="BU281" s="2" t="s">
        <v>79</v>
      </c>
      <c r="BV281" s="2" t="s">
        <v>79</v>
      </c>
      <c r="BW281" s="2" t="s">
        <v>98</v>
      </c>
      <c r="BX281" s="2" t="s">
        <v>98</v>
      </c>
      <c r="BY281" s="2" t="s">
        <v>98</v>
      </c>
      <c r="BZ281" s="2" t="s">
        <v>91</v>
      </c>
      <c r="CA281" s="2" t="s">
        <v>98</v>
      </c>
      <c r="CB281">
        <f>TTEST(AS281:AW281,AI281:AM281,2,2)</f>
        <v>0.20316330217079362</v>
      </c>
      <c r="CC281">
        <f>TTEST(AD281:AH281,AI281:AM281,2,2)</f>
        <v>1.6104680000013365E-3</v>
      </c>
      <c r="CD281">
        <f>TTEST(AN281:AR281,AI281:AM281,2,2)</f>
        <v>0.91817501427562997</v>
      </c>
      <c r="CE281" t="e">
        <f>TTEST(AX281:BB281,AI281:AM281,2,2)</f>
        <v>#DIV/0!</v>
      </c>
      <c r="CF281">
        <v>165</v>
      </c>
      <c r="CG281">
        <v>141</v>
      </c>
      <c r="CH281">
        <v>231</v>
      </c>
      <c r="CI281">
        <v>262</v>
      </c>
      <c r="CJ281">
        <f>0.05*CF281/464</f>
        <v>1.7780172413793104E-2</v>
      </c>
      <c r="CK281">
        <f>0.05*CG281/464</f>
        <v>1.519396551724138E-2</v>
      </c>
      <c r="CL281">
        <f>0.05*CH281/464</f>
        <v>2.4892241379310346E-2</v>
      </c>
      <c r="CM281">
        <f>0.05*CI281/464</f>
        <v>2.823275862068966E-2</v>
      </c>
      <c r="CN281" t="str">
        <f>IF(CB281&lt;CJ281,"yes","no")</f>
        <v>no</v>
      </c>
      <c r="CO281" t="str">
        <f>IF(CC281&lt;CK281,"yes","no")</f>
        <v>yes</v>
      </c>
      <c r="CP281" t="str">
        <f>IF(CD281&lt;CL281,"yes","no")</f>
        <v>no</v>
      </c>
      <c r="CQ281" t="e">
        <f>IF(CE281&lt;CM281,"yes","no")</f>
        <v>#DIV/0!</v>
      </c>
      <c r="CR281">
        <f>TTEST(AS281:AW281,AD281:AH281,2,2)</f>
        <v>1.2245389576464938E-5</v>
      </c>
      <c r="CS281">
        <f>TTEST(AS281:AW281,AN281:AR281,2,2)</f>
        <v>0.16252296849876458</v>
      </c>
      <c r="CT281" t="e">
        <f>TTEST(AS281:AW281,AX281:BB281,2,2)</f>
        <v>#DIV/0!</v>
      </c>
      <c r="CU281">
        <v>100</v>
      </c>
      <c r="CV281">
        <v>193</v>
      </c>
      <c r="CW281">
        <v>280</v>
      </c>
      <c r="CX281">
        <f t="shared" si="12"/>
        <v>1.0775862068965518E-2</v>
      </c>
      <c r="CY281">
        <f t="shared" si="13"/>
        <v>2.0797413793103448E-2</v>
      </c>
      <c r="CZ281">
        <f t="shared" si="14"/>
        <v>3.017241379310345E-2</v>
      </c>
      <c r="DA281" t="str">
        <f>IF(CR281&lt;CX281,"yes","no")</f>
        <v>yes</v>
      </c>
      <c r="DB281" t="str">
        <f>IF(CS281&lt;CY281,"yes","no")</f>
        <v>no</v>
      </c>
      <c r="DC281" t="e">
        <f>IF(CT281&lt;CZ281,"yes","no")</f>
        <v>#DIV/0!</v>
      </c>
    </row>
    <row r="282" spans="1:107" x14ac:dyDescent="0.2">
      <c r="A282" s="2" t="b">
        <v>0</v>
      </c>
      <c r="B282" s="2" t="s">
        <v>79</v>
      </c>
      <c r="C282" s="2" t="s">
        <v>80</v>
      </c>
      <c r="D282" s="2" t="s">
        <v>1314</v>
      </c>
      <c r="E282" s="2" t="s">
        <v>1315</v>
      </c>
      <c r="F282" s="2">
        <v>2</v>
      </c>
      <c r="G282" s="2">
        <v>1</v>
      </c>
      <c r="H282" s="2">
        <v>31.1</v>
      </c>
      <c r="I282" s="2">
        <v>10.26</v>
      </c>
      <c r="J282" s="2" t="s">
        <v>539</v>
      </c>
      <c r="K282" s="2" t="s">
        <v>95</v>
      </c>
      <c r="L282" s="2" t="s">
        <v>119</v>
      </c>
      <c r="M282" s="2" t="s">
        <v>1316</v>
      </c>
      <c r="N282" s="2" t="s">
        <v>1314</v>
      </c>
      <c r="O282" s="2">
        <v>14.192</v>
      </c>
      <c r="P282" s="2">
        <v>1.3740000000000001</v>
      </c>
      <c r="Q282" s="2">
        <v>0.01</v>
      </c>
      <c r="R282" s="2">
        <v>0.52500000000000002</v>
      </c>
      <c r="S282" s="2">
        <v>10.565</v>
      </c>
      <c r="T282" s="2">
        <v>0.84</v>
      </c>
      <c r="U282" s="2">
        <v>0.01</v>
      </c>
      <c r="V282" s="2">
        <v>0.1</v>
      </c>
      <c r="W282" s="2">
        <v>0.01</v>
      </c>
      <c r="X282" s="2">
        <v>0.01</v>
      </c>
      <c r="Y282" s="2">
        <v>28.4</v>
      </c>
      <c r="Z282" s="2">
        <v>38</v>
      </c>
      <c r="AA282" s="2">
        <v>401.4</v>
      </c>
      <c r="AB282" s="2">
        <v>32.200000000000003</v>
      </c>
      <c r="AC282" s="2" t="s">
        <v>83</v>
      </c>
      <c r="AD282" s="2">
        <v>159097.921875</v>
      </c>
      <c r="AE282" s="2">
        <v>89346.984375</v>
      </c>
      <c r="AF282" s="2">
        <v>138879.96875</v>
      </c>
      <c r="AG282" s="2">
        <v>287139.25</v>
      </c>
      <c r="AH282" s="2">
        <v>53105.8828125</v>
      </c>
      <c r="AI282" s="2">
        <v>2940.95532226563</v>
      </c>
      <c r="AJ282" s="2" t="s">
        <v>83</v>
      </c>
      <c r="AK282" s="2" t="s">
        <v>83</v>
      </c>
      <c r="AL282" s="2">
        <v>125380.5390625</v>
      </c>
      <c r="AM282" s="2">
        <v>3077.74194335938</v>
      </c>
      <c r="AN282" s="2">
        <v>24383.142578125</v>
      </c>
      <c r="AO282" s="2">
        <v>34452.28125</v>
      </c>
      <c r="AP282" s="2">
        <v>51067.48828125</v>
      </c>
      <c r="AQ282" s="2">
        <v>32411.48046875</v>
      </c>
      <c r="AR282" s="2">
        <v>49837.8046875</v>
      </c>
      <c r="AS282" s="2">
        <v>21716.482421875</v>
      </c>
      <c r="AT282" s="2">
        <v>47247.8359375</v>
      </c>
      <c r="AU282" s="2">
        <v>15040.439453125</v>
      </c>
      <c r="AV282" s="2">
        <v>32806.65625</v>
      </c>
      <c r="AW282" s="2">
        <v>25328.30859375</v>
      </c>
      <c r="AX282" s="2" t="s">
        <v>83</v>
      </c>
      <c r="AY282" s="2" t="s">
        <v>83</v>
      </c>
      <c r="AZ282" s="2" t="s">
        <v>83</v>
      </c>
      <c r="BA282" s="2" t="s">
        <v>83</v>
      </c>
      <c r="BB282" s="2" t="s">
        <v>83</v>
      </c>
      <c r="BC282" s="2" t="s">
        <v>79</v>
      </c>
      <c r="BD282" s="2" t="s">
        <v>79</v>
      </c>
      <c r="BE282" s="2" t="s">
        <v>79</v>
      </c>
      <c r="BF282" s="2" t="s">
        <v>98</v>
      </c>
      <c r="BG282" s="2" t="s">
        <v>98</v>
      </c>
      <c r="BH282" s="2" t="s">
        <v>98</v>
      </c>
      <c r="BI282" s="2" t="s">
        <v>98</v>
      </c>
      <c r="BJ282" s="2" t="s">
        <v>98</v>
      </c>
      <c r="BK282" s="2" t="s">
        <v>98</v>
      </c>
      <c r="BL282" s="2" t="s">
        <v>98</v>
      </c>
      <c r="BM282" s="2" t="s">
        <v>98</v>
      </c>
      <c r="BN282" s="2" t="s">
        <v>98</v>
      </c>
      <c r="BO282" s="2" t="s">
        <v>98</v>
      </c>
      <c r="BP282" s="2" t="s">
        <v>98</v>
      </c>
      <c r="BQ282" s="2" t="s">
        <v>98</v>
      </c>
      <c r="BR282" s="2" t="s">
        <v>98</v>
      </c>
      <c r="BS282" s="2" t="s">
        <v>98</v>
      </c>
      <c r="BT282" s="2" t="s">
        <v>98</v>
      </c>
      <c r="BU282" s="2" t="s">
        <v>98</v>
      </c>
      <c r="BV282" s="2" t="s">
        <v>98</v>
      </c>
      <c r="BW282" s="2" t="s">
        <v>98</v>
      </c>
      <c r="BX282" s="2" t="s">
        <v>98</v>
      </c>
      <c r="BY282" s="2" t="s">
        <v>98</v>
      </c>
      <c r="BZ282" s="2" t="s">
        <v>98</v>
      </c>
      <c r="CA282" s="2" t="s">
        <v>98</v>
      </c>
      <c r="CB282">
        <f>TTEST(AS282:AW282,AI282:AM282,2,2)</f>
        <v>0.63421098484158467</v>
      </c>
      <c r="CC282">
        <f>TTEST(AD282:AH282,AI282:AM282,2,2)</f>
        <v>0.14688249512428195</v>
      </c>
      <c r="CD282">
        <f>TTEST(AN282:AR282,AI282:AM282,2,2)</f>
        <v>0.86641091343520293</v>
      </c>
      <c r="CE282" t="e">
        <f>TTEST(AX282:BB282,AI282:AM282,2,2)</f>
        <v>#DIV/0!</v>
      </c>
      <c r="CF282">
        <v>204</v>
      </c>
      <c r="CG282">
        <v>203</v>
      </c>
      <c r="CH282">
        <v>224</v>
      </c>
      <c r="CI282">
        <v>266</v>
      </c>
      <c r="CJ282">
        <f>0.05*CF282/464</f>
        <v>2.1982758620689657E-2</v>
      </c>
      <c r="CK282">
        <f>0.05*CG282/464</f>
        <v>2.1875000000000002E-2</v>
      </c>
      <c r="CL282">
        <f>0.05*CH282/464</f>
        <v>2.4137931034482762E-2</v>
      </c>
      <c r="CM282">
        <f>0.05*CI282/464</f>
        <v>2.8663793103448278E-2</v>
      </c>
      <c r="CN282" t="str">
        <f>IF(CB282&lt;CJ282,"yes","no")</f>
        <v>no</v>
      </c>
      <c r="CO282" t="str">
        <f>IF(CC282&lt;CK282,"yes","no")</f>
        <v>no</v>
      </c>
      <c r="CP282" t="str">
        <f>IF(CD282&lt;CL282,"yes","no")</f>
        <v>no</v>
      </c>
      <c r="CQ282" t="e">
        <f>IF(CE282&lt;CM282,"yes","no")</f>
        <v>#DIV/0!</v>
      </c>
      <c r="CR282">
        <f>TTEST(AS282:AW282,AD282:AH282,2,2)</f>
        <v>1.9871993180351214E-2</v>
      </c>
      <c r="CS282">
        <f>TTEST(AS282:AW282,AN282:AR282,2,2)</f>
        <v>0.22299094462612706</v>
      </c>
      <c r="CT282" t="e">
        <f>TTEST(AS282:AW282,AX282:BB282,2,2)</f>
        <v>#DIV/0!</v>
      </c>
      <c r="CU282">
        <v>207</v>
      </c>
      <c r="CV282">
        <v>202</v>
      </c>
      <c r="CW282">
        <v>281</v>
      </c>
      <c r="CX282">
        <f t="shared" si="12"/>
        <v>2.2306034482758624E-2</v>
      </c>
      <c r="CY282">
        <f t="shared" si="13"/>
        <v>2.1767241379310347E-2</v>
      </c>
      <c r="CZ282">
        <f t="shared" si="14"/>
        <v>3.0280172413793105E-2</v>
      </c>
      <c r="DA282" t="str">
        <f>IF(CR282&lt;CX282,"yes","no")</f>
        <v>yes</v>
      </c>
      <c r="DB282" t="str">
        <f>IF(CS282&lt;CY282,"yes","no")</f>
        <v>no</v>
      </c>
      <c r="DC282" t="e">
        <f>IF(CT282&lt;CZ282,"yes","no")</f>
        <v>#DIV/0!</v>
      </c>
    </row>
    <row r="283" spans="1:107" x14ac:dyDescent="0.2">
      <c r="A283" s="2" t="b">
        <v>0</v>
      </c>
      <c r="B283" s="2" t="s">
        <v>79</v>
      </c>
      <c r="C283" s="2" t="s">
        <v>80</v>
      </c>
      <c r="D283" s="2" t="s">
        <v>1428</v>
      </c>
      <c r="E283" s="2" t="s">
        <v>1429</v>
      </c>
      <c r="F283" s="2">
        <v>1</v>
      </c>
      <c r="G283" s="2">
        <v>1</v>
      </c>
      <c r="H283" s="2">
        <v>24.7</v>
      </c>
      <c r="I283" s="2">
        <v>8.81</v>
      </c>
      <c r="J283" s="2" t="s">
        <v>1430</v>
      </c>
      <c r="K283" s="2" t="s">
        <v>514</v>
      </c>
      <c r="L283" s="2" t="s">
        <v>119</v>
      </c>
      <c r="M283" s="2" t="s">
        <v>83</v>
      </c>
      <c r="N283" s="2" t="s">
        <v>1431</v>
      </c>
      <c r="O283" s="2">
        <v>11.895</v>
      </c>
      <c r="P283" s="2">
        <v>11.638999999999999</v>
      </c>
      <c r="Q283" s="2">
        <v>5.7190000000000003</v>
      </c>
      <c r="R283" s="2">
        <v>9.0999999999999998E-2</v>
      </c>
      <c r="S283" s="2">
        <v>1.0589999999999999</v>
      </c>
      <c r="T283" s="2">
        <v>1.06</v>
      </c>
      <c r="U283" s="2">
        <v>0.50900000000000001</v>
      </c>
      <c r="V283" s="2">
        <v>1.0009999999999999</v>
      </c>
      <c r="W283" s="2">
        <v>0.48099999999999998</v>
      </c>
      <c r="X283" s="2">
        <v>0.48</v>
      </c>
      <c r="Y283" s="2">
        <v>12</v>
      </c>
      <c r="Z283" s="2">
        <v>134.5</v>
      </c>
      <c r="AA283" s="2">
        <v>142.5</v>
      </c>
      <c r="AB283" s="2">
        <v>142.6</v>
      </c>
      <c r="AC283" s="2">
        <v>68.5</v>
      </c>
      <c r="AD283" s="2" t="s">
        <v>83</v>
      </c>
      <c r="AE283" s="2">
        <v>156609.015625</v>
      </c>
      <c r="AF283" s="2" t="s">
        <v>83</v>
      </c>
      <c r="AG283" s="2">
        <v>69494.8046875</v>
      </c>
      <c r="AH283" s="2">
        <v>94981.359375</v>
      </c>
      <c r="AI283" s="2" t="s">
        <v>83</v>
      </c>
      <c r="AJ283" s="2" t="s">
        <v>83</v>
      </c>
      <c r="AK283" s="2">
        <v>26148.640625</v>
      </c>
      <c r="AL283" s="2">
        <v>24524.3359375</v>
      </c>
      <c r="AM283" s="2" t="s">
        <v>83</v>
      </c>
      <c r="AN283" s="2" t="s">
        <v>83</v>
      </c>
      <c r="AO283" s="2" t="s">
        <v>83</v>
      </c>
      <c r="AP283" s="2" t="s">
        <v>83</v>
      </c>
      <c r="AQ283" s="2">
        <v>20976.578125</v>
      </c>
      <c r="AR283" s="2">
        <v>36972.7734375</v>
      </c>
      <c r="AS283" s="2">
        <v>83974.90625</v>
      </c>
      <c r="AT283" s="2">
        <v>498683.75</v>
      </c>
      <c r="AU283" s="2" t="s">
        <v>83</v>
      </c>
      <c r="AV283" s="2" t="s">
        <v>83</v>
      </c>
      <c r="AW283" s="2" t="s">
        <v>83</v>
      </c>
      <c r="AX283" s="2">
        <v>27612.923828125</v>
      </c>
      <c r="AY283" s="2" t="s">
        <v>83</v>
      </c>
      <c r="AZ283" s="2" t="s">
        <v>83</v>
      </c>
      <c r="BA283" s="2" t="s">
        <v>83</v>
      </c>
      <c r="BB283" s="2" t="s">
        <v>83</v>
      </c>
      <c r="BC283" s="2" t="s">
        <v>79</v>
      </c>
      <c r="BD283" s="2" t="s">
        <v>79</v>
      </c>
      <c r="BE283" s="2" t="s">
        <v>98</v>
      </c>
      <c r="BF283" s="2" t="s">
        <v>79</v>
      </c>
      <c r="BG283" s="2" t="s">
        <v>79</v>
      </c>
      <c r="BH283" s="2" t="s">
        <v>98</v>
      </c>
      <c r="BI283" s="2" t="s">
        <v>98</v>
      </c>
      <c r="BJ283" s="2" t="s">
        <v>91</v>
      </c>
      <c r="BK283" s="2" t="s">
        <v>91</v>
      </c>
      <c r="BL283" s="2" t="s">
        <v>98</v>
      </c>
      <c r="BM283" s="2" t="s">
        <v>98</v>
      </c>
      <c r="BN283" s="2" t="s">
        <v>98</v>
      </c>
      <c r="BO283" s="2" t="s">
        <v>98</v>
      </c>
      <c r="BP283" s="2" t="s">
        <v>91</v>
      </c>
      <c r="BQ283" s="2" t="s">
        <v>91</v>
      </c>
      <c r="BR283" s="2" t="s">
        <v>91</v>
      </c>
      <c r="BS283" s="2" t="s">
        <v>91</v>
      </c>
      <c r="BT283" s="2" t="s">
        <v>98</v>
      </c>
      <c r="BU283" s="2" t="s">
        <v>79</v>
      </c>
      <c r="BV283" s="2" t="s">
        <v>98</v>
      </c>
      <c r="BW283" s="2" t="s">
        <v>91</v>
      </c>
      <c r="BX283" s="2" t="s">
        <v>98</v>
      </c>
      <c r="BY283" s="2" t="s">
        <v>98</v>
      </c>
      <c r="BZ283" s="2" t="s">
        <v>98</v>
      </c>
      <c r="CA283" s="2" t="s">
        <v>98</v>
      </c>
      <c r="CB283">
        <f>TTEST(AS283:AW283,AI283:AM283,2,2)</f>
        <v>0.32814927562102625</v>
      </c>
      <c r="CC283">
        <f>TTEST(AD283:AH283,AI283:AM283,2,2)</f>
        <v>9.1953863849056405E-2</v>
      </c>
      <c r="CD283">
        <f>TTEST(AN283:AR283,AI283:AM283,2,2)</f>
        <v>0.69522054642936659</v>
      </c>
      <c r="CE283" t="e">
        <f>TTEST(AX283:BB283,AI283:AM283,2,2)</f>
        <v>#DIV/0!</v>
      </c>
      <c r="CF283">
        <v>184</v>
      </c>
      <c r="CG283">
        <v>191</v>
      </c>
      <c r="CH283">
        <v>206</v>
      </c>
      <c r="CI283">
        <v>267</v>
      </c>
      <c r="CJ283">
        <f>0.05*CF283/464</f>
        <v>1.9827586206896553E-2</v>
      </c>
      <c r="CK283">
        <f>0.05*CG283/464</f>
        <v>2.0581896551724141E-2</v>
      </c>
      <c r="CL283">
        <f>0.05*CH283/464</f>
        <v>2.2198275862068968E-2</v>
      </c>
      <c r="CM283">
        <f>0.05*CI283/464</f>
        <v>2.8771551724137933E-2</v>
      </c>
      <c r="CN283" t="str">
        <f>IF(CB283&lt;CJ283,"yes","no")</f>
        <v>no</v>
      </c>
      <c r="CO283" t="str">
        <f>IF(CC283&lt;CK283,"yes","no")</f>
        <v>no</v>
      </c>
      <c r="CP283" t="str">
        <f>IF(CD283&lt;CL283,"yes","no")</f>
        <v>no</v>
      </c>
      <c r="CQ283" t="e">
        <f>IF(CE283&lt;CM283,"yes","no")</f>
        <v>#DIV/0!</v>
      </c>
      <c r="CR283">
        <f>TTEST(AS283:AW283,AD283:AH283,2,2)</f>
        <v>0.32802467557019055</v>
      </c>
      <c r="CS283">
        <f>TTEST(AS283:AW283,AN283:AR283,2,2)</f>
        <v>0.3335101823693265</v>
      </c>
      <c r="CT283" t="e">
        <f>TTEST(AS283:AW283,AX283:BB283,2,2)</f>
        <v>#DIV/0!</v>
      </c>
      <c r="CU283">
        <v>285</v>
      </c>
      <c r="CV283">
        <v>213</v>
      </c>
      <c r="CW283">
        <v>282</v>
      </c>
      <c r="CX283">
        <f t="shared" si="12"/>
        <v>3.0711206896551723E-2</v>
      </c>
      <c r="CY283">
        <f t="shared" si="13"/>
        <v>2.2952586206896552E-2</v>
      </c>
      <c r="CZ283">
        <f t="shared" si="14"/>
        <v>3.038793103448276E-2</v>
      </c>
      <c r="DA283" t="str">
        <f>IF(CR283&lt;CX283,"yes","no")</f>
        <v>no</v>
      </c>
      <c r="DB283" t="str">
        <f>IF(CS283&lt;CY283,"yes","no")</f>
        <v>no</v>
      </c>
      <c r="DC283" t="e">
        <f>IF(CT283&lt;CZ283,"yes","no")</f>
        <v>#DIV/0!</v>
      </c>
    </row>
    <row r="284" spans="1:107" x14ac:dyDescent="0.2">
      <c r="A284" s="2" t="b">
        <v>0</v>
      </c>
      <c r="B284" s="2" t="s">
        <v>79</v>
      </c>
      <c r="C284" s="2" t="s">
        <v>80</v>
      </c>
      <c r="D284" s="2" t="s">
        <v>1304</v>
      </c>
      <c r="E284" s="2" t="s">
        <v>1305</v>
      </c>
      <c r="F284" s="2">
        <v>3</v>
      </c>
      <c r="G284" s="2">
        <v>3</v>
      </c>
      <c r="H284" s="2">
        <v>72.900000000000006</v>
      </c>
      <c r="I284" s="2">
        <v>6.8</v>
      </c>
      <c r="J284" s="2" t="s">
        <v>1026</v>
      </c>
      <c r="K284" s="2" t="s">
        <v>1306</v>
      </c>
      <c r="L284" s="2" t="s">
        <v>119</v>
      </c>
      <c r="M284" s="2" t="s">
        <v>1307</v>
      </c>
      <c r="N284" s="2" t="s">
        <v>1304</v>
      </c>
      <c r="O284" s="2">
        <v>3.2370000000000001</v>
      </c>
      <c r="P284" s="2">
        <v>0.77900000000000003</v>
      </c>
      <c r="Q284" s="2">
        <v>0.01</v>
      </c>
      <c r="R284" s="2">
        <v>100</v>
      </c>
      <c r="S284" s="2">
        <v>100</v>
      </c>
      <c r="T284" s="2">
        <v>100</v>
      </c>
      <c r="U284" s="2" t="s">
        <v>83</v>
      </c>
      <c r="V284" s="2">
        <v>0.24099999999999999</v>
      </c>
      <c r="W284" s="2">
        <v>0.01</v>
      </c>
      <c r="X284" s="2">
        <v>0.01</v>
      </c>
      <c r="Y284" s="2">
        <v>99.7</v>
      </c>
      <c r="Z284" s="2" t="s">
        <v>83</v>
      </c>
      <c r="AA284" s="2">
        <v>322.7</v>
      </c>
      <c r="AB284" s="2">
        <v>77.7</v>
      </c>
      <c r="AC284" s="2" t="s">
        <v>83</v>
      </c>
      <c r="AD284" s="2">
        <v>103999.375</v>
      </c>
      <c r="AE284" s="2">
        <v>86043.0625</v>
      </c>
      <c r="AF284" s="2" t="s">
        <v>83</v>
      </c>
      <c r="AG284" s="2">
        <v>272194.78125</v>
      </c>
      <c r="AH284" s="2">
        <v>280130.5625</v>
      </c>
      <c r="AI284" s="2" t="s">
        <v>83</v>
      </c>
      <c r="AJ284" s="2" t="s">
        <v>83</v>
      </c>
      <c r="AK284" s="2" t="s">
        <v>83</v>
      </c>
      <c r="AL284" s="2" t="s">
        <v>83</v>
      </c>
      <c r="AM284" s="2" t="s">
        <v>83</v>
      </c>
      <c r="AN284" s="2">
        <v>10624.7412109375</v>
      </c>
      <c r="AO284" s="2">
        <v>5277.9912109375</v>
      </c>
      <c r="AP284" s="2" t="s">
        <v>83</v>
      </c>
      <c r="AQ284" s="2" t="s">
        <v>83</v>
      </c>
      <c r="AR284" s="2" t="s">
        <v>83</v>
      </c>
      <c r="AS284" s="2" t="s">
        <v>83</v>
      </c>
      <c r="AT284" s="2" t="s">
        <v>83</v>
      </c>
      <c r="AU284" s="2">
        <v>9764.8271484375</v>
      </c>
      <c r="AV284" s="2">
        <v>26697.41796875</v>
      </c>
      <c r="AW284" s="2" t="s">
        <v>83</v>
      </c>
      <c r="AX284" s="2" t="s">
        <v>83</v>
      </c>
      <c r="AY284" s="2" t="s">
        <v>83</v>
      </c>
      <c r="AZ284" s="2" t="s">
        <v>83</v>
      </c>
      <c r="BA284" s="2" t="s">
        <v>83</v>
      </c>
      <c r="BB284" s="2" t="s">
        <v>83</v>
      </c>
      <c r="BC284" s="2" t="s">
        <v>79</v>
      </c>
      <c r="BD284" s="2" t="s">
        <v>79</v>
      </c>
      <c r="BE284" s="2" t="s">
        <v>79</v>
      </c>
      <c r="BF284" s="2" t="s">
        <v>79</v>
      </c>
      <c r="BG284" s="2" t="s">
        <v>79</v>
      </c>
      <c r="BH284" s="2" t="s">
        <v>98</v>
      </c>
      <c r="BI284" s="2" t="s">
        <v>98</v>
      </c>
      <c r="BJ284" s="2" t="s">
        <v>98</v>
      </c>
      <c r="BK284" s="2" t="s">
        <v>98</v>
      </c>
      <c r="BL284" s="2" t="s">
        <v>98</v>
      </c>
      <c r="BM284" s="2" t="s">
        <v>91</v>
      </c>
      <c r="BN284" s="2" t="s">
        <v>91</v>
      </c>
      <c r="BO284" s="2" t="s">
        <v>98</v>
      </c>
      <c r="BP284" s="2" t="s">
        <v>98</v>
      </c>
      <c r="BQ284" s="2" t="s">
        <v>98</v>
      </c>
      <c r="BR284" s="2" t="s">
        <v>98</v>
      </c>
      <c r="BS284" s="2" t="s">
        <v>98</v>
      </c>
      <c r="BT284" s="2" t="s">
        <v>91</v>
      </c>
      <c r="BU284" s="2" t="s">
        <v>91</v>
      </c>
      <c r="BV284" s="2" t="s">
        <v>98</v>
      </c>
      <c r="BW284" s="2" t="s">
        <v>98</v>
      </c>
      <c r="BX284" s="2" t="s">
        <v>98</v>
      </c>
      <c r="BY284" s="2" t="s">
        <v>98</v>
      </c>
      <c r="BZ284" s="2" t="s">
        <v>98</v>
      </c>
      <c r="CA284" s="2" t="s">
        <v>98</v>
      </c>
      <c r="CB284" t="e">
        <f>TTEST(AS284:AW284,AI284:AM284,2,2)</f>
        <v>#DIV/0!</v>
      </c>
      <c r="CC284" t="e">
        <f>TTEST(AD284:AH284,AI284:AM284,2,2)</f>
        <v>#DIV/0!</v>
      </c>
      <c r="CD284" t="e">
        <f>TTEST(AN284:AR284,AI284:AM284,2,2)</f>
        <v>#DIV/0!</v>
      </c>
      <c r="CE284" t="e">
        <f>TTEST(AX284:BB284,AI284:AM284,2,2)</f>
        <v>#DIV/0!</v>
      </c>
      <c r="CF284">
        <v>297</v>
      </c>
      <c r="CG284">
        <v>311</v>
      </c>
      <c r="CH284">
        <v>315</v>
      </c>
      <c r="CI284">
        <v>269</v>
      </c>
      <c r="CJ284">
        <f>0.05*CF284/464</f>
        <v>3.2004310344827591E-2</v>
      </c>
      <c r="CK284">
        <f>0.05*CG284/464</f>
        <v>3.351293103448276E-2</v>
      </c>
      <c r="CL284">
        <f>0.05*CH284/464</f>
        <v>3.3943965517241381E-2</v>
      </c>
      <c r="CM284">
        <f>0.05*CI284/464</f>
        <v>2.8987068965517244E-2</v>
      </c>
      <c r="CN284" t="e">
        <f>IF(CB284&lt;CJ284,"yes","no")</f>
        <v>#DIV/0!</v>
      </c>
      <c r="CO284" t="e">
        <f>IF(CC284&lt;CK284,"yes","no")</f>
        <v>#DIV/0!</v>
      </c>
      <c r="CP284" t="e">
        <f>IF(CD284&lt;CL284,"yes","no")</f>
        <v>#DIV/0!</v>
      </c>
      <c r="CQ284" t="e">
        <f>IF(CE284&lt;CM284,"yes","no")</f>
        <v>#DIV/0!</v>
      </c>
      <c r="CR284">
        <f>TTEST(AS284:AW284,AD284:AH284,2,2)</f>
        <v>0.10101554143115631</v>
      </c>
      <c r="CS284">
        <f>TTEST(AS284:AW284,AN284:AR284,2,2)</f>
        <v>0.36651264507323567</v>
      </c>
      <c r="CT284" t="e">
        <f>TTEST(AS284:AW284,AX284:BB284,2,2)</f>
        <v>#DIV/0!</v>
      </c>
      <c r="CU284">
        <v>246</v>
      </c>
      <c r="CV284">
        <v>218</v>
      </c>
      <c r="CW284">
        <v>283</v>
      </c>
      <c r="CX284">
        <f t="shared" si="12"/>
        <v>2.6508620689655173E-2</v>
      </c>
      <c r="CY284">
        <f t="shared" si="13"/>
        <v>2.3491379310344829E-2</v>
      </c>
      <c r="CZ284">
        <f t="shared" si="14"/>
        <v>3.0495689655172416E-2</v>
      </c>
      <c r="DA284" t="str">
        <f>IF(CR284&lt;CX284,"yes","no")</f>
        <v>no</v>
      </c>
      <c r="DB284" t="str">
        <f>IF(CS284&lt;CY284,"yes","no")</f>
        <v>no</v>
      </c>
      <c r="DC284" t="e">
        <f>IF(CT284&lt;CZ284,"yes","no")</f>
        <v>#DIV/0!</v>
      </c>
    </row>
    <row r="285" spans="1:107" x14ac:dyDescent="0.2">
      <c r="A285" s="2" t="b">
        <v>0</v>
      </c>
      <c r="B285" s="2" t="s">
        <v>79</v>
      </c>
      <c r="C285" s="2" t="s">
        <v>80</v>
      </c>
      <c r="D285" s="2" t="s">
        <v>863</v>
      </c>
      <c r="E285" s="2" t="s">
        <v>864</v>
      </c>
      <c r="F285" s="2">
        <v>2</v>
      </c>
      <c r="G285" s="2">
        <v>2</v>
      </c>
      <c r="H285" s="2">
        <v>8.1999999999999993</v>
      </c>
      <c r="I285" s="2">
        <v>8.68</v>
      </c>
      <c r="J285" s="2" t="s">
        <v>254</v>
      </c>
      <c r="K285" s="2" t="s">
        <v>319</v>
      </c>
      <c r="L285" s="2" t="s">
        <v>83</v>
      </c>
      <c r="M285" s="2" t="s">
        <v>83</v>
      </c>
      <c r="N285" s="2" t="s">
        <v>863</v>
      </c>
      <c r="O285" s="2">
        <v>5.9420000000000002</v>
      </c>
      <c r="P285" s="2">
        <v>0.49299999999999999</v>
      </c>
      <c r="Q285" s="2">
        <v>0.55300000000000005</v>
      </c>
      <c r="R285" s="2">
        <v>100</v>
      </c>
      <c r="S285" s="2">
        <v>100</v>
      </c>
      <c r="T285" s="2">
        <v>100</v>
      </c>
      <c r="U285" s="2">
        <v>100</v>
      </c>
      <c r="V285" s="2">
        <v>0.109</v>
      </c>
      <c r="W285" s="2">
        <v>0.08</v>
      </c>
      <c r="X285" s="2">
        <v>1.052</v>
      </c>
      <c r="Y285" s="2">
        <v>75.3</v>
      </c>
      <c r="Z285" s="2" t="s">
        <v>83</v>
      </c>
      <c r="AA285" s="2">
        <v>363.3</v>
      </c>
      <c r="AB285" s="2">
        <v>40.5</v>
      </c>
      <c r="AC285" s="2">
        <v>20.9</v>
      </c>
      <c r="AD285" s="2">
        <v>538720.71875</v>
      </c>
      <c r="AE285" s="2">
        <v>515499</v>
      </c>
      <c r="AF285" s="2">
        <v>245064.015625</v>
      </c>
      <c r="AG285" s="2">
        <v>707513.46875</v>
      </c>
      <c r="AH285" s="2">
        <v>891718.84375</v>
      </c>
      <c r="AI285" s="2" t="s">
        <v>83</v>
      </c>
      <c r="AJ285" s="2" t="s">
        <v>83</v>
      </c>
      <c r="AK285" s="2" t="s">
        <v>83</v>
      </c>
      <c r="AL285" s="2" t="s">
        <v>83</v>
      </c>
      <c r="AM285" s="2" t="s">
        <v>83</v>
      </c>
      <c r="AN285" s="2">
        <v>30608.013671875</v>
      </c>
      <c r="AO285" s="2">
        <v>44004.7392578125</v>
      </c>
      <c r="AP285" s="2">
        <v>64108.861328125</v>
      </c>
      <c r="AQ285" s="2">
        <v>43327.4873046875</v>
      </c>
      <c r="AR285" s="2">
        <v>91938.931640625</v>
      </c>
      <c r="AS285" s="2">
        <v>42293.453125</v>
      </c>
      <c r="AT285" s="2">
        <v>65027.828125</v>
      </c>
      <c r="AU285" s="2">
        <v>33160.5224609375</v>
      </c>
      <c r="AV285" s="2">
        <v>46045.9248046875</v>
      </c>
      <c r="AW285" s="2">
        <v>35638.37890625</v>
      </c>
      <c r="AX285" s="2" t="s">
        <v>83</v>
      </c>
      <c r="AY285" s="2" t="s">
        <v>83</v>
      </c>
      <c r="AZ285" s="2">
        <v>8923.0947265625</v>
      </c>
      <c r="BA285" s="2" t="s">
        <v>83</v>
      </c>
      <c r="BB285" s="2" t="s">
        <v>83</v>
      </c>
      <c r="BC285" s="2" t="s">
        <v>79</v>
      </c>
      <c r="BD285" s="2" t="s">
        <v>79</v>
      </c>
      <c r="BE285" s="2" t="s">
        <v>79</v>
      </c>
      <c r="BF285" s="2" t="s">
        <v>79</v>
      </c>
      <c r="BG285" s="2" t="s">
        <v>79</v>
      </c>
      <c r="BH285" s="2" t="s">
        <v>98</v>
      </c>
      <c r="BI285" s="2" t="s">
        <v>98</v>
      </c>
      <c r="BJ285" s="2" t="s">
        <v>98</v>
      </c>
      <c r="BK285" s="2" t="s">
        <v>98</v>
      </c>
      <c r="BL285" s="2" t="s">
        <v>98</v>
      </c>
      <c r="BM285" s="2" t="s">
        <v>79</v>
      </c>
      <c r="BN285" s="2" t="s">
        <v>79</v>
      </c>
      <c r="BO285" s="2" t="s">
        <v>79</v>
      </c>
      <c r="BP285" s="2" t="s">
        <v>79</v>
      </c>
      <c r="BQ285" s="2" t="s">
        <v>79</v>
      </c>
      <c r="BR285" s="2" t="s">
        <v>91</v>
      </c>
      <c r="BS285" s="2" t="s">
        <v>91</v>
      </c>
      <c r="BT285" s="2" t="s">
        <v>91</v>
      </c>
      <c r="BU285" s="2" t="s">
        <v>91</v>
      </c>
      <c r="BV285" s="2" t="s">
        <v>91</v>
      </c>
      <c r="BW285" s="2" t="s">
        <v>98</v>
      </c>
      <c r="BX285" s="2" t="s">
        <v>98</v>
      </c>
      <c r="BY285" s="2" t="s">
        <v>91</v>
      </c>
      <c r="BZ285" s="2" t="s">
        <v>98</v>
      </c>
      <c r="CA285" s="2" t="s">
        <v>98</v>
      </c>
      <c r="CB285" t="e">
        <f>TTEST(AS285:AW285,AI285:AM285,2,2)</f>
        <v>#DIV/0!</v>
      </c>
      <c r="CC285" t="e">
        <f>TTEST(AD285:AH285,AI285:AM285,2,2)</f>
        <v>#DIV/0!</v>
      </c>
      <c r="CD285" t="e">
        <f>TTEST(AN285:AR285,AI285:AM285,2,2)</f>
        <v>#DIV/0!</v>
      </c>
      <c r="CE285" t="e">
        <f>TTEST(AX285:BB285,AI285:AM285,2,2)</f>
        <v>#DIV/0!</v>
      </c>
      <c r="CF285">
        <v>259</v>
      </c>
      <c r="CG285">
        <v>273</v>
      </c>
      <c r="CH285">
        <v>277</v>
      </c>
      <c r="CI285">
        <v>270</v>
      </c>
      <c r="CJ285">
        <f>0.05*CF285/464</f>
        <v>2.7909482758620693E-2</v>
      </c>
      <c r="CK285">
        <f>0.05*CG285/464</f>
        <v>2.9418103448275862E-2</v>
      </c>
      <c r="CL285">
        <f>0.05*CH285/464</f>
        <v>2.9849137931034487E-2</v>
      </c>
      <c r="CM285">
        <f>0.05*CI285/464</f>
        <v>2.9094827586206896E-2</v>
      </c>
      <c r="CN285" t="e">
        <f>IF(CB285&lt;CJ285,"yes","no")</f>
        <v>#DIV/0!</v>
      </c>
      <c r="CO285" t="e">
        <f>IF(CC285&lt;CK285,"yes","no")</f>
        <v>#DIV/0!</v>
      </c>
      <c r="CP285" t="e">
        <f>IF(CD285&lt;CL285,"yes","no")</f>
        <v>#DIV/0!</v>
      </c>
      <c r="CQ285" t="e">
        <f>IF(CE285&lt;CM285,"yes","no")</f>
        <v>#DIV/0!</v>
      </c>
      <c r="CR285">
        <f>TTEST(AS285:AW285,AD285:AH285,2,2)</f>
        <v>1.094913818493643E-3</v>
      </c>
      <c r="CS285">
        <f>TTEST(AS285:AW285,AN285:AR285,2,2)</f>
        <v>0.41713128152211021</v>
      </c>
      <c r="CT285" t="e">
        <f>TTEST(AS285:AW285,AX285:BB285,2,2)</f>
        <v>#DIV/0!</v>
      </c>
      <c r="CU285">
        <v>162</v>
      </c>
      <c r="CV285">
        <v>221</v>
      </c>
      <c r="CW285">
        <v>284</v>
      </c>
      <c r="CX285">
        <f t="shared" si="12"/>
        <v>1.7456896551724138E-2</v>
      </c>
      <c r="CY285">
        <f t="shared" si="13"/>
        <v>2.3814655172413796E-2</v>
      </c>
      <c r="CZ285">
        <f t="shared" si="14"/>
        <v>3.0603448275862071E-2</v>
      </c>
      <c r="DA285" t="str">
        <f>IF(CR285&lt;CX285,"yes","no")</f>
        <v>yes</v>
      </c>
      <c r="DB285" t="str">
        <f>IF(CS285&lt;CY285,"yes","no")</f>
        <v>no</v>
      </c>
      <c r="DC285" t="e">
        <f>IF(CT285&lt;CZ285,"yes","no")</f>
        <v>#DIV/0!</v>
      </c>
    </row>
    <row r="286" spans="1:107" x14ac:dyDescent="0.2">
      <c r="A286" s="2" t="b">
        <v>0</v>
      </c>
      <c r="B286" s="2" t="s">
        <v>79</v>
      </c>
      <c r="C286" s="2" t="s">
        <v>80</v>
      </c>
      <c r="D286" s="2" t="s">
        <v>1211</v>
      </c>
      <c r="E286" s="2" t="s">
        <v>1212</v>
      </c>
      <c r="F286" s="2">
        <v>1</v>
      </c>
      <c r="G286" s="2">
        <v>1</v>
      </c>
      <c r="H286" s="2">
        <v>7.6</v>
      </c>
      <c r="I286" s="2">
        <v>8.9700000000000006</v>
      </c>
      <c r="J286" s="2" t="s">
        <v>83</v>
      </c>
      <c r="K286" s="2" t="s">
        <v>83</v>
      </c>
      <c r="L286" s="2" t="s">
        <v>83</v>
      </c>
      <c r="M286" s="2" t="s">
        <v>1213</v>
      </c>
      <c r="N286" s="2" t="s">
        <v>1211</v>
      </c>
      <c r="O286" s="2">
        <v>2.9529999999999998</v>
      </c>
      <c r="P286" s="2">
        <v>0.39300000000000002</v>
      </c>
      <c r="Q286" s="2">
        <v>0.01</v>
      </c>
      <c r="R286" s="2">
        <v>0.68899999999999995</v>
      </c>
      <c r="S286" s="2">
        <v>2.073</v>
      </c>
      <c r="T286" s="2">
        <v>0.28899999999999998</v>
      </c>
      <c r="U286" s="2">
        <v>0.01</v>
      </c>
      <c r="V286" s="2">
        <v>0.13</v>
      </c>
      <c r="W286" s="2">
        <v>0.01</v>
      </c>
      <c r="X286" s="2">
        <v>0.01</v>
      </c>
      <c r="Y286" s="2">
        <v>86.8</v>
      </c>
      <c r="Z286" s="2">
        <v>123.6</v>
      </c>
      <c r="AA286" s="2">
        <v>256.3</v>
      </c>
      <c r="AB286" s="2">
        <v>33.4</v>
      </c>
      <c r="AC286" s="2" t="s">
        <v>83</v>
      </c>
      <c r="AD286" s="2">
        <v>238829.890625</v>
      </c>
      <c r="AE286" s="2">
        <v>201663.9375</v>
      </c>
      <c r="AF286" s="2">
        <v>238677.53125</v>
      </c>
      <c r="AG286" s="2">
        <v>210950.234375</v>
      </c>
      <c r="AH286" s="2">
        <v>159817.53125</v>
      </c>
      <c r="AI286" s="2">
        <v>5527.1826171875</v>
      </c>
      <c r="AJ286" s="2">
        <v>7345.55859375</v>
      </c>
      <c r="AK286" s="2" t="s">
        <v>83</v>
      </c>
      <c r="AL286" s="2" t="s">
        <v>83</v>
      </c>
      <c r="AM286" s="2" t="s">
        <v>83</v>
      </c>
      <c r="AN286" s="2">
        <v>9779.916015625</v>
      </c>
      <c r="AO286" s="2">
        <v>13475.2275390625</v>
      </c>
      <c r="AP286" s="2" t="s">
        <v>83</v>
      </c>
      <c r="AQ286" s="2">
        <v>6774.255859375</v>
      </c>
      <c r="AR286" s="2" t="s">
        <v>83</v>
      </c>
      <c r="AS286" s="2">
        <v>11273.64453125</v>
      </c>
      <c r="AT286" s="2" t="s">
        <v>83</v>
      </c>
      <c r="AU286" s="2">
        <v>9069.966796875</v>
      </c>
      <c r="AV286" s="2">
        <v>11468.669921875</v>
      </c>
      <c r="AW286" s="2">
        <v>17596.9140625</v>
      </c>
      <c r="AX286" s="2" t="s">
        <v>83</v>
      </c>
      <c r="AY286" s="2" t="s">
        <v>83</v>
      </c>
      <c r="AZ286" s="2" t="s">
        <v>83</v>
      </c>
      <c r="BA286" s="2" t="s">
        <v>83</v>
      </c>
      <c r="BB286" s="2" t="s">
        <v>83</v>
      </c>
      <c r="BC286" s="2" t="s">
        <v>79</v>
      </c>
      <c r="BD286" s="2" t="s">
        <v>79</v>
      </c>
      <c r="BE286" s="2" t="s">
        <v>79</v>
      </c>
      <c r="BF286" s="2" t="s">
        <v>79</v>
      </c>
      <c r="BG286" s="2" t="s">
        <v>79</v>
      </c>
      <c r="BH286" s="2" t="s">
        <v>91</v>
      </c>
      <c r="BI286" s="2" t="s">
        <v>91</v>
      </c>
      <c r="BJ286" s="2" t="s">
        <v>98</v>
      </c>
      <c r="BK286" s="2" t="s">
        <v>98</v>
      </c>
      <c r="BL286" s="2" t="s">
        <v>98</v>
      </c>
      <c r="BM286" s="2" t="s">
        <v>91</v>
      </c>
      <c r="BN286" s="2" t="s">
        <v>91</v>
      </c>
      <c r="BO286" s="2" t="s">
        <v>98</v>
      </c>
      <c r="BP286" s="2" t="s">
        <v>91</v>
      </c>
      <c r="BQ286" s="2" t="s">
        <v>98</v>
      </c>
      <c r="BR286" s="2" t="s">
        <v>91</v>
      </c>
      <c r="BS286" s="2" t="s">
        <v>79</v>
      </c>
      <c r="BT286" s="2" t="s">
        <v>91</v>
      </c>
      <c r="BU286" s="2" t="s">
        <v>91</v>
      </c>
      <c r="BV286" s="2" t="s">
        <v>91</v>
      </c>
      <c r="BW286" s="2" t="s">
        <v>98</v>
      </c>
      <c r="BX286" s="2" t="s">
        <v>98</v>
      </c>
      <c r="BY286" s="2" t="s">
        <v>98</v>
      </c>
      <c r="BZ286" s="2" t="s">
        <v>98</v>
      </c>
      <c r="CA286" s="2" t="s">
        <v>98</v>
      </c>
      <c r="CB286">
        <f>TTEST(AS286:AW286,AI286:AM286,2,2)</f>
        <v>0.10234971553720185</v>
      </c>
      <c r="CC286">
        <f>TTEST(AD286:AH286,AI286:AM286,2,2)</f>
        <v>4.028560966398213E-4</v>
      </c>
      <c r="CD286">
        <f>TTEST(AN286:AR286,AI286:AM286,2,2)</f>
        <v>0.26180269360243541</v>
      </c>
      <c r="CE286" t="e">
        <f>TTEST(AX286:BB286,AI286:AM286,2,2)</f>
        <v>#DIV/0!</v>
      </c>
      <c r="CF286">
        <v>157</v>
      </c>
      <c r="CG286">
        <v>125</v>
      </c>
      <c r="CH286">
        <v>150</v>
      </c>
      <c r="CI286">
        <v>271</v>
      </c>
      <c r="CJ286">
        <f>0.05*CF286/464</f>
        <v>1.6918103448275865E-2</v>
      </c>
      <c r="CK286">
        <f>0.05*CG286/464</f>
        <v>1.3469827586206896E-2</v>
      </c>
      <c r="CL286">
        <f>0.05*CH286/464</f>
        <v>1.6163793103448277E-2</v>
      </c>
      <c r="CM286">
        <f>0.05*CI286/464</f>
        <v>2.9202586206896555E-2</v>
      </c>
      <c r="CN286" t="str">
        <f>IF(CB286&lt;CJ286,"yes","no")</f>
        <v>no</v>
      </c>
      <c r="CO286" t="str">
        <f>IF(CC286&lt;CK286,"yes","no")</f>
        <v>yes</v>
      </c>
      <c r="CP286" t="str">
        <f>IF(CD286&lt;CL286,"yes","no")</f>
        <v>no</v>
      </c>
      <c r="CQ286" t="e">
        <f>IF(CE286&lt;CM286,"yes","no")</f>
        <v>#DIV/0!</v>
      </c>
      <c r="CR286">
        <f>TTEST(AS286:AW286,AD286:AH286,2,2)</f>
        <v>6.6826106480318483E-6</v>
      </c>
      <c r="CS286">
        <f>TTEST(AS286:AW286,AN286:AR286,2,2)</f>
        <v>0.42621829936608796</v>
      </c>
      <c r="CT286" t="e">
        <f>TTEST(AS286:AW286,AX286:BB286,2,2)</f>
        <v>#DIV/0!</v>
      </c>
      <c r="CU286">
        <v>87</v>
      </c>
      <c r="CV286">
        <v>223</v>
      </c>
      <c r="CW286">
        <v>285</v>
      </c>
      <c r="CX286">
        <f t="shared" si="12"/>
        <v>9.3750000000000014E-3</v>
      </c>
      <c r="CY286">
        <f t="shared" si="13"/>
        <v>2.4030172413793103E-2</v>
      </c>
      <c r="CZ286">
        <f t="shared" si="14"/>
        <v>3.0711206896551723E-2</v>
      </c>
      <c r="DA286" t="str">
        <f>IF(CR286&lt;CX286,"yes","no")</f>
        <v>yes</v>
      </c>
      <c r="DB286" t="str">
        <f>IF(CS286&lt;CY286,"yes","no")</f>
        <v>no</v>
      </c>
      <c r="DC286" t="e">
        <f>IF(CT286&lt;CZ286,"yes","no")</f>
        <v>#DIV/0!</v>
      </c>
    </row>
    <row r="287" spans="1:107" x14ac:dyDescent="0.2">
      <c r="A287" s="2" t="b">
        <v>0</v>
      </c>
      <c r="B287" s="2" t="s">
        <v>79</v>
      </c>
      <c r="C287" s="2" t="s">
        <v>80</v>
      </c>
      <c r="D287" s="2" t="s">
        <v>1565</v>
      </c>
      <c r="E287" s="2" t="s">
        <v>1566</v>
      </c>
      <c r="F287" s="2">
        <v>1</v>
      </c>
      <c r="G287" s="2">
        <v>1</v>
      </c>
      <c r="H287" s="2">
        <v>13.7</v>
      </c>
      <c r="I287" s="2">
        <v>9.0399999999999991</v>
      </c>
      <c r="J287" s="2" t="s">
        <v>254</v>
      </c>
      <c r="K287" s="2" t="s">
        <v>319</v>
      </c>
      <c r="L287" s="2" t="s">
        <v>83</v>
      </c>
      <c r="M287" s="2" t="s">
        <v>83</v>
      </c>
      <c r="N287" s="2" t="s">
        <v>1565</v>
      </c>
      <c r="O287" s="2">
        <v>9.9320000000000004</v>
      </c>
      <c r="P287" s="2">
        <v>1.7430000000000001</v>
      </c>
      <c r="Q287" s="2">
        <v>0.01</v>
      </c>
      <c r="R287" s="2">
        <v>100</v>
      </c>
      <c r="S287" s="2">
        <v>100</v>
      </c>
      <c r="T287" s="2">
        <v>100</v>
      </c>
      <c r="U287" s="2" t="s">
        <v>83</v>
      </c>
      <c r="V287" s="2">
        <v>0.17499999999999999</v>
      </c>
      <c r="W287" s="2">
        <v>0.01</v>
      </c>
      <c r="X287" s="2">
        <v>0.01</v>
      </c>
      <c r="Y287" s="2">
        <v>39.4</v>
      </c>
      <c r="Z287" s="2" t="s">
        <v>83</v>
      </c>
      <c r="AA287" s="2">
        <v>391.8</v>
      </c>
      <c r="AB287" s="2">
        <v>68.7</v>
      </c>
      <c r="AC287" s="2" t="s">
        <v>83</v>
      </c>
      <c r="AD287" s="2" t="s">
        <v>83</v>
      </c>
      <c r="AE287" s="2">
        <v>39011.36328125</v>
      </c>
      <c r="AF287" s="2">
        <v>43482.73046875</v>
      </c>
      <c r="AG287" s="2">
        <v>87302.125</v>
      </c>
      <c r="AH287" s="2">
        <v>173239.84375</v>
      </c>
      <c r="AI287" s="2" t="s">
        <v>83</v>
      </c>
      <c r="AJ287" s="2" t="s">
        <v>83</v>
      </c>
      <c r="AK287" s="2" t="s">
        <v>83</v>
      </c>
      <c r="AL287" s="2" t="s">
        <v>83</v>
      </c>
      <c r="AM287" s="2" t="s">
        <v>83</v>
      </c>
      <c r="AN287" s="2" t="s">
        <v>83</v>
      </c>
      <c r="AO287" s="2">
        <v>8330.3515625</v>
      </c>
      <c r="AP287" s="2" t="s">
        <v>83</v>
      </c>
      <c r="AQ287" s="2" t="s">
        <v>83</v>
      </c>
      <c r="AR287" s="2">
        <v>17367.0703125</v>
      </c>
      <c r="AS287" s="2" t="s">
        <v>83</v>
      </c>
      <c r="AT287" s="2">
        <v>29137.23828125</v>
      </c>
      <c r="AU287" s="2" t="s">
        <v>83</v>
      </c>
      <c r="AV287" s="2" t="s">
        <v>83</v>
      </c>
      <c r="AW287" s="2">
        <v>13721.0263671875</v>
      </c>
      <c r="AX287" s="2" t="s">
        <v>83</v>
      </c>
      <c r="AY287" s="2" t="s">
        <v>83</v>
      </c>
      <c r="AZ287" s="2" t="s">
        <v>83</v>
      </c>
      <c r="BA287" s="2" t="s">
        <v>83</v>
      </c>
      <c r="BB287" s="2" t="s">
        <v>83</v>
      </c>
      <c r="BC287" s="2" t="s">
        <v>98</v>
      </c>
      <c r="BD287" s="2" t="s">
        <v>79</v>
      </c>
      <c r="BE287" s="2" t="s">
        <v>91</v>
      </c>
      <c r="BF287" s="2" t="s">
        <v>79</v>
      </c>
      <c r="BG287" s="2" t="s">
        <v>79</v>
      </c>
      <c r="BH287" s="2" t="s">
        <v>98</v>
      </c>
      <c r="BI287" s="2" t="s">
        <v>98</v>
      </c>
      <c r="BJ287" s="2" t="s">
        <v>98</v>
      </c>
      <c r="BK287" s="2" t="s">
        <v>98</v>
      </c>
      <c r="BL287" s="2" t="s">
        <v>98</v>
      </c>
      <c r="BM287" s="2" t="s">
        <v>98</v>
      </c>
      <c r="BN287" s="2" t="s">
        <v>91</v>
      </c>
      <c r="BO287" s="2" t="s">
        <v>98</v>
      </c>
      <c r="BP287" s="2" t="s">
        <v>98</v>
      </c>
      <c r="BQ287" s="2" t="s">
        <v>91</v>
      </c>
      <c r="BR287" s="2" t="s">
        <v>98</v>
      </c>
      <c r="BS287" s="2" t="s">
        <v>91</v>
      </c>
      <c r="BT287" s="2" t="s">
        <v>98</v>
      </c>
      <c r="BU287" s="2" t="s">
        <v>98</v>
      </c>
      <c r="BV287" s="2" t="s">
        <v>91</v>
      </c>
      <c r="BW287" s="2" t="s">
        <v>98</v>
      </c>
      <c r="BX287" s="2" t="s">
        <v>98</v>
      </c>
      <c r="BY287" s="2" t="s">
        <v>98</v>
      </c>
      <c r="BZ287" s="2" t="s">
        <v>98</v>
      </c>
      <c r="CA287" s="2" t="s">
        <v>98</v>
      </c>
      <c r="CB287" t="e">
        <f>TTEST(AS287:AW287,AI287:AM287,2,2)</f>
        <v>#DIV/0!</v>
      </c>
      <c r="CC287" t="e">
        <f>TTEST(AD287:AH287,AI287:AM287,2,2)</f>
        <v>#DIV/0!</v>
      </c>
      <c r="CD287" t="e">
        <f>TTEST(AN287:AR287,AI287:AM287,2,2)</f>
        <v>#DIV/0!</v>
      </c>
      <c r="CE287" t="e">
        <f>TTEST(AX287:BB287,AI287:AM287,2,2)</f>
        <v>#DIV/0!</v>
      </c>
      <c r="CF287">
        <v>304</v>
      </c>
      <c r="CG287">
        <v>318</v>
      </c>
      <c r="CH287">
        <v>322</v>
      </c>
      <c r="CI287">
        <v>272</v>
      </c>
      <c r="CJ287">
        <f>0.05*CF287/464</f>
        <v>3.2758620689655175E-2</v>
      </c>
      <c r="CK287">
        <f>0.05*CG287/464</f>
        <v>3.4267241379310344E-2</v>
      </c>
      <c r="CL287">
        <f>0.05*CH287/464</f>
        <v>3.4698275862068965E-2</v>
      </c>
      <c r="CM287">
        <f>0.05*CI287/464</f>
        <v>2.931034482758621E-2</v>
      </c>
      <c r="CN287" t="e">
        <f>IF(CB287&lt;CJ287,"yes","no")</f>
        <v>#DIV/0!</v>
      </c>
      <c r="CO287" t="e">
        <f>IF(CC287&lt;CK287,"yes","no")</f>
        <v>#DIV/0!</v>
      </c>
      <c r="CP287" t="e">
        <f>IF(CD287&lt;CL287,"yes","no")</f>
        <v>#DIV/0!</v>
      </c>
      <c r="CQ287" t="e">
        <f>IF(CE287&lt;CM287,"yes","no")</f>
        <v>#DIV/0!</v>
      </c>
      <c r="CR287">
        <f>TTEST(AS287:AW287,AD287:AH287,2,2)</f>
        <v>0.24234025870978854</v>
      </c>
      <c r="CS287">
        <f>TTEST(AS287:AW287,AN287:AR287,2,2)</f>
        <v>0.43822085805319755</v>
      </c>
      <c r="CT287" t="e">
        <f>TTEST(AS287:AW287,AX287:BB287,2,2)</f>
        <v>#DIV/0!</v>
      </c>
      <c r="CU287">
        <v>278</v>
      </c>
      <c r="CV287">
        <v>225</v>
      </c>
      <c r="CW287">
        <v>286</v>
      </c>
      <c r="CX287">
        <f t="shared" si="12"/>
        <v>2.9956896551724139E-2</v>
      </c>
      <c r="CY287">
        <f t="shared" si="13"/>
        <v>2.4245689655172414E-2</v>
      </c>
      <c r="CZ287">
        <f t="shared" si="14"/>
        <v>3.0818965517241382E-2</v>
      </c>
      <c r="DA287" t="str">
        <f>IF(CR287&lt;CX287,"yes","no")</f>
        <v>no</v>
      </c>
      <c r="DB287" t="str">
        <f>IF(CS287&lt;CY287,"yes","no")</f>
        <v>no</v>
      </c>
      <c r="DC287" t="e">
        <f>IF(CT287&lt;CZ287,"yes","no")</f>
        <v>#DIV/0!</v>
      </c>
    </row>
    <row r="288" spans="1:107" x14ac:dyDescent="0.2">
      <c r="A288" s="2" t="b">
        <v>0</v>
      </c>
      <c r="B288" s="2" t="s">
        <v>79</v>
      </c>
      <c r="C288" s="2" t="s">
        <v>80</v>
      </c>
      <c r="D288" s="2" t="s">
        <v>881</v>
      </c>
      <c r="E288" s="2" t="s">
        <v>882</v>
      </c>
      <c r="F288" s="2">
        <v>2</v>
      </c>
      <c r="G288" s="2">
        <v>2</v>
      </c>
      <c r="H288" s="2">
        <v>12.9</v>
      </c>
      <c r="I288" s="2">
        <v>8.94</v>
      </c>
      <c r="J288" s="2" t="s">
        <v>254</v>
      </c>
      <c r="K288" s="2" t="s">
        <v>319</v>
      </c>
      <c r="L288" s="2" t="s">
        <v>83</v>
      </c>
      <c r="M288" s="2" t="s">
        <v>83</v>
      </c>
      <c r="N288" s="2" t="s">
        <v>881</v>
      </c>
      <c r="O288" s="2">
        <v>5.5190000000000001</v>
      </c>
      <c r="P288" s="2">
        <v>0.64700000000000002</v>
      </c>
      <c r="Q288" s="2">
        <v>1.1459999999999999</v>
      </c>
      <c r="R288" s="2">
        <v>100</v>
      </c>
      <c r="S288" s="2">
        <v>100</v>
      </c>
      <c r="T288" s="2">
        <v>100</v>
      </c>
      <c r="U288" s="2">
        <v>100</v>
      </c>
      <c r="V288" s="2">
        <v>0.11700000000000001</v>
      </c>
      <c r="W288" s="2">
        <v>0.23200000000000001</v>
      </c>
      <c r="X288" s="2">
        <v>1.841</v>
      </c>
      <c r="Y288" s="2">
        <v>64.8</v>
      </c>
      <c r="Z288" s="2" t="s">
        <v>83</v>
      </c>
      <c r="AA288" s="2">
        <v>320.5</v>
      </c>
      <c r="AB288" s="2">
        <v>40.4</v>
      </c>
      <c r="AC288" s="2">
        <v>74.3</v>
      </c>
      <c r="AD288" s="2">
        <v>770167.375</v>
      </c>
      <c r="AE288" s="2">
        <v>632357.875</v>
      </c>
      <c r="AF288" s="2">
        <v>640762</v>
      </c>
      <c r="AG288" s="2">
        <v>46953.06640625</v>
      </c>
      <c r="AH288" s="2">
        <v>502969.5</v>
      </c>
      <c r="AI288" s="2" t="s">
        <v>83</v>
      </c>
      <c r="AJ288" s="2" t="s">
        <v>83</v>
      </c>
      <c r="AK288" s="2" t="s">
        <v>83</v>
      </c>
      <c r="AL288" s="2" t="s">
        <v>83</v>
      </c>
      <c r="AM288" s="2" t="s">
        <v>83</v>
      </c>
      <c r="AN288" s="2" t="s">
        <v>83</v>
      </c>
      <c r="AO288" s="2" t="s">
        <v>83</v>
      </c>
      <c r="AP288" s="2">
        <v>67964.578125</v>
      </c>
      <c r="AQ288" s="2">
        <v>83896.109375</v>
      </c>
      <c r="AR288" s="2" t="s">
        <v>83</v>
      </c>
      <c r="AS288" s="2">
        <v>47461.1171875</v>
      </c>
      <c r="AT288" s="2">
        <v>89950.2265625</v>
      </c>
      <c r="AU288" s="2">
        <v>58975.9921875</v>
      </c>
      <c r="AV288" s="2">
        <v>64581.32421875</v>
      </c>
      <c r="AW288" s="2">
        <v>67123.3046875</v>
      </c>
      <c r="AX288" s="2">
        <v>37442.203125</v>
      </c>
      <c r="AY288" s="2" t="s">
        <v>83</v>
      </c>
      <c r="AZ288" s="2" t="s">
        <v>83</v>
      </c>
      <c r="BA288" s="2" t="s">
        <v>83</v>
      </c>
      <c r="BB288" s="2" t="s">
        <v>83</v>
      </c>
      <c r="BC288" s="2" t="s">
        <v>79</v>
      </c>
      <c r="BD288" s="2" t="s">
        <v>79</v>
      </c>
      <c r="BE288" s="2" t="s">
        <v>79</v>
      </c>
      <c r="BF288" s="2" t="s">
        <v>79</v>
      </c>
      <c r="BG288" s="2" t="s">
        <v>79</v>
      </c>
      <c r="BH288" s="2" t="s">
        <v>98</v>
      </c>
      <c r="BI288" s="2" t="s">
        <v>98</v>
      </c>
      <c r="BJ288" s="2" t="s">
        <v>98</v>
      </c>
      <c r="BK288" s="2" t="s">
        <v>98</v>
      </c>
      <c r="BL288" s="2" t="s">
        <v>98</v>
      </c>
      <c r="BM288" s="2" t="s">
        <v>98</v>
      </c>
      <c r="BN288" s="2" t="s">
        <v>98</v>
      </c>
      <c r="BO288" s="2" t="s">
        <v>91</v>
      </c>
      <c r="BP288" s="2" t="s">
        <v>91</v>
      </c>
      <c r="BQ288" s="2" t="s">
        <v>98</v>
      </c>
      <c r="BR288" s="2" t="s">
        <v>79</v>
      </c>
      <c r="BS288" s="2" t="s">
        <v>79</v>
      </c>
      <c r="BT288" s="2" t="s">
        <v>79</v>
      </c>
      <c r="BU288" s="2" t="s">
        <v>79</v>
      </c>
      <c r="BV288" s="2" t="s">
        <v>79</v>
      </c>
      <c r="BW288" s="2" t="s">
        <v>91</v>
      </c>
      <c r="BX288" s="2" t="s">
        <v>98</v>
      </c>
      <c r="BY288" s="2" t="s">
        <v>98</v>
      </c>
      <c r="BZ288" s="2" t="s">
        <v>98</v>
      </c>
      <c r="CA288" s="2" t="s">
        <v>98</v>
      </c>
      <c r="CB288" t="e">
        <f>TTEST(AS288:AW288,AI288:AM288,2,2)</f>
        <v>#DIV/0!</v>
      </c>
      <c r="CC288" t="e">
        <f>TTEST(AD288:AH288,AI288:AM288,2,2)</f>
        <v>#DIV/0!</v>
      </c>
      <c r="CD288" t="e">
        <f>TTEST(AN288:AR288,AI288:AM288,2,2)</f>
        <v>#DIV/0!</v>
      </c>
      <c r="CE288" t="e">
        <f>TTEST(AX288:BB288,AI288:AM288,2,2)</f>
        <v>#DIV/0!</v>
      </c>
      <c r="CF288">
        <v>272</v>
      </c>
      <c r="CG288">
        <v>286</v>
      </c>
      <c r="CH288">
        <v>290</v>
      </c>
      <c r="CI288">
        <v>273</v>
      </c>
      <c r="CJ288">
        <f>0.05*CF288/464</f>
        <v>2.931034482758621E-2</v>
      </c>
      <c r="CK288">
        <f>0.05*CG288/464</f>
        <v>3.0818965517241382E-2</v>
      </c>
      <c r="CL288">
        <f>0.05*CH288/464</f>
        <v>3.125E-2</v>
      </c>
      <c r="CM288">
        <f>0.05*CI288/464</f>
        <v>2.9418103448275862E-2</v>
      </c>
      <c r="CN288" t="e">
        <f>IF(CB288&lt;CJ288,"yes","no")</f>
        <v>#DIV/0!</v>
      </c>
      <c r="CO288" t="e">
        <f>IF(CC288&lt;CK288,"yes","no")</f>
        <v>#DIV/0!</v>
      </c>
      <c r="CP288" t="e">
        <f>IF(CD288&lt;CL288,"yes","no")</f>
        <v>#DIV/0!</v>
      </c>
      <c r="CQ288" t="e">
        <f>IF(CE288&lt;CM288,"yes","no")</f>
        <v>#DIV/0!</v>
      </c>
      <c r="CR288">
        <f>TTEST(AS288:AW288,AD288:AH288,2,2)</f>
        <v>6.8732996255144755E-3</v>
      </c>
      <c r="CS288">
        <f>TTEST(AS288:AW288,AN288:AR288,2,2)</f>
        <v>0.44309109235025279</v>
      </c>
      <c r="CT288" t="e">
        <f>TTEST(AS288:AW288,AX288:BB288,2,2)</f>
        <v>#DIV/0!</v>
      </c>
      <c r="CU288">
        <v>190</v>
      </c>
      <c r="CV288">
        <v>226</v>
      </c>
      <c r="CW288">
        <v>287</v>
      </c>
      <c r="CX288">
        <f t="shared" si="12"/>
        <v>2.0474137931034482E-2</v>
      </c>
      <c r="CY288">
        <f t="shared" si="13"/>
        <v>2.4353448275862069E-2</v>
      </c>
      <c r="CZ288">
        <f t="shared" si="14"/>
        <v>3.0926724137931037E-2</v>
      </c>
      <c r="DA288" t="str">
        <f>IF(CR288&lt;CX288,"yes","no")</f>
        <v>yes</v>
      </c>
      <c r="DB288" t="str">
        <f>IF(CS288&lt;CY288,"yes","no")</f>
        <v>no</v>
      </c>
      <c r="DC288" t="e">
        <f>IF(CT288&lt;CZ288,"yes","no")</f>
        <v>#DIV/0!</v>
      </c>
    </row>
    <row r="289" spans="1:107" x14ac:dyDescent="0.2">
      <c r="A289" s="2" t="b">
        <v>0</v>
      </c>
      <c r="B289" s="2" t="s">
        <v>79</v>
      </c>
      <c r="C289" s="2" t="s">
        <v>80</v>
      </c>
      <c r="D289" s="2" t="s">
        <v>1081</v>
      </c>
      <c r="E289" s="2" t="s">
        <v>1082</v>
      </c>
      <c r="F289" s="2">
        <v>3</v>
      </c>
      <c r="G289" s="2">
        <v>3</v>
      </c>
      <c r="H289" s="2">
        <v>60.9</v>
      </c>
      <c r="I289" s="2">
        <v>6.18</v>
      </c>
      <c r="J289" s="2" t="s">
        <v>1083</v>
      </c>
      <c r="K289" s="2" t="s">
        <v>1084</v>
      </c>
      <c r="L289" s="2" t="s">
        <v>115</v>
      </c>
      <c r="M289" s="2" t="s">
        <v>1085</v>
      </c>
      <c r="N289" s="2" t="s">
        <v>1086</v>
      </c>
      <c r="O289" s="2">
        <v>5.7830000000000004</v>
      </c>
      <c r="P289" s="2">
        <v>2.12</v>
      </c>
      <c r="Q289" s="2">
        <v>0.01</v>
      </c>
      <c r="R289" s="2">
        <v>0.35599999999999998</v>
      </c>
      <c r="S289" s="2">
        <v>1.9970000000000001</v>
      </c>
      <c r="T289" s="2" t="s">
        <v>83</v>
      </c>
      <c r="U289" s="2">
        <v>0.01</v>
      </c>
      <c r="V289" s="2">
        <v>0.317</v>
      </c>
      <c r="W289" s="2">
        <v>0.01</v>
      </c>
      <c r="X289" s="2">
        <v>0.01</v>
      </c>
      <c r="Y289" s="2">
        <v>67.2</v>
      </c>
      <c r="Z289" s="2">
        <v>126</v>
      </c>
      <c r="AA289" s="2">
        <v>257.8</v>
      </c>
      <c r="AB289" s="2">
        <v>49</v>
      </c>
      <c r="AC289" s="2" t="s">
        <v>83</v>
      </c>
      <c r="AD289" s="2">
        <v>223394.03125</v>
      </c>
      <c r="AE289" s="2">
        <v>94936.2421875</v>
      </c>
      <c r="AF289" s="2">
        <v>172225.19921875</v>
      </c>
      <c r="AG289" s="2">
        <v>646960.9453125</v>
      </c>
      <c r="AH289" s="2">
        <v>49693.3828125</v>
      </c>
      <c r="AI289" s="2" t="s">
        <v>83</v>
      </c>
      <c r="AJ289" s="2" t="s">
        <v>83</v>
      </c>
      <c r="AK289" s="2" t="s">
        <v>83</v>
      </c>
      <c r="AL289" s="2">
        <v>10904.5087890625</v>
      </c>
      <c r="AM289" s="2" t="s">
        <v>83</v>
      </c>
      <c r="AN289" s="2">
        <v>12296.95703125</v>
      </c>
      <c r="AO289" s="2">
        <v>11074.5380859375</v>
      </c>
      <c r="AP289" s="2">
        <v>17659.6728515625</v>
      </c>
      <c r="AQ289" s="2">
        <v>11642.9521484375</v>
      </c>
      <c r="AR289" s="2">
        <v>43010.1455078125</v>
      </c>
      <c r="AS289" s="2" t="s">
        <v>83</v>
      </c>
      <c r="AT289" s="2">
        <v>35666.70703125</v>
      </c>
      <c r="AU289" s="2" t="s">
        <v>83</v>
      </c>
      <c r="AV289" s="2">
        <v>17616.791015625</v>
      </c>
      <c r="AW289" s="2" t="s">
        <v>83</v>
      </c>
      <c r="AX289" s="2" t="s">
        <v>83</v>
      </c>
      <c r="AY289" s="2" t="s">
        <v>83</v>
      </c>
      <c r="AZ289" s="2" t="s">
        <v>83</v>
      </c>
      <c r="BA289" s="2" t="s">
        <v>83</v>
      </c>
      <c r="BB289" s="2" t="s">
        <v>83</v>
      </c>
      <c r="BC289" s="2" t="s">
        <v>91</v>
      </c>
      <c r="BD289" s="2" t="s">
        <v>91</v>
      </c>
      <c r="BE289" s="2" t="s">
        <v>91</v>
      </c>
      <c r="BF289" s="2" t="s">
        <v>79</v>
      </c>
      <c r="BG289" s="2" t="s">
        <v>91</v>
      </c>
      <c r="BH289" s="2" t="s">
        <v>98</v>
      </c>
      <c r="BI289" s="2" t="s">
        <v>98</v>
      </c>
      <c r="BJ289" s="2" t="s">
        <v>98</v>
      </c>
      <c r="BK289" s="2" t="s">
        <v>91</v>
      </c>
      <c r="BL289" s="2" t="s">
        <v>98</v>
      </c>
      <c r="BM289" s="2" t="s">
        <v>91</v>
      </c>
      <c r="BN289" s="2" t="s">
        <v>91</v>
      </c>
      <c r="BO289" s="2" t="s">
        <v>91</v>
      </c>
      <c r="BP289" s="2" t="s">
        <v>91</v>
      </c>
      <c r="BQ289" s="2" t="s">
        <v>91</v>
      </c>
      <c r="BR289" s="2" t="s">
        <v>98</v>
      </c>
      <c r="BS289" s="2" t="s">
        <v>91</v>
      </c>
      <c r="BT289" s="2" t="s">
        <v>98</v>
      </c>
      <c r="BU289" s="2" t="s">
        <v>91</v>
      </c>
      <c r="BV289" s="2" t="s">
        <v>98</v>
      </c>
      <c r="BW289" s="2" t="s">
        <v>98</v>
      </c>
      <c r="BX289" s="2" t="s">
        <v>98</v>
      </c>
      <c r="BY289" s="2" t="s">
        <v>98</v>
      </c>
      <c r="BZ289" s="2" t="s">
        <v>98</v>
      </c>
      <c r="CA289" s="2" t="s">
        <v>98</v>
      </c>
      <c r="CB289" t="e">
        <f>TTEST(AS289:AW289,AI289:AM289,2,2)</f>
        <v>#DIV/0!</v>
      </c>
      <c r="CC289" t="e">
        <f>TTEST(AD289:AH289,AI289:AM289,2,2)</f>
        <v>#DIV/0!</v>
      </c>
      <c r="CD289" t="e">
        <f>TTEST(AN289:AR289,AI289:AM289,2,2)</f>
        <v>#DIV/0!</v>
      </c>
      <c r="CE289" t="e">
        <f>TTEST(AX289:BB289,AI289:AM289,2,2)</f>
        <v>#DIV/0!</v>
      </c>
      <c r="CF289">
        <v>305</v>
      </c>
      <c r="CG289">
        <v>319</v>
      </c>
      <c r="CH289">
        <v>323</v>
      </c>
      <c r="CI289">
        <v>274</v>
      </c>
      <c r="CJ289">
        <f>0.05*CF289/464</f>
        <v>3.2866379310344827E-2</v>
      </c>
      <c r="CK289">
        <f>0.05*CG289/464</f>
        <v>3.4375000000000003E-2</v>
      </c>
      <c r="CL289">
        <f>0.05*CH289/464</f>
        <v>3.4806034482758624E-2</v>
      </c>
      <c r="CM289">
        <f>0.05*CI289/464</f>
        <v>2.9525862068965521E-2</v>
      </c>
      <c r="CN289" t="e">
        <f>IF(CB289&lt;CJ289,"yes","no")</f>
        <v>#DIV/0!</v>
      </c>
      <c r="CO289" t="e">
        <f>IF(CC289&lt;CK289,"yes","no")</f>
        <v>#DIV/0!</v>
      </c>
      <c r="CP289" t="e">
        <f>IF(CD289&lt;CL289,"yes","no")</f>
        <v>#DIV/0!</v>
      </c>
      <c r="CQ289" t="e">
        <f>IF(CE289&lt;CM289,"yes","no")</f>
        <v>#DIV/0!</v>
      </c>
      <c r="CR289">
        <f>TTEST(AS289:AW289,AD289:AH289,2,2)</f>
        <v>0.29100308656400015</v>
      </c>
      <c r="CS289">
        <f>TTEST(AS289:AW289,AN289:AR289,2,2)</f>
        <v>0.53402363825858079</v>
      </c>
      <c r="CT289" t="e">
        <f>TTEST(AS289:AW289,AX289:BB289,2,2)</f>
        <v>#DIV/0!</v>
      </c>
      <c r="CU289">
        <v>282</v>
      </c>
      <c r="CV289">
        <v>230</v>
      </c>
      <c r="CW289">
        <v>288</v>
      </c>
      <c r="CX289">
        <f t="shared" si="12"/>
        <v>3.038793103448276E-2</v>
      </c>
      <c r="CY289">
        <f t="shared" si="13"/>
        <v>2.4784482758620691E-2</v>
      </c>
      <c r="CZ289">
        <f t="shared" si="14"/>
        <v>3.1034482758620689E-2</v>
      </c>
      <c r="DA289" t="str">
        <f>IF(CR289&lt;CX289,"yes","no")</f>
        <v>no</v>
      </c>
      <c r="DB289" t="str">
        <f>IF(CS289&lt;CY289,"yes","no")</f>
        <v>no</v>
      </c>
      <c r="DC289" t="e">
        <f>IF(CT289&lt;CZ289,"yes","no")</f>
        <v>#DIV/0!</v>
      </c>
    </row>
    <row r="290" spans="1:107" x14ac:dyDescent="0.2">
      <c r="A290" s="2" t="b">
        <v>0</v>
      </c>
      <c r="B290" s="2" t="s">
        <v>79</v>
      </c>
      <c r="C290" s="2" t="s">
        <v>80</v>
      </c>
      <c r="D290" s="2" t="s">
        <v>758</v>
      </c>
      <c r="E290" s="2" t="s">
        <v>759</v>
      </c>
      <c r="F290" s="2">
        <v>4</v>
      </c>
      <c r="G290" s="2">
        <v>3</v>
      </c>
      <c r="H290" s="2">
        <v>47.2</v>
      </c>
      <c r="I290" s="2">
        <v>6.23</v>
      </c>
      <c r="J290" s="2" t="s">
        <v>135</v>
      </c>
      <c r="K290" s="2" t="s">
        <v>363</v>
      </c>
      <c r="L290" s="2" t="s">
        <v>119</v>
      </c>
      <c r="M290" s="2" t="s">
        <v>760</v>
      </c>
      <c r="N290" s="2" t="s">
        <v>758</v>
      </c>
      <c r="O290" s="2">
        <v>6.9089999999999998</v>
      </c>
      <c r="P290" s="2">
        <v>0.83699999999999997</v>
      </c>
      <c r="Q290" s="2">
        <v>23.617999999999999</v>
      </c>
      <c r="R290" s="2">
        <v>0.36099999999999999</v>
      </c>
      <c r="S290" s="2">
        <v>3.2</v>
      </c>
      <c r="T290" s="2">
        <v>0.42399999999999999</v>
      </c>
      <c r="U290" s="2">
        <v>0.64400000000000002</v>
      </c>
      <c r="V290" s="2">
        <v>0.13400000000000001</v>
      </c>
      <c r="W290" s="2" t="s">
        <v>83</v>
      </c>
      <c r="X290" s="2" t="s">
        <v>83</v>
      </c>
      <c r="Y290" s="2">
        <v>9.1999999999999993</v>
      </c>
      <c r="Z290" s="2">
        <v>263.10000000000002</v>
      </c>
      <c r="AA290" s="2">
        <v>62.5</v>
      </c>
      <c r="AB290" s="2">
        <v>8.3000000000000007</v>
      </c>
      <c r="AC290" s="2">
        <v>156.9</v>
      </c>
      <c r="AD290" s="2">
        <v>61056.8515625</v>
      </c>
      <c r="AE290" s="2">
        <v>63421.07421875</v>
      </c>
      <c r="AF290" s="2">
        <v>134141.60546875</v>
      </c>
      <c r="AG290" s="2">
        <v>153786.140625</v>
      </c>
      <c r="AH290" s="2">
        <v>28198.412109375</v>
      </c>
      <c r="AI290" s="2" t="s">
        <v>83</v>
      </c>
      <c r="AJ290" s="2" t="s">
        <v>83</v>
      </c>
      <c r="AK290" s="2" t="s">
        <v>83</v>
      </c>
      <c r="AL290" s="2">
        <v>59324.7060546875</v>
      </c>
      <c r="AM290" s="2" t="s">
        <v>83</v>
      </c>
      <c r="AN290" s="2">
        <v>7986.921875</v>
      </c>
      <c r="AO290" s="2">
        <v>6725.30029296875</v>
      </c>
      <c r="AP290" s="2">
        <v>13636.8173828125</v>
      </c>
      <c r="AQ290" s="2">
        <v>6514.58349609375</v>
      </c>
      <c r="AR290" s="2" t="s">
        <v>83</v>
      </c>
      <c r="AS290" s="2">
        <v>5936.5185546875</v>
      </c>
      <c r="AT290" s="2">
        <v>13772.9404296875</v>
      </c>
      <c r="AU290" s="2">
        <v>12210.578125</v>
      </c>
      <c r="AV290" s="2">
        <v>9032.0908203125</v>
      </c>
      <c r="AW290" s="2">
        <v>7107.3583984375</v>
      </c>
      <c r="AX290" s="2" t="s">
        <v>83</v>
      </c>
      <c r="AY290" s="2">
        <v>108834.84375</v>
      </c>
      <c r="AZ290" s="2" t="s">
        <v>83</v>
      </c>
      <c r="BA290" s="2" t="s">
        <v>83</v>
      </c>
      <c r="BB290" s="2" t="s">
        <v>83</v>
      </c>
      <c r="BC290" s="2" t="s">
        <v>91</v>
      </c>
      <c r="BD290" s="2" t="s">
        <v>91</v>
      </c>
      <c r="BE290" s="2" t="s">
        <v>79</v>
      </c>
      <c r="BF290" s="2" t="s">
        <v>79</v>
      </c>
      <c r="BG290" s="2" t="s">
        <v>91</v>
      </c>
      <c r="BH290" s="2" t="s">
        <v>91</v>
      </c>
      <c r="BI290" s="2" t="s">
        <v>91</v>
      </c>
      <c r="BJ290" s="2" t="s">
        <v>91</v>
      </c>
      <c r="BK290" s="2" t="s">
        <v>79</v>
      </c>
      <c r="BL290" s="2" t="s">
        <v>91</v>
      </c>
      <c r="BM290" s="2" t="s">
        <v>91</v>
      </c>
      <c r="BN290" s="2" t="s">
        <v>91</v>
      </c>
      <c r="BO290" s="2" t="s">
        <v>91</v>
      </c>
      <c r="BP290" s="2" t="s">
        <v>91</v>
      </c>
      <c r="BQ290" s="2" t="s">
        <v>98</v>
      </c>
      <c r="BR290" s="2" t="s">
        <v>91</v>
      </c>
      <c r="BS290" s="2" t="s">
        <v>91</v>
      </c>
      <c r="BT290" s="2" t="s">
        <v>91</v>
      </c>
      <c r="BU290" s="2" t="s">
        <v>91</v>
      </c>
      <c r="BV290" s="2" t="s">
        <v>91</v>
      </c>
      <c r="BW290" s="2" t="s">
        <v>98</v>
      </c>
      <c r="BX290" s="2" t="s">
        <v>79</v>
      </c>
      <c r="BY290" s="2" t="s">
        <v>98</v>
      </c>
      <c r="BZ290" s="2" t="s">
        <v>91</v>
      </c>
      <c r="CA290" s="2" t="s">
        <v>98</v>
      </c>
      <c r="CB290" t="e">
        <f>TTEST(AS290:AW290,AI290:AM290,2,2)</f>
        <v>#DIV/0!</v>
      </c>
      <c r="CC290" t="e">
        <f>TTEST(AD290:AH290,AI290:AM290,2,2)</f>
        <v>#DIV/0!</v>
      </c>
      <c r="CD290" t="e">
        <f>TTEST(AN290:AR290,AI290:AM290,2,2)</f>
        <v>#DIV/0!</v>
      </c>
      <c r="CE290" t="e">
        <f>TTEST(AX290:BB290,AI290:AM290,2,2)</f>
        <v>#DIV/0!</v>
      </c>
      <c r="CF290">
        <v>274</v>
      </c>
      <c r="CG290">
        <v>288</v>
      </c>
      <c r="CH290">
        <v>292</v>
      </c>
      <c r="CI290">
        <v>277</v>
      </c>
      <c r="CJ290">
        <f>0.05*CF290/464</f>
        <v>2.9525862068965521E-2</v>
      </c>
      <c r="CK290">
        <f>0.05*CG290/464</f>
        <v>3.1034482758620689E-2</v>
      </c>
      <c r="CL290">
        <f>0.05*CH290/464</f>
        <v>3.1465517241379311E-2</v>
      </c>
      <c r="CM290">
        <f>0.05*CI290/464</f>
        <v>2.9849137931034487E-2</v>
      </c>
      <c r="CN290" t="e">
        <f>IF(CB290&lt;CJ290,"yes","no")</f>
        <v>#DIV/0!</v>
      </c>
      <c r="CO290" t="e">
        <f>IF(CC290&lt;CK290,"yes","no")</f>
        <v>#DIV/0!</v>
      </c>
      <c r="CP290" t="e">
        <f>IF(CD290&lt;CL290,"yes","no")</f>
        <v>#DIV/0!</v>
      </c>
      <c r="CQ290" t="e">
        <f>IF(CE290&lt;CM290,"yes","no")</f>
        <v>#DIV/0!</v>
      </c>
      <c r="CR290">
        <f>TTEST(AS290:AW290,AD290:AH290,2,2)</f>
        <v>1.1066047276959269E-2</v>
      </c>
      <c r="CS290">
        <f>TTEST(AS290:AW290,AN290:AR290,2,2)</f>
        <v>0.70052089220785629</v>
      </c>
      <c r="CT290" t="e">
        <f>TTEST(AS290:AW290,AX290:BB290,2,2)</f>
        <v>#DIV/0!</v>
      </c>
      <c r="CU290">
        <v>195</v>
      </c>
      <c r="CV290">
        <v>244</v>
      </c>
      <c r="CW290">
        <v>289</v>
      </c>
      <c r="CX290">
        <f t="shared" si="12"/>
        <v>2.1012931034482759E-2</v>
      </c>
      <c r="CY290">
        <f t="shared" si="13"/>
        <v>2.6293103448275866E-2</v>
      </c>
      <c r="CZ290">
        <f t="shared" si="14"/>
        <v>3.1142241379310348E-2</v>
      </c>
      <c r="DA290" t="str">
        <f>IF(CR290&lt;CX290,"yes","no")</f>
        <v>yes</v>
      </c>
      <c r="DB290" t="str">
        <f>IF(CS290&lt;CY290,"yes","no")</f>
        <v>no</v>
      </c>
      <c r="DC290" t="e">
        <f>IF(CT290&lt;CZ290,"yes","no")</f>
        <v>#DIV/0!</v>
      </c>
    </row>
    <row r="291" spans="1:107" x14ac:dyDescent="0.2">
      <c r="A291" s="2" t="b">
        <v>0</v>
      </c>
      <c r="B291" s="2" t="s">
        <v>79</v>
      </c>
      <c r="C291" s="2" t="s">
        <v>80</v>
      </c>
      <c r="D291" s="2" t="s">
        <v>1453</v>
      </c>
      <c r="E291" s="2" t="s">
        <v>1454</v>
      </c>
      <c r="F291" s="2">
        <v>1</v>
      </c>
      <c r="G291" s="2">
        <v>1</v>
      </c>
      <c r="H291" s="2">
        <v>31.6</v>
      </c>
      <c r="I291" s="2">
        <v>7.91</v>
      </c>
      <c r="J291" s="2" t="s">
        <v>83</v>
      </c>
      <c r="K291" s="2" t="s">
        <v>83</v>
      </c>
      <c r="L291" s="2" t="s">
        <v>83</v>
      </c>
      <c r="M291" s="2" t="s">
        <v>1455</v>
      </c>
      <c r="N291" s="2" t="s">
        <v>1453</v>
      </c>
      <c r="O291" s="2">
        <v>34.567</v>
      </c>
      <c r="P291" s="2">
        <v>7.0010000000000003</v>
      </c>
      <c r="Q291" s="2">
        <v>0.01</v>
      </c>
      <c r="R291" s="2">
        <v>4.1000000000000002E-2</v>
      </c>
      <c r="S291" s="2">
        <v>1.8939999999999999</v>
      </c>
      <c r="T291" s="2">
        <v>0.316</v>
      </c>
      <c r="U291" s="2">
        <v>0.01</v>
      </c>
      <c r="V291" s="2">
        <v>0.151</v>
      </c>
      <c r="W291" s="2">
        <v>0.01</v>
      </c>
      <c r="X291" s="2">
        <v>0.01</v>
      </c>
      <c r="Y291" s="2">
        <v>7.1</v>
      </c>
      <c r="Z291" s="2">
        <v>143.5</v>
      </c>
      <c r="AA291" s="2">
        <v>307.60000000000002</v>
      </c>
      <c r="AB291" s="2">
        <v>41.9</v>
      </c>
      <c r="AC291" s="2" t="s">
        <v>83</v>
      </c>
      <c r="AD291" s="2" t="s">
        <v>83</v>
      </c>
      <c r="AE291" s="2">
        <v>141667.84375</v>
      </c>
      <c r="AF291" s="2" t="s">
        <v>83</v>
      </c>
      <c r="AG291" s="2">
        <v>37073.83203125</v>
      </c>
      <c r="AH291" s="2" t="s">
        <v>83</v>
      </c>
      <c r="AI291" s="2">
        <v>69939.9921875</v>
      </c>
      <c r="AJ291" s="2">
        <v>22145.76171875</v>
      </c>
      <c r="AK291" s="2">
        <v>32891.782714843801</v>
      </c>
      <c r="AL291" s="2">
        <v>27538.521484375</v>
      </c>
      <c r="AM291" s="2">
        <v>23801.9104003906</v>
      </c>
      <c r="AN291" s="2">
        <v>31525.3857421875</v>
      </c>
      <c r="AO291" s="2">
        <v>19870.308105468801</v>
      </c>
      <c r="AP291" s="2">
        <v>72626.9921875</v>
      </c>
      <c r="AQ291" s="2">
        <v>99313.203125</v>
      </c>
      <c r="AR291" s="2">
        <v>100885.9921875</v>
      </c>
      <c r="AS291" s="2" t="s">
        <v>83</v>
      </c>
      <c r="AT291" s="2" t="s">
        <v>83</v>
      </c>
      <c r="AU291" s="2">
        <v>54429.421875</v>
      </c>
      <c r="AV291" s="2">
        <v>60436.1796875</v>
      </c>
      <c r="AW291" s="2">
        <v>96812.796875</v>
      </c>
      <c r="AX291" s="2" t="s">
        <v>83</v>
      </c>
      <c r="AY291" s="2" t="s">
        <v>83</v>
      </c>
      <c r="AZ291" s="2" t="s">
        <v>83</v>
      </c>
      <c r="BA291" s="2" t="s">
        <v>83</v>
      </c>
      <c r="BB291" s="2" t="s">
        <v>83</v>
      </c>
      <c r="BC291" s="2" t="s">
        <v>98</v>
      </c>
      <c r="BD291" s="2" t="s">
        <v>79</v>
      </c>
      <c r="BE291" s="2" t="s">
        <v>98</v>
      </c>
      <c r="BF291" s="2" t="s">
        <v>79</v>
      </c>
      <c r="BG291" s="2" t="s">
        <v>98</v>
      </c>
      <c r="BH291" s="2" t="s">
        <v>79</v>
      </c>
      <c r="BI291" s="2" t="s">
        <v>91</v>
      </c>
      <c r="BJ291" s="2" t="s">
        <v>91</v>
      </c>
      <c r="BK291" s="2" t="s">
        <v>91</v>
      </c>
      <c r="BL291" s="2" t="s">
        <v>91</v>
      </c>
      <c r="BM291" s="2" t="s">
        <v>91</v>
      </c>
      <c r="BN291" s="2" t="s">
        <v>91</v>
      </c>
      <c r="BO291" s="2" t="s">
        <v>91</v>
      </c>
      <c r="BP291" s="2" t="s">
        <v>79</v>
      </c>
      <c r="BQ291" s="2" t="s">
        <v>91</v>
      </c>
      <c r="BR291" s="2" t="s">
        <v>98</v>
      </c>
      <c r="BS291" s="2" t="s">
        <v>98</v>
      </c>
      <c r="BT291" s="2" t="s">
        <v>91</v>
      </c>
      <c r="BU291" s="2" t="s">
        <v>79</v>
      </c>
      <c r="BV291" s="2" t="s">
        <v>79</v>
      </c>
      <c r="BW291" s="2" t="s">
        <v>98</v>
      </c>
      <c r="BX291" s="2" t="s">
        <v>98</v>
      </c>
      <c r="BY291" s="2" t="s">
        <v>98</v>
      </c>
      <c r="BZ291" s="2" t="s">
        <v>98</v>
      </c>
      <c r="CA291" s="2" t="s">
        <v>98</v>
      </c>
      <c r="CB291">
        <f>TTEST(AS291:AW291,AI291:AM291,2,2)</f>
        <v>6.0145574633652145E-2</v>
      </c>
      <c r="CC291">
        <f>TTEST(AD291:AH291,AI291:AM291,2,2)</f>
        <v>0.14543572538969199</v>
      </c>
      <c r="CD291">
        <f>TTEST(AN291:AR291,AI291:AM291,2,2)</f>
        <v>0.15891391561513504</v>
      </c>
      <c r="CE291" t="e">
        <f>TTEST(AX291:BB291,AI291:AM291,2,2)</f>
        <v>#DIV/0!</v>
      </c>
      <c r="CF291">
        <v>153</v>
      </c>
      <c r="CG291">
        <v>202</v>
      </c>
      <c r="CH291">
        <v>142</v>
      </c>
      <c r="CI291">
        <v>279</v>
      </c>
      <c r="CJ291">
        <f>0.05*CF291/464</f>
        <v>1.6487068965517243E-2</v>
      </c>
      <c r="CK291">
        <f>0.05*CG291/464</f>
        <v>2.1767241379310347E-2</v>
      </c>
      <c r="CL291">
        <f>0.05*CH291/464</f>
        <v>1.5301724137931036E-2</v>
      </c>
      <c r="CM291">
        <f>0.05*CI291/464</f>
        <v>3.0064655172413794E-2</v>
      </c>
      <c r="CN291" t="str">
        <f>IF(CB291&lt;CJ291,"yes","no")</f>
        <v>no</v>
      </c>
      <c r="CO291" t="str">
        <f>IF(CC291&lt;CK291,"yes","no")</f>
        <v>no</v>
      </c>
      <c r="CP291" t="str">
        <f>IF(CD291&lt;CL291,"yes","no")</f>
        <v>no</v>
      </c>
      <c r="CQ291" t="e">
        <f>IF(CE291&lt;CM291,"yes","no")</f>
        <v>#DIV/0!</v>
      </c>
      <c r="CR291">
        <f>TTEST(AS291:AW291,AD291:AH291,2,2)</f>
        <v>0.68843470041471355</v>
      </c>
      <c r="CS291">
        <f>TTEST(AS291:AW291,AN291:AR291,2,2)</f>
        <v>0.82304479370078421</v>
      </c>
      <c r="CT291" t="e">
        <f>TTEST(AS291:AW291,AX291:BB291,2,2)</f>
        <v>#DIV/0!</v>
      </c>
      <c r="CU291">
        <v>297</v>
      </c>
      <c r="CV291">
        <v>253</v>
      </c>
      <c r="CW291">
        <v>290</v>
      </c>
      <c r="CX291">
        <f t="shared" si="12"/>
        <v>3.2004310344827591E-2</v>
      </c>
      <c r="CY291">
        <f t="shared" si="13"/>
        <v>2.7262931034482761E-2</v>
      </c>
      <c r="CZ291">
        <f t="shared" si="14"/>
        <v>3.125E-2</v>
      </c>
      <c r="DA291" t="str">
        <f>IF(CR291&lt;CX291,"yes","no")</f>
        <v>no</v>
      </c>
      <c r="DB291" t="str">
        <f>IF(CS291&lt;CY291,"yes","no")</f>
        <v>no</v>
      </c>
      <c r="DC291" t="e">
        <f>IF(CT291&lt;CZ291,"yes","no")</f>
        <v>#DIV/0!</v>
      </c>
    </row>
    <row r="292" spans="1:107" x14ac:dyDescent="0.2">
      <c r="A292" s="2" t="b">
        <v>0</v>
      </c>
      <c r="B292" s="2" t="s">
        <v>79</v>
      </c>
      <c r="C292" s="2" t="s">
        <v>80</v>
      </c>
      <c r="D292" s="2" t="s">
        <v>770</v>
      </c>
      <c r="E292" s="2" t="s">
        <v>771</v>
      </c>
      <c r="F292" s="2">
        <v>2</v>
      </c>
      <c r="G292" s="2">
        <v>2</v>
      </c>
      <c r="H292" s="2">
        <v>26.8</v>
      </c>
      <c r="I292" s="2">
        <v>9.83</v>
      </c>
      <c r="J292" s="2" t="s">
        <v>380</v>
      </c>
      <c r="K292" s="2" t="s">
        <v>772</v>
      </c>
      <c r="L292" s="2" t="s">
        <v>119</v>
      </c>
      <c r="M292" s="2" t="s">
        <v>773</v>
      </c>
      <c r="N292" s="2" t="s">
        <v>770</v>
      </c>
      <c r="O292" s="2">
        <v>19.709</v>
      </c>
      <c r="P292" s="2">
        <v>2.8769999999999998</v>
      </c>
      <c r="Q292" s="2">
        <v>14.095000000000001</v>
      </c>
      <c r="R292" s="2">
        <v>7.4999999999999997E-2</v>
      </c>
      <c r="S292" s="2">
        <v>1.5229999999999999</v>
      </c>
      <c r="T292" s="2">
        <v>0.20200000000000001</v>
      </c>
      <c r="U292" s="2">
        <v>1.089</v>
      </c>
      <c r="V292" s="2">
        <v>0.13700000000000001</v>
      </c>
      <c r="W292" s="2">
        <v>0.73699999999999999</v>
      </c>
      <c r="X292" s="2">
        <v>5.5090000000000003</v>
      </c>
      <c r="Y292" s="2">
        <v>10</v>
      </c>
      <c r="Z292" s="2">
        <v>126.9</v>
      </c>
      <c r="AA292" s="2">
        <v>185.4</v>
      </c>
      <c r="AB292" s="2">
        <v>25.6</v>
      </c>
      <c r="AC292" s="2">
        <v>152.1</v>
      </c>
      <c r="AD292" s="2">
        <v>363448.265625</v>
      </c>
      <c r="AE292" s="2">
        <v>177398.9375</v>
      </c>
      <c r="AF292" s="2">
        <v>223355.734375</v>
      </c>
      <c r="AG292" s="2">
        <v>962200.84375</v>
      </c>
      <c r="AH292" s="2">
        <v>129379.2421875</v>
      </c>
      <c r="AI292" s="2">
        <v>56547.10546875</v>
      </c>
      <c r="AJ292" s="2">
        <v>49880.1875</v>
      </c>
      <c r="AK292" s="2">
        <v>58662.3515625</v>
      </c>
      <c r="AL292" s="2">
        <v>419112.916015625</v>
      </c>
      <c r="AM292" s="2">
        <v>54106.625</v>
      </c>
      <c r="AN292" s="2">
        <v>64496.46484375</v>
      </c>
      <c r="AO292" s="2">
        <v>65300.65234375</v>
      </c>
      <c r="AP292" s="2">
        <v>179950.759765625</v>
      </c>
      <c r="AQ292" s="2">
        <v>110777.6328125</v>
      </c>
      <c r="AR292" s="2">
        <v>121216.03125</v>
      </c>
      <c r="AS292" s="2">
        <v>46944.296875</v>
      </c>
      <c r="AT292" s="2">
        <v>119658.4921875</v>
      </c>
      <c r="AU292" s="2">
        <v>175940.421875</v>
      </c>
      <c r="AV292" s="2">
        <v>95042.953125</v>
      </c>
      <c r="AW292" s="2">
        <v>137554.5</v>
      </c>
      <c r="AX292" s="2" t="s">
        <v>83</v>
      </c>
      <c r="AY292" s="2">
        <v>359097.9140625</v>
      </c>
      <c r="AZ292" s="2" t="s">
        <v>83</v>
      </c>
      <c r="BA292" s="2" t="s">
        <v>83</v>
      </c>
      <c r="BB292" s="2" t="s">
        <v>83</v>
      </c>
      <c r="BC292" s="2" t="s">
        <v>79</v>
      </c>
      <c r="BD292" s="2" t="s">
        <v>79</v>
      </c>
      <c r="BE292" s="2" t="s">
        <v>79</v>
      </c>
      <c r="BF292" s="2" t="s">
        <v>79</v>
      </c>
      <c r="BG292" s="2" t="s">
        <v>79</v>
      </c>
      <c r="BH292" s="2" t="s">
        <v>79</v>
      </c>
      <c r="BI292" s="2" t="s">
        <v>79</v>
      </c>
      <c r="BJ292" s="2" t="s">
        <v>79</v>
      </c>
      <c r="BK292" s="2" t="s">
        <v>79</v>
      </c>
      <c r="BL292" s="2" t="s">
        <v>79</v>
      </c>
      <c r="BM292" s="2" t="s">
        <v>79</v>
      </c>
      <c r="BN292" s="2" t="s">
        <v>79</v>
      </c>
      <c r="BO292" s="2" t="s">
        <v>79</v>
      </c>
      <c r="BP292" s="2" t="s">
        <v>79</v>
      </c>
      <c r="BQ292" s="2" t="s">
        <v>79</v>
      </c>
      <c r="BR292" s="2" t="s">
        <v>91</v>
      </c>
      <c r="BS292" s="2" t="s">
        <v>79</v>
      </c>
      <c r="BT292" s="2" t="s">
        <v>79</v>
      </c>
      <c r="BU292" s="2" t="s">
        <v>79</v>
      </c>
      <c r="BV292" s="2" t="s">
        <v>79</v>
      </c>
      <c r="BW292" s="2" t="s">
        <v>98</v>
      </c>
      <c r="BX292" s="2" t="s">
        <v>79</v>
      </c>
      <c r="BY292" s="2" t="s">
        <v>98</v>
      </c>
      <c r="BZ292" s="2" t="s">
        <v>98</v>
      </c>
      <c r="CA292" s="2" t="s">
        <v>98</v>
      </c>
      <c r="CB292">
        <f>TTEST(AS292:AW292,AI292:AM292,2,2)</f>
        <v>0.87208513369474627</v>
      </c>
      <c r="CC292">
        <f>TTEST(AD292:AH292,AI292:AM292,2,2)</f>
        <v>0.18838197491681899</v>
      </c>
      <c r="CD292">
        <f>TTEST(AN292:AR292,AI292:AM292,2,2)</f>
        <v>0.80562507815347306</v>
      </c>
      <c r="CE292" t="e">
        <f>TTEST(AX292:BB292,AI292:AM292,2,2)</f>
        <v>#DIV/0!</v>
      </c>
      <c r="CF292">
        <v>222</v>
      </c>
      <c r="CG292">
        <v>211</v>
      </c>
      <c r="CH292">
        <v>219</v>
      </c>
      <c r="CI292">
        <v>280</v>
      </c>
      <c r="CJ292">
        <f>0.05*CF292/464</f>
        <v>2.3922413793103451E-2</v>
      </c>
      <c r="CK292">
        <f>0.05*CG292/464</f>
        <v>2.2737068965517242E-2</v>
      </c>
      <c r="CL292">
        <f>0.05*CH292/464</f>
        <v>2.3599137931034485E-2</v>
      </c>
      <c r="CM292">
        <f>0.05*CI292/464</f>
        <v>3.017241379310345E-2</v>
      </c>
      <c r="CN292" t="str">
        <f>IF(CB292&lt;CJ292,"yes","no")</f>
        <v>no</v>
      </c>
      <c r="CO292" t="str">
        <f>IF(CC292&lt;CK292,"yes","no")</f>
        <v>no</v>
      </c>
      <c r="CP292" t="str">
        <f>IF(CD292&lt;CL292,"yes","no")</f>
        <v>no</v>
      </c>
      <c r="CQ292" t="e">
        <f>IF(CE292&lt;CM292,"yes","no")</f>
        <v>#DIV/0!</v>
      </c>
      <c r="CR292">
        <f>TTEST(AS292:AW292,AD292:AH292,2,2)</f>
        <v>0.13562906992213389</v>
      </c>
      <c r="CS292">
        <f>TTEST(AS292:AW292,AN292:AR292,2,2)</f>
        <v>0.83097762066672076</v>
      </c>
      <c r="CT292" t="e">
        <f>TTEST(AS292:AW292,AX292:BB292,2,2)</f>
        <v>#DIV/0!</v>
      </c>
      <c r="CU292">
        <v>260</v>
      </c>
      <c r="CV292">
        <v>254</v>
      </c>
      <c r="CW292">
        <v>291</v>
      </c>
      <c r="CX292">
        <f t="shared" si="12"/>
        <v>2.8017241379310345E-2</v>
      </c>
      <c r="CY292">
        <f t="shared" si="13"/>
        <v>2.7370689655172416E-2</v>
      </c>
      <c r="CZ292">
        <f t="shared" si="14"/>
        <v>3.1357758620689659E-2</v>
      </c>
      <c r="DA292" t="str">
        <f>IF(CR292&lt;CX292,"yes","no")</f>
        <v>no</v>
      </c>
      <c r="DB292" t="str">
        <f>IF(CS292&lt;CY292,"yes","no")</f>
        <v>no</v>
      </c>
      <c r="DC292" t="e">
        <f>IF(CT292&lt;CZ292,"yes","no")</f>
        <v>#DIV/0!</v>
      </c>
    </row>
    <row r="293" spans="1:107" x14ac:dyDescent="0.2">
      <c r="A293" s="2" t="b">
        <v>0</v>
      </c>
      <c r="B293" s="2" t="s">
        <v>79</v>
      </c>
      <c r="C293" s="2" t="s">
        <v>80</v>
      </c>
      <c r="D293" s="2" t="s">
        <v>1007</v>
      </c>
      <c r="E293" s="2" t="s">
        <v>1008</v>
      </c>
      <c r="F293" s="2">
        <v>2</v>
      </c>
      <c r="G293" s="2">
        <v>2</v>
      </c>
      <c r="H293" s="2">
        <v>78.3</v>
      </c>
      <c r="I293" s="2">
        <v>7.14</v>
      </c>
      <c r="J293" s="2" t="s">
        <v>1009</v>
      </c>
      <c r="K293" s="2" t="s">
        <v>1010</v>
      </c>
      <c r="L293" s="2" t="s">
        <v>85</v>
      </c>
      <c r="M293" s="2" t="s">
        <v>1011</v>
      </c>
      <c r="N293" s="2" t="s">
        <v>1007</v>
      </c>
      <c r="O293" s="2">
        <v>1.7629999999999999</v>
      </c>
      <c r="P293" s="2">
        <v>0.252</v>
      </c>
      <c r="Q293" s="2">
        <v>0.01</v>
      </c>
      <c r="R293" s="2">
        <v>0.66600000000000004</v>
      </c>
      <c r="S293" s="2" t="s">
        <v>83</v>
      </c>
      <c r="T293" s="2" t="s">
        <v>83</v>
      </c>
      <c r="U293" s="2">
        <v>0.01</v>
      </c>
      <c r="V293" s="2">
        <v>0.17100000000000001</v>
      </c>
      <c r="W293" s="2">
        <v>0.01</v>
      </c>
      <c r="X293" s="2">
        <v>0.01</v>
      </c>
      <c r="Y293" s="2">
        <v>189</v>
      </c>
      <c r="Z293" s="2">
        <v>83.9</v>
      </c>
      <c r="AA293" s="2">
        <v>190.7</v>
      </c>
      <c r="AB293" s="2">
        <v>36.299999999999997</v>
      </c>
      <c r="AC293" s="2" t="s">
        <v>83</v>
      </c>
      <c r="AD293" s="2">
        <v>334781.90625</v>
      </c>
      <c r="AE293" s="2">
        <v>314058.421875</v>
      </c>
      <c r="AF293" s="2">
        <v>353389.09375</v>
      </c>
      <c r="AG293" s="2">
        <v>184286.75</v>
      </c>
      <c r="AH293" s="2">
        <v>155646.4140625</v>
      </c>
      <c r="AI293" s="2" t="s">
        <v>83</v>
      </c>
      <c r="AJ293" s="2" t="s">
        <v>83</v>
      </c>
      <c r="AK293" s="2" t="s">
        <v>83</v>
      </c>
      <c r="AL293" s="2" t="s">
        <v>83</v>
      </c>
      <c r="AM293" s="2">
        <v>2153.69189453125</v>
      </c>
      <c r="AN293" s="2">
        <v>3862.30859375</v>
      </c>
      <c r="AO293" s="2">
        <v>4477.1806640625</v>
      </c>
      <c r="AP293" s="2">
        <v>5745.4736328125</v>
      </c>
      <c r="AQ293" s="2">
        <v>10569.5908203125</v>
      </c>
      <c r="AR293" s="2">
        <v>8364.7705078125</v>
      </c>
      <c r="AS293" s="2">
        <v>8307.51171875</v>
      </c>
      <c r="AT293" s="2">
        <v>4538.54248046875</v>
      </c>
      <c r="AU293" s="2" t="s">
        <v>83</v>
      </c>
      <c r="AV293" s="2">
        <v>8114.57177734375</v>
      </c>
      <c r="AW293" s="2" t="s">
        <v>83</v>
      </c>
      <c r="AX293" s="2" t="s">
        <v>83</v>
      </c>
      <c r="AY293" s="2" t="s">
        <v>83</v>
      </c>
      <c r="AZ293" s="2" t="s">
        <v>83</v>
      </c>
      <c r="BA293" s="2" t="s">
        <v>83</v>
      </c>
      <c r="BB293" s="2" t="s">
        <v>83</v>
      </c>
      <c r="BC293" s="2" t="s">
        <v>79</v>
      </c>
      <c r="BD293" s="2" t="s">
        <v>79</v>
      </c>
      <c r="BE293" s="2" t="s">
        <v>79</v>
      </c>
      <c r="BF293" s="2" t="s">
        <v>79</v>
      </c>
      <c r="BG293" s="2" t="s">
        <v>79</v>
      </c>
      <c r="BH293" s="2" t="s">
        <v>98</v>
      </c>
      <c r="BI293" s="2" t="s">
        <v>98</v>
      </c>
      <c r="BJ293" s="2" t="s">
        <v>98</v>
      </c>
      <c r="BK293" s="2" t="s">
        <v>98</v>
      </c>
      <c r="BL293" s="2" t="s">
        <v>91</v>
      </c>
      <c r="BM293" s="2" t="s">
        <v>91</v>
      </c>
      <c r="BN293" s="2" t="s">
        <v>91</v>
      </c>
      <c r="BO293" s="2" t="s">
        <v>91</v>
      </c>
      <c r="BP293" s="2" t="s">
        <v>91</v>
      </c>
      <c r="BQ293" s="2" t="s">
        <v>91</v>
      </c>
      <c r="BR293" s="2" t="s">
        <v>91</v>
      </c>
      <c r="BS293" s="2" t="s">
        <v>91</v>
      </c>
      <c r="BT293" s="2" t="s">
        <v>98</v>
      </c>
      <c r="BU293" s="2" t="s">
        <v>91</v>
      </c>
      <c r="BV293" s="2" t="s">
        <v>98</v>
      </c>
      <c r="BW293" s="2" t="s">
        <v>98</v>
      </c>
      <c r="BX293" s="2" t="s">
        <v>98</v>
      </c>
      <c r="BY293" s="2" t="s">
        <v>98</v>
      </c>
      <c r="BZ293" s="2" t="s">
        <v>98</v>
      </c>
      <c r="CA293" s="2" t="s">
        <v>98</v>
      </c>
      <c r="CB293" t="e">
        <f>TTEST(AS293:AW293,AI293:AM293,2,2)</f>
        <v>#DIV/0!</v>
      </c>
      <c r="CC293" t="e">
        <f>TTEST(AD293:AH293,AI293:AM293,2,2)</f>
        <v>#DIV/0!</v>
      </c>
      <c r="CD293" t="e">
        <f>TTEST(AN293:AR293,AI293:AM293,2,2)</f>
        <v>#DIV/0!</v>
      </c>
      <c r="CE293" t="e">
        <f>TTEST(AX293:BB293,AI293:AM293,2,2)</f>
        <v>#DIV/0!</v>
      </c>
      <c r="CF293">
        <v>266</v>
      </c>
      <c r="CG293">
        <v>280</v>
      </c>
      <c r="CH293">
        <v>284</v>
      </c>
      <c r="CI293">
        <v>281</v>
      </c>
      <c r="CJ293">
        <f>0.05*CF293/464</f>
        <v>2.8663793103448278E-2</v>
      </c>
      <c r="CK293">
        <f>0.05*CG293/464</f>
        <v>3.017241379310345E-2</v>
      </c>
      <c r="CL293">
        <f>0.05*CH293/464</f>
        <v>3.0603448275862071E-2</v>
      </c>
      <c r="CM293">
        <f>0.05*CI293/464</f>
        <v>3.0280172413793105E-2</v>
      </c>
      <c r="CN293" t="e">
        <f>IF(CB293&lt;CJ293,"yes","no")</f>
        <v>#DIV/0!</v>
      </c>
      <c r="CO293" t="e">
        <f>IF(CC293&lt;CK293,"yes","no")</f>
        <v>#DIV/0!</v>
      </c>
      <c r="CP293" t="e">
        <f>IF(CD293&lt;CL293,"yes","no")</f>
        <v>#DIV/0!</v>
      </c>
      <c r="CQ293" t="e">
        <f>IF(CE293&lt;CM293,"yes","no")</f>
        <v>#DIV/0!</v>
      </c>
      <c r="CR293">
        <f>TTEST(AS293:AW293,AD293:AH293,2,2)</f>
        <v>3.030817311704021E-3</v>
      </c>
      <c r="CS293">
        <f>TTEST(AS293:AW293,AN293:AR293,2,2)</f>
        <v>0.84690434613256571</v>
      </c>
      <c r="CT293" t="e">
        <f>TTEST(AS293:AW293,AX293:BB293,2,2)</f>
        <v>#DIV/0!</v>
      </c>
      <c r="CU293">
        <v>177</v>
      </c>
      <c r="CV293">
        <v>256</v>
      </c>
      <c r="CW293">
        <v>292</v>
      </c>
      <c r="CX293">
        <f t="shared" si="12"/>
        <v>1.9073275862068965E-2</v>
      </c>
      <c r="CY293">
        <f t="shared" si="13"/>
        <v>2.7586206896551727E-2</v>
      </c>
      <c r="CZ293">
        <f t="shared" si="14"/>
        <v>3.1465517241379311E-2</v>
      </c>
      <c r="DA293" t="str">
        <f>IF(CR293&lt;CX293,"yes","no")</f>
        <v>yes</v>
      </c>
      <c r="DB293" t="str">
        <f>IF(CS293&lt;CY293,"yes","no")</f>
        <v>no</v>
      </c>
      <c r="DC293" t="e">
        <f>IF(CT293&lt;CZ293,"yes","no")</f>
        <v>#DIV/0!</v>
      </c>
    </row>
    <row r="294" spans="1:107" x14ac:dyDescent="0.2">
      <c r="A294" s="2" t="b">
        <v>0</v>
      </c>
      <c r="B294" s="2" t="s">
        <v>79</v>
      </c>
      <c r="C294" s="2" t="s">
        <v>80</v>
      </c>
      <c r="D294" s="2" t="s">
        <v>1209</v>
      </c>
      <c r="E294" s="2" t="s">
        <v>1210</v>
      </c>
      <c r="F294" s="2">
        <v>1</v>
      </c>
      <c r="G294" s="2">
        <v>1</v>
      </c>
      <c r="H294" s="2">
        <v>15.1</v>
      </c>
      <c r="I294" s="2">
        <v>7.18</v>
      </c>
      <c r="J294" s="2" t="s">
        <v>150</v>
      </c>
      <c r="K294" s="2" t="s">
        <v>739</v>
      </c>
      <c r="L294" s="2" t="s">
        <v>119</v>
      </c>
      <c r="M294" s="2" t="s">
        <v>83</v>
      </c>
      <c r="N294" s="2" t="s">
        <v>1209</v>
      </c>
      <c r="O294" s="2">
        <v>100</v>
      </c>
      <c r="P294" s="2">
        <v>100</v>
      </c>
      <c r="Q294" s="2">
        <v>100</v>
      </c>
      <c r="R294" s="2">
        <v>0.01</v>
      </c>
      <c r="S294" s="2">
        <v>1.359</v>
      </c>
      <c r="T294" s="2">
        <v>0.25700000000000001</v>
      </c>
      <c r="U294" s="2">
        <v>25.315999999999999</v>
      </c>
      <c r="V294" s="2">
        <v>0.17199999999999999</v>
      </c>
      <c r="W294" s="2">
        <v>18.623000000000001</v>
      </c>
      <c r="X294" s="2">
        <v>100</v>
      </c>
      <c r="Y294" s="2" t="s">
        <v>83</v>
      </c>
      <c r="Z294" s="2">
        <v>17.899999999999999</v>
      </c>
      <c r="AA294" s="2">
        <v>24.4</v>
      </c>
      <c r="AB294" s="2">
        <v>4.2</v>
      </c>
      <c r="AC294" s="2">
        <v>453.5</v>
      </c>
      <c r="AD294" s="2" t="s">
        <v>83</v>
      </c>
      <c r="AE294" s="2" t="s">
        <v>83</v>
      </c>
      <c r="AF294" s="2" t="s">
        <v>83</v>
      </c>
      <c r="AG294" s="2" t="s">
        <v>83</v>
      </c>
      <c r="AH294" s="2" t="s">
        <v>83</v>
      </c>
      <c r="AI294" s="2">
        <v>6097.890625</v>
      </c>
      <c r="AJ294" s="2">
        <v>12328.446777343799</v>
      </c>
      <c r="AK294" s="2">
        <v>14214.3552246094</v>
      </c>
      <c r="AL294" s="2">
        <v>325799.78125</v>
      </c>
      <c r="AM294" s="2">
        <v>13604.994628906299</v>
      </c>
      <c r="AN294" s="2">
        <v>8038.9638671875</v>
      </c>
      <c r="AO294" s="2" t="s">
        <v>83</v>
      </c>
      <c r="AP294" s="2">
        <v>54604.7314453125</v>
      </c>
      <c r="AQ294" s="2" t="s">
        <v>83</v>
      </c>
      <c r="AR294" s="2">
        <v>28346.4013671875</v>
      </c>
      <c r="AS294" s="2" t="s">
        <v>83</v>
      </c>
      <c r="AT294" s="2" t="s">
        <v>83</v>
      </c>
      <c r="AU294" s="2">
        <v>28318.267578125</v>
      </c>
      <c r="AV294" s="2">
        <v>25205.55078125</v>
      </c>
      <c r="AW294" s="2" t="s">
        <v>83</v>
      </c>
      <c r="AX294" s="2" t="s">
        <v>83</v>
      </c>
      <c r="AY294" s="2">
        <v>1906096</v>
      </c>
      <c r="AZ294" s="2" t="s">
        <v>83</v>
      </c>
      <c r="BA294" s="2" t="s">
        <v>83</v>
      </c>
      <c r="BB294" s="2" t="s">
        <v>83</v>
      </c>
      <c r="BC294" s="2" t="s">
        <v>98</v>
      </c>
      <c r="BD294" s="2" t="s">
        <v>98</v>
      </c>
      <c r="BE294" s="2" t="s">
        <v>98</v>
      </c>
      <c r="BF294" s="2" t="s">
        <v>98</v>
      </c>
      <c r="BG294" s="2" t="s">
        <v>98</v>
      </c>
      <c r="BH294" s="2" t="s">
        <v>91</v>
      </c>
      <c r="BI294" s="2" t="s">
        <v>91</v>
      </c>
      <c r="BJ294" s="2" t="s">
        <v>91</v>
      </c>
      <c r="BK294" s="2" t="s">
        <v>79</v>
      </c>
      <c r="BL294" s="2" t="s">
        <v>91</v>
      </c>
      <c r="BM294" s="2" t="s">
        <v>91</v>
      </c>
      <c r="BN294" s="2" t="s">
        <v>98</v>
      </c>
      <c r="BO294" s="2" t="s">
        <v>91</v>
      </c>
      <c r="BP294" s="2" t="s">
        <v>98</v>
      </c>
      <c r="BQ294" s="2" t="s">
        <v>91</v>
      </c>
      <c r="BR294" s="2" t="s">
        <v>98</v>
      </c>
      <c r="BS294" s="2" t="s">
        <v>98</v>
      </c>
      <c r="BT294" s="2" t="s">
        <v>79</v>
      </c>
      <c r="BU294" s="2" t="s">
        <v>79</v>
      </c>
      <c r="BV294" s="2" t="s">
        <v>98</v>
      </c>
      <c r="BW294" s="2" t="s">
        <v>98</v>
      </c>
      <c r="BX294" s="2" t="s">
        <v>79</v>
      </c>
      <c r="BY294" s="2" t="s">
        <v>98</v>
      </c>
      <c r="BZ294" s="2" t="s">
        <v>98</v>
      </c>
      <c r="CA294" s="2" t="s">
        <v>98</v>
      </c>
      <c r="CB294">
        <f>TTEST(AS294:AW294,AI294:AM294,2,2)</f>
        <v>0.66956878625897587</v>
      </c>
      <c r="CC294" t="e">
        <f>TTEST(AD294:AH294,AI294:AM294,2,2)</f>
        <v>#DIV/0!</v>
      </c>
      <c r="CD294">
        <f>TTEST(AN294:AR294,AI294:AM294,2,2)</f>
        <v>0.620179588187317</v>
      </c>
      <c r="CE294" t="e">
        <f>TTEST(AX294:BB294,AI294:AM294,2,2)</f>
        <v>#DIV/0!</v>
      </c>
      <c r="CF294">
        <v>207</v>
      </c>
      <c r="CG294">
        <v>242</v>
      </c>
      <c r="CH294">
        <v>199</v>
      </c>
      <c r="CI294">
        <v>283</v>
      </c>
      <c r="CJ294">
        <f>0.05*CF294/464</f>
        <v>2.2306034482758624E-2</v>
      </c>
      <c r="CK294">
        <f>0.05*CG294/464</f>
        <v>2.6077586206896555E-2</v>
      </c>
      <c r="CL294">
        <f>0.05*CH294/464</f>
        <v>2.1443965517241381E-2</v>
      </c>
      <c r="CM294">
        <f>0.05*CI294/464</f>
        <v>3.0495689655172416E-2</v>
      </c>
      <c r="CN294" t="str">
        <f>IF(CB294&lt;CJ294,"yes","no")</f>
        <v>no</v>
      </c>
      <c r="CO294" t="e">
        <f>IF(CC294&lt;CK294,"yes","no")</f>
        <v>#DIV/0!</v>
      </c>
      <c r="CP294" t="str">
        <f>IF(CD294&lt;CL294,"yes","no")</f>
        <v>no</v>
      </c>
      <c r="CQ294" t="e">
        <f>IF(CE294&lt;CM294,"yes","no")</f>
        <v>#DIV/0!</v>
      </c>
      <c r="CR294" t="e">
        <f>TTEST(AS294:AW294,AD294:AH294,2,2)</f>
        <v>#DIV/0!</v>
      </c>
      <c r="CS294">
        <f>TTEST(AS294:AW294,AN294:AR294,2,2)</f>
        <v>0.85098199533658281</v>
      </c>
      <c r="CT294" t="e">
        <f>TTEST(AS294:AW294,AX294:BB294,2,2)</f>
        <v>#DIV/0!</v>
      </c>
      <c r="CU294">
        <v>318</v>
      </c>
      <c r="CV294">
        <v>258</v>
      </c>
      <c r="CW294">
        <v>293</v>
      </c>
      <c r="CX294">
        <f t="shared" si="12"/>
        <v>3.4267241379310344E-2</v>
      </c>
      <c r="CY294">
        <f t="shared" si="13"/>
        <v>2.7801724137931035E-2</v>
      </c>
      <c r="CZ294">
        <f t="shared" si="14"/>
        <v>3.157327586206897E-2</v>
      </c>
      <c r="DA294" t="e">
        <f>IF(CR294&lt;CX294,"yes","no")</f>
        <v>#DIV/0!</v>
      </c>
      <c r="DB294" t="str">
        <f>IF(CS294&lt;CY294,"yes","no")</f>
        <v>no</v>
      </c>
      <c r="DC294" t="e">
        <f>IF(CT294&lt;CZ294,"yes","no")</f>
        <v>#DIV/0!</v>
      </c>
    </row>
    <row r="295" spans="1:107" x14ac:dyDescent="0.2">
      <c r="A295" s="2" t="b">
        <v>0</v>
      </c>
      <c r="B295" s="2" t="s">
        <v>79</v>
      </c>
      <c r="C295" s="2" t="s">
        <v>80</v>
      </c>
      <c r="D295" s="2" t="s">
        <v>1264</v>
      </c>
      <c r="E295" s="2" t="s">
        <v>1265</v>
      </c>
      <c r="F295" s="2">
        <v>2</v>
      </c>
      <c r="G295" s="2">
        <v>2</v>
      </c>
      <c r="H295" s="2">
        <v>38.4</v>
      </c>
      <c r="I295" s="2">
        <v>8.2100000000000009</v>
      </c>
      <c r="J295" s="2" t="s">
        <v>83</v>
      </c>
      <c r="K295" s="2" t="s">
        <v>83</v>
      </c>
      <c r="L295" s="2" t="s">
        <v>119</v>
      </c>
      <c r="M295" s="2" t="s">
        <v>83</v>
      </c>
      <c r="N295" s="2" t="s">
        <v>1266</v>
      </c>
      <c r="O295" s="2">
        <v>4.0410000000000004</v>
      </c>
      <c r="P295" s="2">
        <v>0.48599999999999999</v>
      </c>
      <c r="Q295" s="2">
        <v>0.01</v>
      </c>
      <c r="R295" s="2">
        <v>100</v>
      </c>
      <c r="S295" s="2">
        <v>100</v>
      </c>
      <c r="T295" s="2">
        <v>100</v>
      </c>
      <c r="U295" s="2" t="s">
        <v>83</v>
      </c>
      <c r="V295" s="2">
        <v>0.12</v>
      </c>
      <c r="W295" s="2">
        <v>0.01</v>
      </c>
      <c r="X295" s="2">
        <v>0.01</v>
      </c>
      <c r="Y295" s="2">
        <v>100</v>
      </c>
      <c r="Z295" s="2" t="s">
        <v>83</v>
      </c>
      <c r="AA295" s="2">
        <v>357.1</v>
      </c>
      <c r="AB295" s="2">
        <v>42.9</v>
      </c>
      <c r="AC295" s="2" t="s">
        <v>83</v>
      </c>
      <c r="AD295" s="2">
        <v>277087.984375</v>
      </c>
      <c r="AE295" s="2">
        <v>295682.08984375</v>
      </c>
      <c r="AF295" s="2">
        <v>263240.50390625</v>
      </c>
      <c r="AG295" s="2">
        <v>262797.84765625</v>
      </c>
      <c r="AH295" s="2">
        <v>252267.3359375</v>
      </c>
      <c r="AI295" s="2" t="s">
        <v>83</v>
      </c>
      <c r="AJ295" s="2" t="s">
        <v>83</v>
      </c>
      <c r="AK295" s="2" t="s">
        <v>83</v>
      </c>
      <c r="AL295" s="2" t="s">
        <v>83</v>
      </c>
      <c r="AM295" s="2" t="s">
        <v>83</v>
      </c>
      <c r="AN295" s="2">
        <v>14959.501953125</v>
      </c>
      <c r="AO295" s="2" t="s">
        <v>83</v>
      </c>
      <c r="AP295" s="2">
        <v>25137.431640625</v>
      </c>
      <c r="AQ295" s="2">
        <v>19386.4296875</v>
      </c>
      <c r="AR295" s="2" t="s">
        <v>83</v>
      </c>
      <c r="AS295" s="2">
        <v>15584.548828125</v>
      </c>
      <c r="AT295" s="2">
        <v>36236.9921875</v>
      </c>
      <c r="AU295" s="2">
        <v>15347.71875</v>
      </c>
      <c r="AV295" s="2" t="s">
        <v>83</v>
      </c>
      <c r="AW295" s="2">
        <v>8351.263671875</v>
      </c>
      <c r="AX295" s="2" t="s">
        <v>83</v>
      </c>
      <c r="AY295" s="2" t="s">
        <v>83</v>
      </c>
      <c r="AZ295" s="2" t="s">
        <v>83</v>
      </c>
      <c r="BA295" s="2" t="s">
        <v>83</v>
      </c>
      <c r="BB295" s="2" t="s">
        <v>83</v>
      </c>
      <c r="BC295" s="2" t="s">
        <v>79</v>
      </c>
      <c r="BD295" s="2" t="s">
        <v>79</v>
      </c>
      <c r="BE295" s="2" t="s">
        <v>79</v>
      </c>
      <c r="BF295" s="2" t="s">
        <v>79</v>
      </c>
      <c r="BG295" s="2" t="s">
        <v>79</v>
      </c>
      <c r="BH295" s="2" t="s">
        <v>98</v>
      </c>
      <c r="BI295" s="2" t="s">
        <v>98</v>
      </c>
      <c r="BJ295" s="2" t="s">
        <v>98</v>
      </c>
      <c r="BK295" s="2" t="s">
        <v>98</v>
      </c>
      <c r="BL295" s="2" t="s">
        <v>98</v>
      </c>
      <c r="BM295" s="2" t="s">
        <v>91</v>
      </c>
      <c r="BN295" s="2" t="s">
        <v>98</v>
      </c>
      <c r="BO295" s="2" t="s">
        <v>91</v>
      </c>
      <c r="BP295" s="2" t="s">
        <v>91</v>
      </c>
      <c r="BQ295" s="2" t="s">
        <v>98</v>
      </c>
      <c r="BR295" s="2" t="s">
        <v>91</v>
      </c>
      <c r="BS295" s="2" t="s">
        <v>91</v>
      </c>
      <c r="BT295" s="2" t="s">
        <v>91</v>
      </c>
      <c r="BU295" s="2" t="s">
        <v>98</v>
      </c>
      <c r="BV295" s="2" t="s">
        <v>91</v>
      </c>
      <c r="BW295" s="2" t="s">
        <v>98</v>
      </c>
      <c r="BX295" s="2" t="s">
        <v>98</v>
      </c>
      <c r="BY295" s="2" t="s">
        <v>98</v>
      </c>
      <c r="BZ295" s="2" t="s">
        <v>98</v>
      </c>
      <c r="CA295" s="2" t="s">
        <v>98</v>
      </c>
      <c r="CB295" t="e">
        <f>TTEST(AS295:AW295,AI295:AM295,2,2)</f>
        <v>#DIV/0!</v>
      </c>
      <c r="CC295" t="e">
        <f>TTEST(AD295:AH295,AI295:AM295,2,2)</f>
        <v>#DIV/0!</v>
      </c>
      <c r="CD295" t="e">
        <f>TTEST(AN295:AR295,AI295:AM295,2,2)</f>
        <v>#DIV/0!</v>
      </c>
      <c r="CE295" t="e">
        <f>TTEST(AX295:BB295,AI295:AM295,2,2)</f>
        <v>#DIV/0!</v>
      </c>
      <c r="CF295">
        <v>231</v>
      </c>
      <c r="CG295">
        <v>245</v>
      </c>
      <c r="CH295">
        <v>249</v>
      </c>
      <c r="CI295">
        <v>284</v>
      </c>
      <c r="CJ295">
        <f>0.05*CF295/464</f>
        <v>2.4892241379310346E-2</v>
      </c>
      <c r="CK295">
        <f>0.05*CG295/464</f>
        <v>2.6400862068965518E-2</v>
      </c>
      <c r="CL295">
        <f>0.05*CH295/464</f>
        <v>2.683189655172414E-2</v>
      </c>
      <c r="CM295">
        <f>0.05*CI295/464</f>
        <v>3.0603448275862071E-2</v>
      </c>
      <c r="CN295" t="e">
        <f>IF(CB295&lt;CJ295,"yes","no")</f>
        <v>#DIV/0!</v>
      </c>
      <c r="CO295" t="e">
        <f>IF(CC295&lt;CK295,"yes","no")</f>
        <v>#DIV/0!</v>
      </c>
      <c r="CP295" t="e">
        <f>IF(CD295&lt;CL295,"yes","no")</f>
        <v>#DIV/0!</v>
      </c>
      <c r="CQ295" t="e">
        <f>IF(CE295&lt;CM295,"yes","no")</f>
        <v>#DIV/0!</v>
      </c>
      <c r="CR295">
        <f>TTEST(AS295:AW295,AD295:AH295,2,2)</f>
        <v>4.0415826685071658E-8</v>
      </c>
      <c r="CS295">
        <f>TTEST(AS295:AW295,AN295:AR295,2,2)</f>
        <v>0.9049030870823016</v>
      </c>
      <c r="CT295" t="e">
        <f>TTEST(AS295:AW295,AX295:BB295,2,2)</f>
        <v>#DIV/0!</v>
      </c>
      <c r="CU295">
        <v>9</v>
      </c>
      <c r="CV295">
        <v>265</v>
      </c>
      <c r="CW295">
        <v>294</v>
      </c>
      <c r="CX295">
        <f t="shared" si="12"/>
        <v>9.6982758620689654E-4</v>
      </c>
      <c r="CY295">
        <f t="shared" si="13"/>
        <v>2.8556034482758622E-2</v>
      </c>
      <c r="CZ295">
        <f t="shared" si="14"/>
        <v>3.1681034482758622E-2</v>
      </c>
      <c r="DA295" t="str">
        <f>IF(CR295&lt;CX295,"yes","no")</f>
        <v>yes</v>
      </c>
      <c r="DB295" t="str">
        <f>IF(CS295&lt;CY295,"yes","no")</f>
        <v>no</v>
      </c>
      <c r="DC295" t="e">
        <f>IF(CT295&lt;CZ295,"yes","no")</f>
        <v>#DIV/0!</v>
      </c>
    </row>
    <row r="296" spans="1:107" x14ac:dyDescent="0.2">
      <c r="A296" s="2" t="b">
        <v>0</v>
      </c>
      <c r="B296" s="2" t="s">
        <v>79</v>
      </c>
      <c r="C296" s="2" t="s">
        <v>80</v>
      </c>
      <c r="D296" s="2" t="s">
        <v>765</v>
      </c>
      <c r="E296" s="2" t="s">
        <v>766</v>
      </c>
      <c r="F296" s="2">
        <v>2</v>
      </c>
      <c r="G296" s="2">
        <v>2</v>
      </c>
      <c r="H296" s="2">
        <v>12.9</v>
      </c>
      <c r="I296" s="2">
        <v>6.51</v>
      </c>
      <c r="J296" s="2" t="s">
        <v>83</v>
      </c>
      <c r="K296" s="2" t="s">
        <v>83</v>
      </c>
      <c r="L296" s="2" t="s">
        <v>83</v>
      </c>
      <c r="M296" s="2" t="s">
        <v>767</v>
      </c>
      <c r="N296" s="2" t="s">
        <v>765</v>
      </c>
      <c r="O296" s="2">
        <v>2.5310000000000001</v>
      </c>
      <c r="P296" s="2">
        <v>0.70899999999999996</v>
      </c>
      <c r="Q296" s="2">
        <v>2.665</v>
      </c>
      <c r="R296" s="2">
        <v>2.6789999999999998</v>
      </c>
      <c r="S296" s="2">
        <v>8.827</v>
      </c>
      <c r="T296" s="2">
        <v>1.7569999999999999</v>
      </c>
      <c r="U296" s="2" t="s">
        <v>83</v>
      </c>
      <c r="V296" s="2">
        <v>0.20300000000000001</v>
      </c>
      <c r="W296" s="2">
        <v>1.593</v>
      </c>
      <c r="X296" s="2">
        <v>3.0190000000000001</v>
      </c>
      <c r="Y296" s="2">
        <v>95.2</v>
      </c>
      <c r="Z296" s="2">
        <v>30.3</v>
      </c>
      <c r="AA296" s="2">
        <v>267.5</v>
      </c>
      <c r="AB296" s="2">
        <v>60.5</v>
      </c>
      <c r="AC296" s="2">
        <v>46.5</v>
      </c>
      <c r="AD296" s="2">
        <v>1701268.15625</v>
      </c>
      <c r="AE296" s="2">
        <v>1394033.75</v>
      </c>
      <c r="AF296" s="2">
        <v>1381125.0625</v>
      </c>
      <c r="AG296" s="2">
        <v>1682469.78125</v>
      </c>
      <c r="AH296" s="2">
        <v>1790786.96875</v>
      </c>
      <c r="AI296" s="2" t="s">
        <v>83</v>
      </c>
      <c r="AJ296" s="2" t="s">
        <v>83</v>
      </c>
      <c r="AK296" s="2" t="s">
        <v>83</v>
      </c>
      <c r="AL296" s="2">
        <v>14449.349609375</v>
      </c>
      <c r="AM296" s="2" t="s">
        <v>83</v>
      </c>
      <c r="AN296" s="2">
        <v>67873.9375</v>
      </c>
      <c r="AO296" s="2">
        <v>140026.412353516</v>
      </c>
      <c r="AP296" s="2">
        <v>92144.6064453125</v>
      </c>
      <c r="AQ296" s="2">
        <v>85398.952636718794</v>
      </c>
      <c r="AR296" s="2">
        <v>332128.544921875</v>
      </c>
      <c r="AS296" s="2">
        <v>152882.16015625</v>
      </c>
      <c r="AT296" s="2">
        <v>207845.09375</v>
      </c>
      <c r="AU296" s="2">
        <v>89446.7890625</v>
      </c>
      <c r="AV296" s="2">
        <v>120540.65625</v>
      </c>
      <c r="AW296" s="2">
        <v>177012.015625</v>
      </c>
      <c r="AX296" s="2" t="s">
        <v>83</v>
      </c>
      <c r="AY296" s="2" t="s">
        <v>83</v>
      </c>
      <c r="AZ296" s="2" t="s">
        <v>83</v>
      </c>
      <c r="BA296" s="2" t="s">
        <v>83</v>
      </c>
      <c r="BB296" s="2">
        <v>35232.02734375</v>
      </c>
      <c r="BC296" s="2" t="s">
        <v>79</v>
      </c>
      <c r="BD296" s="2" t="s">
        <v>79</v>
      </c>
      <c r="BE296" s="2" t="s">
        <v>79</v>
      </c>
      <c r="BF296" s="2" t="s">
        <v>79</v>
      </c>
      <c r="BG296" s="2" t="s">
        <v>79</v>
      </c>
      <c r="BH296" s="2" t="s">
        <v>98</v>
      </c>
      <c r="BI296" s="2" t="s">
        <v>98</v>
      </c>
      <c r="BJ296" s="2" t="s">
        <v>98</v>
      </c>
      <c r="BK296" s="2" t="s">
        <v>91</v>
      </c>
      <c r="BL296" s="2" t="s">
        <v>98</v>
      </c>
      <c r="BM296" s="2" t="s">
        <v>79</v>
      </c>
      <c r="BN296" s="2" t="s">
        <v>79</v>
      </c>
      <c r="BO296" s="2" t="s">
        <v>79</v>
      </c>
      <c r="BP296" s="2" t="s">
        <v>79</v>
      </c>
      <c r="BQ296" s="2" t="s">
        <v>79</v>
      </c>
      <c r="BR296" s="2" t="s">
        <v>79</v>
      </c>
      <c r="BS296" s="2" t="s">
        <v>79</v>
      </c>
      <c r="BT296" s="2" t="s">
        <v>79</v>
      </c>
      <c r="BU296" s="2" t="s">
        <v>79</v>
      </c>
      <c r="BV296" s="2" t="s">
        <v>79</v>
      </c>
      <c r="BW296" s="2" t="s">
        <v>98</v>
      </c>
      <c r="BX296" s="2" t="s">
        <v>98</v>
      </c>
      <c r="BY296" s="2" t="s">
        <v>98</v>
      </c>
      <c r="BZ296" s="2" t="s">
        <v>98</v>
      </c>
      <c r="CA296" s="2" t="s">
        <v>91</v>
      </c>
      <c r="CB296" t="e">
        <f>TTEST(AS296:AW296,AI296:AM296,2,2)</f>
        <v>#DIV/0!</v>
      </c>
      <c r="CC296" t="e">
        <f>TTEST(AD296:AH296,AI296:AM296,2,2)</f>
        <v>#DIV/0!</v>
      </c>
      <c r="CD296" t="e">
        <f>TTEST(AN296:AR296,AI296:AM296,2,2)</f>
        <v>#DIV/0!</v>
      </c>
      <c r="CE296" t="e">
        <f>TTEST(AX296:BB296,AI296:AM296,2,2)</f>
        <v>#DIV/0!</v>
      </c>
      <c r="CF296">
        <v>234</v>
      </c>
      <c r="CG296">
        <v>248</v>
      </c>
      <c r="CH296">
        <v>252</v>
      </c>
      <c r="CI296">
        <v>285</v>
      </c>
      <c r="CJ296">
        <f>0.05*CF296/464</f>
        <v>2.5215517241379312E-2</v>
      </c>
      <c r="CK296">
        <f>0.05*CG296/464</f>
        <v>2.6724137931034484E-2</v>
      </c>
      <c r="CL296">
        <f>0.05*CH296/464</f>
        <v>2.7155172413793106E-2</v>
      </c>
      <c r="CM296">
        <f>0.05*CI296/464</f>
        <v>3.0711206896551723E-2</v>
      </c>
      <c r="CN296" t="e">
        <f>IF(CB296&lt;CJ296,"yes","no")</f>
        <v>#DIV/0!</v>
      </c>
      <c r="CO296" t="e">
        <f>IF(CC296&lt;CK296,"yes","no")</f>
        <v>#DIV/0!</v>
      </c>
      <c r="CP296" t="e">
        <f>IF(CD296&lt;CL296,"yes","no")</f>
        <v>#DIV/0!</v>
      </c>
      <c r="CQ296" t="e">
        <f>IF(CE296&lt;CM296,"yes","no")</f>
        <v>#DIV/0!</v>
      </c>
      <c r="CR296">
        <f>TTEST(AS296:AW296,AD296:AH296,2,2)</f>
        <v>1.8125770263728652E-7</v>
      </c>
      <c r="CS296">
        <f>TTEST(AS296:AW296,AN296:AR296,2,2)</f>
        <v>0.91202330219711758</v>
      </c>
      <c r="CT296" t="e">
        <f>TTEST(AS296:AW296,AX296:BB296,2,2)</f>
        <v>#DIV/0!</v>
      </c>
      <c r="CU296">
        <v>20</v>
      </c>
      <c r="CV296">
        <v>266</v>
      </c>
      <c r="CW296">
        <v>295</v>
      </c>
      <c r="CX296">
        <f t="shared" si="12"/>
        <v>2.1551724137931034E-3</v>
      </c>
      <c r="CY296">
        <f t="shared" si="13"/>
        <v>2.8663793103448278E-2</v>
      </c>
      <c r="CZ296">
        <f t="shared" si="14"/>
        <v>3.1788793103448273E-2</v>
      </c>
      <c r="DA296" t="str">
        <f>IF(CR296&lt;CX296,"yes","no")</f>
        <v>yes</v>
      </c>
      <c r="DB296" t="str">
        <f>IF(CS296&lt;CY296,"yes","no")</f>
        <v>no</v>
      </c>
      <c r="DC296" t="e">
        <f>IF(CT296&lt;CZ296,"yes","no")</f>
        <v>#DIV/0!</v>
      </c>
    </row>
    <row r="297" spans="1:107" x14ac:dyDescent="0.2">
      <c r="A297" s="2" t="b">
        <v>0</v>
      </c>
      <c r="B297" s="2" t="s">
        <v>79</v>
      </c>
      <c r="C297" s="2" t="s">
        <v>80</v>
      </c>
      <c r="D297" s="2" t="s">
        <v>1603</v>
      </c>
      <c r="E297" s="2" t="s">
        <v>1604</v>
      </c>
      <c r="F297" s="2">
        <v>1</v>
      </c>
      <c r="G297" s="2">
        <v>1</v>
      </c>
      <c r="H297" s="2">
        <v>88.8</v>
      </c>
      <c r="I297" s="2">
        <v>6.19</v>
      </c>
      <c r="J297" s="2" t="s">
        <v>1605</v>
      </c>
      <c r="K297" s="2" t="s">
        <v>540</v>
      </c>
      <c r="L297" s="2" t="s">
        <v>218</v>
      </c>
      <c r="M297" s="2" t="s">
        <v>1606</v>
      </c>
      <c r="N297" s="2" t="s">
        <v>1603</v>
      </c>
      <c r="O297" s="2">
        <v>18.221</v>
      </c>
      <c r="P297" s="2">
        <v>2.5179999999999998</v>
      </c>
      <c r="Q297" s="2">
        <v>15.134</v>
      </c>
      <c r="R297" s="2">
        <v>0.33800000000000002</v>
      </c>
      <c r="S297" s="2">
        <v>5.9249999999999998</v>
      </c>
      <c r="T297" s="2">
        <v>1.046</v>
      </c>
      <c r="U297" s="2">
        <v>5.1139999999999999</v>
      </c>
      <c r="V297" s="2">
        <v>0.14499999999999999</v>
      </c>
      <c r="W297" s="2">
        <v>0.86299999999999999</v>
      </c>
      <c r="X297" s="2">
        <v>4.8869999999999996</v>
      </c>
      <c r="Y297" s="2">
        <v>12.6</v>
      </c>
      <c r="Z297" s="2">
        <v>37.200000000000003</v>
      </c>
      <c r="AA297" s="2">
        <v>220.7</v>
      </c>
      <c r="AB297" s="2">
        <v>39</v>
      </c>
      <c r="AC297" s="2">
        <v>190.5</v>
      </c>
      <c r="AD297" s="2" t="s">
        <v>83</v>
      </c>
      <c r="AE297" s="2">
        <v>44629.78515625</v>
      </c>
      <c r="AF297" s="2">
        <v>54355.046875</v>
      </c>
      <c r="AG297" s="2" t="s">
        <v>83</v>
      </c>
      <c r="AH297" s="2">
        <v>28662.599609375</v>
      </c>
      <c r="AI297" s="2">
        <v>3136.11865234375</v>
      </c>
      <c r="AJ297" s="2" t="s">
        <v>83</v>
      </c>
      <c r="AK297" s="2" t="s">
        <v>83</v>
      </c>
      <c r="AL297" s="2" t="s">
        <v>83</v>
      </c>
      <c r="AM297" s="2" t="s">
        <v>83</v>
      </c>
      <c r="AN297" s="2">
        <v>10346.8564453125</v>
      </c>
      <c r="AO297" s="2">
        <v>15777.685546875</v>
      </c>
      <c r="AP297" s="2">
        <v>26937.79296875</v>
      </c>
      <c r="AQ297" s="2">
        <v>13824.232421875</v>
      </c>
      <c r="AR297" s="2">
        <v>21704.08984375</v>
      </c>
      <c r="AS297" s="2">
        <v>9430.0771484375</v>
      </c>
      <c r="AT297" s="2" t="s">
        <v>83</v>
      </c>
      <c r="AU297" s="2">
        <v>21114.86328125</v>
      </c>
      <c r="AV297" s="2" t="s">
        <v>83</v>
      </c>
      <c r="AW297" s="2">
        <v>24293.931640625</v>
      </c>
      <c r="AX297" s="2" t="s">
        <v>83</v>
      </c>
      <c r="AY297" s="2" t="s">
        <v>83</v>
      </c>
      <c r="AZ297" s="2">
        <v>42100.01171875</v>
      </c>
      <c r="BA297" s="2" t="s">
        <v>83</v>
      </c>
      <c r="BB297" s="2" t="s">
        <v>83</v>
      </c>
      <c r="BC297" s="2" t="s">
        <v>98</v>
      </c>
      <c r="BD297" s="2" t="s">
        <v>79</v>
      </c>
      <c r="BE297" s="2" t="s">
        <v>79</v>
      </c>
      <c r="BF297" s="2" t="s">
        <v>98</v>
      </c>
      <c r="BG297" s="2" t="s">
        <v>91</v>
      </c>
      <c r="BH297" s="2" t="s">
        <v>91</v>
      </c>
      <c r="BI297" s="2" t="s">
        <v>98</v>
      </c>
      <c r="BJ297" s="2" t="s">
        <v>98</v>
      </c>
      <c r="BK297" s="2" t="s">
        <v>98</v>
      </c>
      <c r="BL297" s="2" t="s">
        <v>98</v>
      </c>
      <c r="BM297" s="2" t="s">
        <v>91</v>
      </c>
      <c r="BN297" s="2" t="s">
        <v>91</v>
      </c>
      <c r="BO297" s="2" t="s">
        <v>79</v>
      </c>
      <c r="BP297" s="2" t="s">
        <v>91</v>
      </c>
      <c r="BQ297" s="2" t="s">
        <v>91</v>
      </c>
      <c r="BR297" s="2" t="s">
        <v>91</v>
      </c>
      <c r="BS297" s="2" t="s">
        <v>98</v>
      </c>
      <c r="BT297" s="2" t="s">
        <v>91</v>
      </c>
      <c r="BU297" s="2" t="s">
        <v>98</v>
      </c>
      <c r="BV297" s="2" t="s">
        <v>91</v>
      </c>
      <c r="BW297" s="2" t="s">
        <v>98</v>
      </c>
      <c r="BX297" s="2" t="s">
        <v>98</v>
      </c>
      <c r="BY297" s="2" t="s">
        <v>91</v>
      </c>
      <c r="BZ297" s="2" t="s">
        <v>98</v>
      </c>
      <c r="CA297" s="2" t="s">
        <v>98</v>
      </c>
      <c r="CB297" t="e">
        <f>TTEST(AS297:AW297,AI297:AM297,2,2)</f>
        <v>#DIV/0!</v>
      </c>
      <c r="CC297" t="e">
        <f>TTEST(AD297:AH297,AI297:AM297,2,2)</f>
        <v>#DIV/0!</v>
      </c>
      <c r="CD297" t="e">
        <f>TTEST(AN297:AR297,AI297:AM297,2,2)</f>
        <v>#DIV/0!</v>
      </c>
      <c r="CE297" t="e">
        <f>TTEST(AX297:BB297,AI297:AM297,2,2)</f>
        <v>#DIV/0!</v>
      </c>
      <c r="CF297">
        <v>291</v>
      </c>
      <c r="CG297">
        <v>305</v>
      </c>
      <c r="CH297">
        <v>309</v>
      </c>
      <c r="CI297">
        <v>286</v>
      </c>
      <c r="CJ297">
        <f>0.05*CF297/464</f>
        <v>3.1357758620689659E-2</v>
      </c>
      <c r="CK297">
        <f>0.05*CG297/464</f>
        <v>3.2866379310344827E-2</v>
      </c>
      <c r="CL297">
        <f>0.05*CH297/464</f>
        <v>3.3297413793103449E-2</v>
      </c>
      <c r="CM297">
        <f>0.05*CI297/464</f>
        <v>3.0818965517241382E-2</v>
      </c>
      <c r="CN297" t="e">
        <f>IF(CB297&lt;CJ297,"yes","no")</f>
        <v>#DIV/0!</v>
      </c>
      <c r="CO297" t="e">
        <f>IF(CC297&lt;CK297,"yes","no")</f>
        <v>#DIV/0!</v>
      </c>
      <c r="CP297" t="e">
        <f>IF(CD297&lt;CL297,"yes","no")</f>
        <v>#DIV/0!</v>
      </c>
      <c r="CQ297" t="e">
        <f>IF(CE297&lt;CM297,"yes","no")</f>
        <v>#DIV/0!</v>
      </c>
      <c r="CR297">
        <f>TTEST(AS297:AW297,AD297:AH297,2,2)</f>
        <v>5.0095413976468453E-2</v>
      </c>
      <c r="CS297">
        <f>TTEST(AS297:AW297,AN297:AR297,2,2)</f>
        <v>0.91649838067566847</v>
      </c>
      <c r="CT297" t="e">
        <f>TTEST(AS297:AW297,AX297:BB297,2,2)</f>
        <v>#DIV/0!</v>
      </c>
      <c r="CU297">
        <v>229</v>
      </c>
      <c r="CV297">
        <v>267</v>
      </c>
      <c r="CW297">
        <v>296</v>
      </c>
      <c r="CX297">
        <f t="shared" si="12"/>
        <v>2.4676724137931035E-2</v>
      </c>
      <c r="CY297">
        <f t="shared" si="13"/>
        <v>2.8771551724137933E-2</v>
      </c>
      <c r="CZ297">
        <f t="shared" si="14"/>
        <v>3.1896551724137932E-2</v>
      </c>
      <c r="DA297" t="str">
        <f>IF(CR297&lt;CX297,"yes","no")</f>
        <v>no</v>
      </c>
      <c r="DB297" t="str">
        <f>IF(CS297&lt;CY297,"yes","no")</f>
        <v>no</v>
      </c>
      <c r="DC297" t="e">
        <f>IF(CT297&lt;CZ297,"yes","no")</f>
        <v>#DIV/0!</v>
      </c>
    </row>
    <row r="298" spans="1:107" x14ac:dyDescent="0.2">
      <c r="A298" s="2" t="b">
        <v>0</v>
      </c>
      <c r="B298" s="2" t="s">
        <v>79</v>
      </c>
      <c r="C298" s="2" t="s">
        <v>80</v>
      </c>
      <c r="D298" s="2" t="s">
        <v>1174</v>
      </c>
      <c r="E298" s="2" t="s">
        <v>1175</v>
      </c>
      <c r="F298" s="2">
        <v>1</v>
      </c>
      <c r="G298" s="2">
        <v>1</v>
      </c>
      <c r="H298" s="2">
        <v>14.3</v>
      </c>
      <c r="I298" s="2">
        <v>8.43</v>
      </c>
      <c r="J298" s="2" t="s">
        <v>254</v>
      </c>
      <c r="K298" s="2" t="s">
        <v>84</v>
      </c>
      <c r="L298" s="2" t="s">
        <v>83</v>
      </c>
      <c r="M298" s="2" t="s">
        <v>83</v>
      </c>
      <c r="N298" s="2" t="s">
        <v>1174</v>
      </c>
      <c r="O298" s="2">
        <v>0.01</v>
      </c>
      <c r="P298" s="2">
        <v>0.312</v>
      </c>
      <c r="Q298" s="2">
        <v>0.01</v>
      </c>
      <c r="R298" s="2">
        <v>100</v>
      </c>
      <c r="S298" s="2" t="s">
        <v>83</v>
      </c>
      <c r="T298" s="2">
        <v>100</v>
      </c>
      <c r="U298" s="2" t="s">
        <v>83</v>
      </c>
      <c r="V298" s="2">
        <v>100</v>
      </c>
      <c r="W298" s="2" t="s">
        <v>83</v>
      </c>
      <c r="X298" s="2">
        <v>0.01</v>
      </c>
      <c r="Y298" s="2">
        <v>384</v>
      </c>
      <c r="Z298" s="2" t="s">
        <v>83</v>
      </c>
      <c r="AA298" s="2" t="s">
        <v>83</v>
      </c>
      <c r="AB298" s="2">
        <v>116</v>
      </c>
      <c r="AC298" s="2" t="s">
        <v>83</v>
      </c>
      <c r="AD298" s="2">
        <v>984654.125</v>
      </c>
      <c r="AE298" s="2">
        <v>864503.5</v>
      </c>
      <c r="AF298" s="2">
        <v>844672.75</v>
      </c>
      <c r="AG298" s="2">
        <v>1029903.59375</v>
      </c>
      <c r="AH298" s="2">
        <v>912488.8125</v>
      </c>
      <c r="AI298" s="2" t="s">
        <v>83</v>
      </c>
      <c r="AJ298" s="2" t="s">
        <v>83</v>
      </c>
      <c r="AK298" s="2" t="s">
        <v>83</v>
      </c>
      <c r="AL298" s="2" t="s">
        <v>83</v>
      </c>
      <c r="AM298" s="2" t="s">
        <v>83</v>
      </c>
      <c r="AN298" s="2" t="s">
        <v>83</v>
      </c>
      <c r="AO298" s="2" t="s">
        <v>83</v>
      </c>
      <c r="AP298" s="2" t="s">
        <v>83</v>
      </c>
      <c r="AQ298" s="2" t="s">
        <v>83</v>
      </c>
      <c r="AR298" s="2" t="s">
        <v>83</v>
      </c>
      <c r="AS298" s="2">
        <v>33174.31640625</v>
      </c>
      <c r="AT298" s="2">
        <v>57558.20703125</v>
      </c>
      <c r="AU298" s="2">
        <v>51145.04296875</v>
      </c>
      <c r="AV298" s="2">
        <v>41160.578125</v>
      </c>
      <c r="AW298" s="2">
        <v>54758.4736328125</v>
      </c>
      <c r="AX298" s="2" t="s">
        <v>83</v>
      </c>
      <c r="AY298" s="2" t="s">
        <v>83</v>
      </c>
      <c r="AZ298" s="2" t="s">
        <v>83</v>
      </c>
      <c r="BA298" s="2" t="s">
        <v>83</v>
      </c>
      <c r="BB298" s="2" t="s">
        <v>83</v>
      </c>
      <c r="BC298" s="2" t="s">
        <v>91</v>
      </c>
      <c r="BD298" s="2" t="s">
        <v>91</v>
      </c>
      <c r="BE298" s="2" t="s">
        <v>91</v>
      </c>
      <c r="BF298" s="2" t="s">
        <v>79</v>
      </c>
      <c r="BG298" s="2" t="s">
        <v>79</v>
      </c>
      <c r="BH298" s="2" t="s">
        <v>98</v>
      </c>
      <c r="BI298" s="2" t="s">
        <v>98</v>
      </c>
      <c r="BJ298" s="2" t="s">
        <v>98</v>
      </c>
      <c r="BK298" s="2" t="s">
        <v>98</v>
      </c>
      <c r="BL298" s="2" t="s">
        <v>98</v>
      </c>
      <c r="BM298" s="2" t="s">
        <v>98</v>
      </c>
      <c r="BN298" s="2" t="s">
        <v>98</v>
      </c>
      <c r="BO298" s="2" t="s">
        <v>98</v>
      </c>
      <c r="BP298" s="2" t="s">
        <v>98</v>
      </c>
      <c r="BQ298" s="2" t="s">
        <v>98</v>
      </c>
      <c r="BR298" s="2" t="s">
        <v>79</v>
      </c>
      <c r="BS298" s="2" t="s">
        <v>79</v>
      </c>
      <c r="BT298" s="2" t="s">
        <v>79</v>
      </c>
      <c r="BU298" s="2" t="s">
        <v>79</v>
      </c>
      <c r="BV298" s="2" t="s">
        <v>79</v>
      </c>
      <c r="BW298" s="2" t="s">
        <v>98</v>
      </c>
      <c r="BX298" s="2" t="s">
        <v>98</v>
      </c>
      <c r="BY298" s="2" t="s">
        <v>98</v>
      </c>
      <c r="BZ298" s="2" t="s">
        <v>98</v>
      </c>
      <c r="CA298" s="2" t="s">
        <v>98</v>
      </c>
      <c r="CB298" t="e">
        <f>TTEST(AS298:AW298,AI298:AM298,2,2)</f>
        <v>#DIV/0!</v>
      </c>
      <c r="CC298" t="e">
        <f>TTEST(AD298:AH298,AI298:AM298,2,2)</f>
        <v>#DIV/0!</v>
      </c>
      <c r="CD298" t="e">
        <f>TTEST(AN298:AR298,AI298:AM298,2,2)</f>
        <v>#DIV/0!</v>
      </c>
      <c r="CE298" t="e">
        <f>TTEST(AX298:BB298,AI298:AM298,2,2)</f>
        <v>#DIV/0!</v>
      </c>
      <c r="CF298">
        <v>229</v>
      </c>
      <c r="CG298">
        <v>243</v>
      </c>
      <c r="CH298">
        <v>247</v>
      </c>
      <c r="CI298">
        <v>287</v>
      </c>
      <c r="CJ298">
        <f>0.05*CF298/464</f>
        <v>2.4676724137931035E-2</v>
      </c>
      <c r="CK298">
        <f>0.05*CG298/464</f>
        <v>2.6185344827586207E-2</v>
      </c>
      <c r="CL298">
        <f>0.05*CH298/464</f>
        <v>2.6616379310344832E-2</v>
      </c>
      <c r="CM298">
        <f>0.05*CI298/464</f>
        <v>3.0926724137931037E-2</v>
      </c>
      <c r="CN298" t="e">
        <f>IF(CB298&lt;CJ298,"yes","no")</f>
        <v>#DIV/0!</v>
      </c>
      <c r="CO298" t="e">
        <f>IF(CC298&lt;CK298,"yes","no")</f>
        <v>#DIV/0!</v>
      </c>
      <c r="CP298" t="e">
        <f>IF(CD298&lt;CL298,"yes","no")</f>
        <v>#DIV/0!</v>
      </c>
      <c r="CQ298" t="e">
        <f>IF(CE298&lt;CM298,"yes","no")</f>
        <v>#DIV/0!</v>
      </c>
      <c r="CR298">
        <f>TTEST(AS298:AW298,AD298:AH298,2,2)</f>
        <v>7.5366280454171494E-9</v>
      </c>
      <c r="CS298" t="e">
        <f>TTEST(AS298:AW298,AN298:AR298,2,2)</f>
        <v>#DIV/0!</v>
      </c>
      <c r="CT298" t="e">
        <f>TTEST(AS298:AW298,AX298:BB298,2,2)</f>
        <v>#DIV/0!</v>
      </c>
      <c r="CU298">
        <v>3</v>
      </c>
      <c r="CV298">
        <v>277</v>
      </c>
      <c r="CW298">
        <v>297</v>
      </c>
      <c r="CX298">
        <f t="shared" si="12"/>
        <v>3.2327586206896557E-4</v>
      </c>
      <c r="CY298">
        <f t="shared" si="13"/>
        <v>2.9849137931034487E-2</v>
      </c>
      <c r="CZ298">
        <f t="shared" si="14"/>
        <v>3.2004310344827591E-2</v>
      </c>
      <c r="DA298" t="str">
        <f>IF(CR298&lt;CX298,"yes","no")</f>
        <v>yes</v>
      </c>
      <c r="DB298" t="e">
        <f>IF(CS298&lt;CY298,"yes","no")</f>
        <v>#DIV/0!</v>
      </c>
      <c r="DC298" t="e">
        <f>IF(CT298&lt;CZ298,"yes","no")</f>
        <v>#DIV/0!</v>
      </c>
    </row>
    <row r="299" spans="1:107" x14ac:dyDescent="0.2">
      <c r="A299" s="2" t="b">
        <v>0</v>
      </c>
      <c r="B299" s="2" t="s">
        <v>79</v>
      </c>
      <c r="C299" s="2" t="s">
        <v>80</v>
      </c>
      <c r="D299" s="2" t="s">
        <v>987</v>
      </c>
      <c r="E299" s="2" t="s">
        <v>988</v>
      </c>
      <c r="F299" s="2">
        <v>2</v>
      </c>
      <c r="G299" s="2">
        <v>2</v>
      </c>
      <c r="H299" s="2">
        <v>37.200000000000003</v>
      </c>
      <c r="I299" s="2">
        <v>8.15</v>
      </c>
      <c r="J299" s="2" t="s">
        <v>380</v>
      </c>
      <c r="K299" s="2" t="s">
        <v>989</v>
      </c>
      <c r="L299" s="2" t="s">
        <v>83</v>
      </c>
      <c r="M299" s="2" t="s">
        <v>990</v>
      </c>
      <c r="N299" s="2" t="s">
        <v>987</v>
      </c>
      <c r="O299" s="2">
        <v>0.54400000000000004</v>
      </c>
      <c r="P299" s="2">
        <v>0.91400000000000003</v>
      </c>
      <c r="Q299" s="2">
        <v>0.65200000000000002</v>
      </c>
      <c r="R299" s="2">
        <v>0.94199999999999995</v>
      </c>
      <c r="S299" s="2">
        <v>0.58699999999999997</v>
      </c>
      <c r="T299" s="2">
        <v>0.86599999999999999</v>
      </c>
      <c r="U299" s="2">
        <v>0.70399999999999996</v>
      </c>
      <c r="V299" s="2">
        <v>1.6850000000000001</v>
      </c>
      <c r="W299" s="2">
        <v>1.2</v>
      </c>
      <c r="X299" s="2">
        <v>0.71199999999999997</v>
      </c>
      <c r="Y299" s="2">
        <v>132</v>
      </c>
      <c r="Z299" s="2">
        <v>112.2</v>
      </c>
      <c r="AA299" s="2">
        <v>65.8</v>
      </c>
      <c r="AB299" s="2">
        <v>110.9</v>
      </c>
      <c r="AC299" s="2">
        <v>79</v>
      </c>
      <c r="AD299" s="2">
        <v>834618.1328125</v>
      </c>
      <c r="AE299" s="2">
        <v>621793.078125</v>
      </c>
      <c r="AF299" s="2">
        <v>720014.578125</v>
      </c>
      <c r="AG299" s="2">
        <v>530620.125</v>
      </c>
      <c r="AH299" s="2">
        <v>561431.9765625</v>
      </c>
      <c r="AI299" s="2">
        <v>22629.982910156301</v>
      </c>
      <c r="AJ299" s="2">
        <v>10625.5712890625</v>
      </c>
      <c r="AK299" s="2" t="s">
        <v>83</v>
      </c>
      <c r="AL299" s="2">
        <v>19729.331542968801</v>
      </c>
      <c r="AM299" s="2">
        <v>5322.3232421875</v>
      </c>
      <c r="AN299" s="2" t="s">
        <v>83</v>
      </c>
      <c r="AO299" s="2" t="s">
        <v>83</v>
      </c>
      <c r="AP299" s="2" t="s">
        <v>83</v>
      </c>
      <c r="AQ299" s="2" t="s">
        <v>83</v>
      </c>
      <c r="AR299" s="2">
        <v>8601.65234375</v>
      </c>
      <c r="AS299" s="2">
        <v>43260.79296875</v>
      </c>
      <c r="AT299" s="2">
        <v>122498.421875</v>
      </c>
      <c r="AU299" s="2">
        <v>82789.73046875</v>
      </c>
      <c r="AV299" s="2">
        <v>83081.83203125</v>
      </c>
      <c r="AW299" s="2">
        <v>67980.419921875</v>
      </c>
      <c r="AX299" s="2" t="s">
        <v>83</v>
      </c>
      <c r="AY299" s="2">
        <v>37258.62890625</v>
      </c>
      <c r="AZ299" s="2" t="s">
        <v>83</v>
      </c>
      <c r="BA299" s="2" t="s">
        <v>83</v>
      </c>
      <c r="BB299" s="2" t="s">
        <v>83</v>
      </c>
      <c r="BC299" s="2" t="s">
        <v>79</v>
      </c>
      <c r="BD299" s="2" t="s">
        <v>79</v>
      </c>
      <c r="BE299" s="2" t="s">
        <v>79</v>
      </c>
      <c r="BF299" s="2" t="s">
        <v>79</v>
      </c>
      <c r="BG299" s="2" t="s">
        <v>79</v>
      </c>
      <c r="BH299" s="2" t="s">
        <v>91</v>
      </c>
      <c r="BI299" s="2" t="s">
        <v>91</v>
      </c>
      <c r="BJ299" s="2" t="s">
        <v>98</v>
      </c>
      <c r="BK299" s="2" t="s">
        <v>91</v>
      </c>
      <c r="BL299" s="2" t="s">
        <v>91</v>
      </c>
      <c r="BM299" s="2" t="s">
        <v>98</v>
      </c>
      <c r="BN299" s="2" t="s">
        <v>98</v>
      </c>
      <c r="BO299" s="2" t="s">
        <v>98</v>
      </c>
      <c r="BP299" s="2" t="s">
        <v>98</v>
      </c>
      <c r="BQ299" s="2" t="s">
        <v>91</v>
      </c>
      <c r="BR299" s="2" t="s">
        <v>91</v>
      </c>
      <c r="BS299" s="2" t="s">
        <v>79</v>
      </c>
      <c r="BT299" s="2" t="s">
        <v>91</v>
      </c>
      <c r="BU299" s="2" t="s">
        <v>91</v>
      </c>
      <c r="BV299" s="2" t="s">
        <v>79</v>
      </c>
      <c r="BW299" s="2" t="s">
        <v>98</v>
      </c>
      <c r="BX299" s="2" t="s">
        <v>91</v>
      </c>
      <c r="BY299" s="2" t="s">
        <v>98</v>
      </c>
      <c r="BZ299" s="2" t="s">
        <v>98</v>
      </c>
      <c r="CA299" s="2" t="s">
        <v>98</v>
      </c>
      <c r="CB299">
        <f>TTEST(AS299:AW299,AI299:AM299,2,2)</f>
        <v>3.3549032719772547E-3</v>
      </c>
      <c r="CC299">
        <f>TTEST(AD299:AH299,AI299:AM299,2,2)</f>
        <v>1.9732601531249501E-5</v>
      </c>
      <c r="CD299" t="e">
        <f>TTEST(AN299:AR299,AI299:AM299,2,2)</f>
        <v>#DIV/0!</v>
      </c>
      <c r="CE299" t="e">
        <f>TTEST(AX299:BB299,AI299:AM299,2,2)</f>
        <v>#DIV/0!</v>
      </c>
      <c r="CF299">
        <v>121</v>
      </c>
      <c r="CG299">
        <v>86</v>
      </c>
      <c r="CH299">
        <v>235</v>
      </c>
      <c r="CI299">
        <v>288</v>
      </c>
      <c r="CJ299">
        <f>0.05*CF299/464</f>
        <v>1.3038793103448278E-2</v>
      </c>
      <c r="CK299">
        <f>0.05*CG299/464</f>
        <v>9.2672413793103443E-3</v>
      </c>
      <c r="CL299">
        <f>0.05*CH299/464</f>
        <v>2.5323275862068964E-2</v>
      </c>
      <c r="CM299">
        <f>0.05*CI299/464</f>
        <v>3.1034482758620689E-2</v>
      </c>
      <c r="CN299" t="str">
        <f>IF(CB299&lt;CJ299,"yes","no")</f>
        <v>yes</v>
      </c>
      <c r="CO299" t="str">
        <f>IF(CC299&lt;CK299,"yes","no")</f>
        <v>yes</v>
      </c>
      <c r="CP299" t="e">
        <f>IF(CD299&lt;CL299,"yes","no")</f>
        <v>#DIV/0!</v>
      </c>
      <c r="CQ299" t="e">
        <f>IF(CE299&lt;CM299,"yes","no")</f>
        <v>#DIV/0!</v>
      </c>
      <c r="CR299">
        <f>TTEST(AS299:AW299,AD299:AH299,2,2)</f>
        <v>8.1483610926500746E-6</v>
      </c>
      <c r="CS299" t="e">
        <f>TTEST(AS299:AW299,AN299:AR299,2,2)</f>
        <v>#DIV/0!</v>
      </c>
      <c r="CT299" t="e">
        <f>TTEST(AS299:AW299,AX299:BB299,2,2)</f>
        <v>#DIV/0!</v>
      </c>
      <c r="CU299">
        <v>91</v>
      </c>
      <c r="CV299">
        <v>279</v>
      </c>
      <c r="CW299">
        <v>298</v>
      </c>
      <c r="CX299">
        <f t="shared" si="12"/>
        <v>9.8060344827586195E-3</v>
      </c>
      <c r="CY299">
        <f t="shared" si="13"/>
        <v>3.0064655172413794E-2</v>
      </c>
      <c r="CZ299">
        <f t="shared" si="14"/>
        <v>3.2112068965517243E-2</v>
      </c>
      <c r="DA299" t="str">
        <f>IF(CR299&lt;CX299,"yes","no")</f>
        <v>yes</v>
      </c>
      <c r="DB299" t="e">
        <f>IF(CS299&lt;CY299,"yes","no")</f>
        <v>#DIV/0!</v>
      </c>
      <c r="DC299" t="e">
        <f>IF(CT299&lt;CZ299,"yes","no")</f>
        <v>#DIV/0!</v>
      </c>
    </row>
    <row r="300" spans="1:107" x14ac:dyDescent="0.2">
      <c r="A300" s="2" t="b">
        <v>0</v>
      </c>
      <c r="B300" s="2" t="s">
        <v>79</v>
      </c>
      <c r="C300" s="2" t="s">
        <v>80</v>
      </c>
      <c r="D300" s="2" t="s">
        <v>122</v>
      </c>
      <c r="E300" s="2" t="s">
        <v>123</v>
      </c>
      <c r="F300" s="2">
        <v>30</v>
      </c>
      <c r="G300" s="2">
        <v>2</v>
      </c>
      <c r="H300" s="2">
        <v>165</v>
      </c>
      <c r="I300" s="2">
        <v>6.46</v>
      </c>
      <c r="J300" s="2" t="s">
        <v>83</v>
      </c>
      <c r="K300" s="2" t="s">
        <v>84</v>
      </c>
      <c r="L300" s="2" t="s">
        <v>85</v>
      </c>
      <c r="M300" s="2" t="s">
        <v>124</v>
      </c>
      <c r="N300" s="2" t="s">
        <v>122</v>
      </c>
      <c r="O300" s="2">
        <v>0.01</v>
      </c>
      <c r="P300" s="2">
        <v>0.90700000000000003</v>
      </c>
      <c r="Q300" s="2">
        <v>3.4889999999999999</v>
      </c>
      <c r="R300" s="2">
        <v>100</v>
      </c>
      <c r="S300" s="2" t="s">
        <v>83</v>
      </c>
      <c r="T300" s="2">
        <v>100</v>
      </c>
      <c r="U300" s="2">
        <v>100</v>
      </c>
      <c r="V300" s="2">
        <v>100</v>
      </c>
      <c r="W300" s="2">
        <v>100</v>
      </c>
      <c r="X300" s="2">
        <v>1.57</v>
      </c>
      <c r="Y300" s="2">
        <v>298.2</v>
      </c>
      <c r="Z300" s="2" t="s">
        <v>83</v>
      </c>
      <c r="AA300" s="2" t="s">
        <v>83</v>
      </c>
      <c r="AB300" s="2">
        <v>96.2</v>
      </c>
      <c r="AC300" s="2">
        <v>105.5</v>
      </c>
      <c r="AD300" s="2">
        <v>391079.734375</v>
      </c>
      <c r="AE300" s="2">
        <v>302597.220703125</v>
      </c>
      <c r="AF300" s="2">
        <v>248286.919921875</v>
      </c>
      <c r="AG300" s="2">
        <v>279730.2109375</v>
      </c>
      <c r="AH300" s="2">
        <v>188333.30078125</v>
      </c>
      <c r="AI300" s="2" t="s">
        <v>83</v>
      </c>
      <c r="AJ300" s="2" t="s">
        <v>83</v>
      </c>
      <c r="AK300" s="2" t="s">
        <v>83</v>
      </c>
      <c r="AL300" s="2" t="s">
        <v>83</v>
      </c>
      <c r="AM300" s="2" t="s">
        <v>83</v>
      </c>
      <c r="AN300" s="2" t="s">
        <v>83</v>
      </c>
      <c r="AO300" s="2" t="s">
        <v>83</v>
      </c>
      <c r="AP300" s="2" t="s">
        <v>83</v>
      </c>
      <c r="AQ300" s="2" t="s">
        <v>83</v>
      </c>
      <c r="AR300" s="2" t="s">
        <v>83</v>
      </c>
      <c r="AS300" s="2">
        <v>8871.1103515625</v>
      </c>
      <c r="AT300" s="2">
        <v>29749.8203125</v>
      </c>
      <c r="AU300" s="2">
        <v>12359.08984375</v>
      </c>
      <c r="AV300" s="2">
        <v>25278.541015625</v>
      </c>
      <c r="AW300" s="2">
        <v>10524.6220703125</v>
      </c>
      <c r="AX300" s="2" t="s">
        <v>83</v>
      </c>
      <c r="AY300" s="2" t="s">
        <v>83</v>
      </c>
      <c r="AZ300" s="2" t="s">
        <v>83</v>
      </c>
      <c r="BA300" s="2">
        <v>5032.755859375</v>
      </c>
      <c r="BB300" s="2" t="s">
        <v>83</v>
      </c>
      <c r="BC300" s="2" t="s">
        <v>79</v>
      </c>
      <c r="BD300" s="2" t="s">
        <v>79</v>
      </c>
      <c r="BE300" s="2" t="s">
        <v>79</v>
      </c>
      <c r="BF300" s="2" t="s">
        <v>79</v>
      </c>
      <c r="BG300" s="2" t="s">
        <v>79</v>
      </c>
      <c r="BH300" s="2" t="s">
        <v>98</v>
      </c>
      <c r="BI300" s="2" t="s">
        <v>98</v>
      </c>
      <c r="BJ300" s="2" t="s">
        <v>98</v>
      </c>
      <c r="BK300" s="2" t="s">
        <v>98</v>
      </c>
      <c r="BL300" s="2" t="s">
        <v>98</v>
      </c>
      <c r="BM300" s="2" t="s">
        <v>98</v>
      </c>
      <c r="BN300" s="2" t="s">
        <v>98</v>
      </c>
      <c r="BO300" s="2" t="s">
        <v>98</v>
      </c>
      <c r="BP300" s="2" t="s">
        <v>98</v>
      </c>
      <c r="BQ300" s="2" t="s">
        <v>98</v>
      </c>
      <c r="BR300" s="2" t="s">
        <v>91</v>
      </c>
      <c r="BS300" s="2" t="s">
        <v>91</v>
      </c>
      <c r="BT300" s="2" t="s">
        <v>91</v>
      </c>
      <c r="BU300" s="2" t="s">
        <v>91</v>
      </c>
      <c r="BV300" s="2" t="s">
        <v>91</v>
      </c>
      <c r="BW300" s="2" t="s">
        <v>98</v>
      </c>
      <c r="BX300" s="2" t="s">
        <v>98</v>
      </c>
      <c r="BY300" s="2" t="s">
        <v>98</v>
      </c>
      <c r="BZ300" s="2" t="s">
        <v>91</v>
      </c>
      <c r="CA300" s="2" t="s">
        <v>98</v>
      </c>
      <c r="CB300" t="e">
        <f>TTEST(AS300:AW300,AI300:AM300,2,2)</f>
        <v>#DIV/0!</v>
      </c>
      <c r="CC300" t="e">
        <f>TTEST(AD300:AH300,AI300:AM300,2,2)</f>
        <v>#DIV/0!</v>
      </c>
      <c r="CD300" t="e">
        <f>TTEST(AN300:AR300,AI300:AM300,2,2)</f>
        <v>#DIV/0!</v>
      </c>
      <c r="CE300" t="e">
        <f>TTEST(AX300:BB300,AI300:AM300,2,2)</f>
        <v>#DIV/0!</v>
      </c>
      <c r="CF300">
        <v>248</v>
      </c>
      <c r="CG300">
        <v>262</v>
      </c>
      <c r="CH300">
        <v>266</v>
      </c>
      <c r="CI300">
        <v>290</v>
      </c>
      <c r="CJ300">
        <f>0.05*CF300/464</f>
        <v>2.6724137931034484E-2</v>
      </c>
      <c r="CK300">
        <f>0.05*CG300/464</f>
        <v>2.823275862068966E-2</v>
      </c>
      <c r="CL300">
        <f>0.05*CH300/464</f>
        <v>2.8663793103448278E-2</v>
      </c>
      <c r="CM300">
        <f>0.05*CI300/464</f>
        <v>3.125E-2</v>
      </c>
      <c r="CN300" t="e">
        <f>IF(CB300&lt;CJ300,"yes","no")</f>
        <v>#DIV/0!</v>
      </c>
      <c r="CO300" t="e">
        <f>IF(CC300&lt;CK300,"yes","no")</f>
        <v>#DIV/0!</v>
      </c>
      <c r="CP300" t="e">
        <f>IF(CD300&lt;CL300,"yes","no")</f>
        <v>#DIV/0!</v>
      </c>
      <c r="CQ300" t="e">
        <f>IF(CE300&lt;CM300,"yes","no")</f>
        <v>#DIV/0!</v>
      </c>
      <c r="CR300">
        <f>TTEST(AS300:AW300,AD300:AH300,2,2)</f>
        <v>4.8981254521710088E-5</v>
      </c>
      <c r="CS300" t="e">
        <f>TTEST(AS300:AW300,AN300:AR300,2,2)</f>
        <v>#DIV/0!</v>
      </c>
      <c r="CT300" t="e">
        <f>TTEST(AS300:AW300,AX300:BB300,2,2)</f>
        <v>#DIV/0!</v>
      </c>
      <c r="CU300">
        <v>118</v>
      </c>
      <c r="CV300">
        <v>282</v>
      </c>
      <c r="CW300">
        <v>299</v>
      </c>
      <c r="CX300">
        <f t="shared" si="12"/>
        <v>1.2715517241379311E-2</v>
      </c>
      <c r="CY300">
        <f t="shared" si="13"/>
        <v>3.038793103448276E-2</v>
      </c>
      <c r="CZ300">
        <f t="shared" si="14"/>
        <v>3.2219827586206902E-2</v>
      </c>
      <c r="DA300" t="str">
        <f>IF(CR300&lt;CX300,"yes","no")</f>
        <v>yes</v>
      </c>
      <c r="DB300" t="e">
        <f>IF(CS300&lt;CY300,"yes","no")</f>
        <v>#DIV/0!</v>
      </c>
      <c r="DC300" t="e">
        <f>IF(CT300&lt;CZ300,"yes","no")</f>
        <v>#DIV/0!</v>
      </c>
    </row>
    <row r="301" spans="1:107" x14ac:dyDescent="0.2">
      <c r="A301" s="2" t="b">
        <v>0</v>
      </c>
      <c r="B301" s="2" t="s">
        <v>79</v>
      </c>
      <c r="C301" s="2" t="s">
        <v>80</v>
      </c>
      <c r="D301" s="2" t="s">
        <v>1341</v>
      </c>
      <c r="E301" s="2" t="s">
        <v>1342</v>
      </c>
      <c r="F301" s="2">
        <v>1</v>
      </c>
      <c r="G301" s="2">
        <v>1</v>
      </c>
      <c r="H301" s="2">
        <v>74.7</v>
      </c>
      <c r="I301" s="2">
        <v>6.96</v>
      </c>
      <c r="J301" s="2" t="s">
        <v>1343</v>
      </c>
      <c r="K301" s="2" t="s">
        <v>1344</v>
      </c>
      <c r="L301" s="2" t="s">
        <v>218</v>
      </c>
      <c r="M301" s="2" t="s">
        <v>1345</v>
      </c>
      <c r="N301" s="2" t="s">
        <v>1346</v>
      </c>
      <c r="O301" s="2">
        <v>0.01</v>
      </c>
      <c r="P301" s="2">
        <v>0.70499999999999996</v>
      </c>
      <c r="Q301" s="2">
        <v>0.01</v>
      </c>
      <c r="R301" s="2">
        <v>100</v>
      </c>
      <c r="S301" s="2" t="s">
        <v>83</v>
      </c>
      <c r="T301" s="2">
        <v>100</v>
      </c>
      <c r="U301" s="2" t="s">
        <v>83</v>
      </c>
      <c r="V301" s="2">
        <v>100</v>
      </c>
      <c r="W301" s="2" t="s">
        <v>83</v>
      </c>
      <c r="X301" s="2">
        <v>0.01</v>
      </c>
      <c r="Y301" s="2">
        <v>285.60000000000002</v>
      </c>
      <c r="Z301" s="2" t="s">
        <v>83</v>
      </c>
      <c r="AA301" s="2" t="s">
        <v>83</v>
      </c>
      <c r="AB301" s="2">
        <v>214.4</v>
      </c>
      <c r="AC301" s="2" t="s">
        <v>83</v>
      </c>
      <c r="AD301" s="2">
        <v>146852.6875</v>
      </c>
      <c r="AE301" s="2">
        <v>125003.9765625</v>
      </c>
      <c r="AF301" s="2">
        <v>93393.4296875</v>
      </c>
      <c r="AG301" s="2">
        <v>117766.9765625</v>
      </c>
      <c r="AH301" s="2">
        <v>92166.2109375</v>
      </c>
      <c r="AI301" s="2" t="s">
        <v>83</v>
      </c>
      <c r="AJ301" s="2" t="s">
        <v>83</v>
      </c>
      <c r="AK301" s="2" t="s">
        <v>83</v>
      </c>
      <c r="AL301" s="2" t="s">
        <v>83</v>
      </c>
      <c r="AM301" s="2" t="s">
        <v>83</v>
      </c>
      <c r="AN301" s="2" t="s">
        <v>83</v>
      </c>
      <c r="AO301" s="2" t="s">
        <v>83</v>
      </c>
      <c r="AP301" s="2" t="s">
        <v>83</v>
      </c>
      <c r="AQ301" s="2" t="s">
        <v>83</v>
      </c>
      <c r="AR301" s="2" t="s">
        <v>83</v>
      </c>
      <c r="AS301" s="2">
        <v>7981.935546875</v>
      </c>
      <c r="AT301" s="2">
        <v>22152.998046875</v>
      </c>
      <c r="AU301" s="2" t="s">
        <v>83</v>
      </c>
      <c r="AV301" s="2">
        <v>15822.2666015625</v>
      </c>
      <c r="AW301" s="2">
        <v>10200.0791015625</v>
      </c>
      <c r="AX301" s="2" t="s">
        <v>83</v>
      </c>
      <c r="AY301" s="2" t="s">
        <v>83</v>
      </c>
      <c r="AZ301" s="2" t="s">
        <v>83</v>
      </c>
      <c r="BA301" s="2" t="s">
        <v>83</v>
      </c>
      <c r="BB301" s="2" t="s">
        <v>83</v>
      </c>
      <c r="BC301" s="2" t="s">
        <v>79</v>
      </c>
      <c r="BD301" s="2" t="s">
        <v>79</v>
      </c>
      <c r="BE301" s="2" t="s">
        <v>79</v>
      </c>
      <c r="BF301" s="2" t="s">
        <v>79</v>
      </c>
      <c r="BG301" s="2" t="s">
        <v>79</v>
      </c>
      <c r="BH301" s="2" t="s">
        <v>98</v>
      </c>
      <c r="BI301" s="2" t="s">
        <v>98</v>
      </c>
      <c r="BJ301" s="2" t="s">
        <v>98</v>
      </c>
      <c r="BK301" s="2" t="s">
        <v>98</v>
      </c>
      <c r="BL301" s="2" t="s">
        <v>98</v>
      </c>
      <c r="BM301" s="2" t="s">
        <v>98</v>
      </c>
      <c r="BN301" s="2" t="s">
        <v>98</v>
      </c>
      <c r="BO301" s="2" t="s">
        <v>98</v>
      </c>
      <c r="BP301" s="2" t="s">
        <v>98</v>
      </c>
      <c r="BQ301" s="2" t="s">
        <v>98</v>
      </c>
      <c r="BR301" s="2" t="s">
        <v>91</v>
      </c>
      <c r="BS301" s="2" t="s">
        <v>91</v>
      </c>
      <c r="BT301" s="2" t="s">
        <v>98</v>
      </c>
      <c r="BU301" s="2" t="s">
        <v>91</v>
      </c>
      <c r="BV301" s="2" t="s">
        <v>91</v>
      </c>
      <c r="BW301" s="2" t="s">
        <v>98</v>
      </c>
      <c r="BX301" s="2" t="s">
        <v>98</v>
      </c>
      <c r="BY301" s="2" t="s">
        <v>98</v>
      </c>
      <c r="BZ301" s="2" t="s">
        <v>98</v>
      </c>
      <c r="CA301" s="2" t="s">
        <v>98</v>
      </c>
      <c r="CB301" t="e">
        <f>TTEST(AS301:AW301,AI301:AM301,2,2)</f>
        <v>#DIV/0!</v>
      </c>
      <c r="CC301" t="e">
        <f>TTEST(AD301:AH301,AI301:AM301,2,2)</f>
        <v>#DIV/0!</v>
      </c>
      <c r="CD301" t="e">
        <f>TTEST(AN301:AR301,AI301:AM301,2,2)</f>
        <v>#DIV/0!</v>
      </c>
      <c r="CE301" t="e">
        <f>TTEST(AX301:BB301,AI301:AM301,2,2)</f>
        <v>#DIV/0!</v>
      </c>
      <c r="CF301">
        <v>249</v>
      </c>
      <c r="CG301">
        <v>263</v>
      </c>
      <c r="CH301">
        <v>267</v>
      </c>
      <c r="CI301">
        <v>291</v>
      </c>
      <c r="CJ301">
        <f>0.05*CF301/464</f>
        <v>2.683189655172414E-2</v>
      </c>
      <c r="CK301">
        <f>0.05*CG301/464</f>
        <v>2.8340517241379311E-2</v>
      </c>
      <c r="CL301">
        <f>0.05*CH301/464</f>
        <v>2.8771551724137933E-2</v>
      </c>
      <c r="CM301">
        <f>0.05*CI301/464</f>
        <v>3.1357758620689659E-2</v>
      </c>
      <c r="CN301" t="e">
        <f>IF(CB301&lt;CJ301,"yes","no")</f>
        <v>#DIV/0!</v>
      </c>
      <c r="CO301" t="e">
        <f>IF(CC301&lt;CK301,"yes","no")</f>
        <v>#DIV/0!</v>
      </c>
      <c r="CP301" t="e">
        <f>IF(CD301&lt;CL301,"yes","no")</f>
        <v>#DIV/0!</v>
      </c>
      <c r="CQ301" t="e">
        <f>IF(CE301&lt;CM301,"yes","no")</f>
        <v>#DIV/0!</v>
      </c>
      <c r="CR301">
        <f>TTEST(AS301:AW301,AD301:AH301,2,2)</f>
        <v>6.4981568067342942E-5</v>
      </c>
      <c r="CS301" t="e">
        <f>TTEST(AS301:AW301,AN301:AR301,2,2)</f>
        <v>#DIV/0!</v>
      </c>
      <c r="CT301" t="e">
        <f>TTEST(AS301:AW301,AX301:BB301,2,2)</f>
        <v>#DIV/0!</v>
      </c>
      <c r="CU301">
        <v>123</v>
      </c>
      <c r="CV301">
        <v>283</v>
      </c>
      <c r="CW301">
        <v>300</v>
      </c>
      <c r="CX301">
        <f t="shared" si="12"/>
        <v>1.3254310344827587E-2</v>
      </c>
      <c r="CY301">
        <f t="shared" si="13"/>
        <v>3.0495689655172416E-2</v>
      </c>
      <c r="CZ301">
        <f t="shared" si="14"/>
        <v>3.2327586206896554E-2</v>
      </c>
      <c r="DA301" t="str">
        <f>IF(CR301&lt;CX301,"yes","no")</f>
        <v>yes</v>
      </c>
      <c r="DB301" t="e">
        <f>IF(CS301&lt;CY301,"yes","no")</f>
        <v>#DIV/0!</v>
      </c>
      <c r="DC301" t="e">
        <f>IF(CT301&lt;CZ301,"yes","no")</f>
        <v>#DIV/0!</v>
      </c>
    </row>
    <row r="302" spans="1:107" x14ac:dyDescent="0.2">
      <c r="A302" s="2" t="b">
        <v>0</v>
      </c>
      <c r="B302" s="2" t="s">
        <v>79</v>
      </c>
      <c r="C302" s="2" t="s">
        <v>80</v>
      </c>
      <c r="D302" s="2" t="s">
        <v>1274</v>
      </c>
      <c r="E302" s="2" t="s">
        <v>1275</v>
      </c>
      <c r="F302" s="2">
        <v>2</v>
      </c>
      <c r="G302" s="2">
        <v>2</v>
      </c>
      <c r="H302" s="2">
        <v>24.8</v>
      </c>
      <c r="I302" s="2">
        <v>5.94</v>
      </c>
      <c r="J302" s="2" t="s">
        <v>322</v>
      </c>
      <c r="K302" s="2" t="s">
        <v>1108</v>
      </c>
      <c r="L302" s="2" t="s">
        <v>119</v>
      </c>
      <c r="M302" s="2" t="s">
        <v>83</v>
      </c>
      <c r="N302" s="2" t="s">
        <v>1276</v>
      </c>
      <c r="O302" s="2">
        <v>1.577</v>
      </c>
      <c r="P302" s="2">
        <v>0.112</v>
      </c>
      <c r="Q302" s="2">
        <v>0.01</v>
      </c>
      <c r="R302" s="2">
        <v>1.7130000000000001</v>
      </c>
      <c r="S302" s="2">
        <v>1.9530000000000001</v>
      </c>
      <c r="T302" s="2">
        <v>0.192</v>
      </c>
      <c r="U302" s="2">
        <v>0.01</v>
      </c>
      <c r="V302" s="2">
        <v>0.13400000000000001</v>
      </c>
      <c r="W302" s="2">
        <v>0.01</v>
      </c>
      <c r="X302" s="2">
        <v>0.01</v>
      </c>
      <c r="Y302" s="2">
        <v>198.7</v>
      </c>
      <c r="Z302" s="2">
        <v>141.6</v>
      </c>
      <c r="AA302" s="2">
        <v>138.69999999999999</v>
      </c>
      <c r="AB302" s="2">
        <v>21</v>
      </c>
      <c r="AC302" s="2" t="s">
        <v>83</v>
      </c>
      <c r="AD302" s="2">
        <v>816096.5625</v>
      </c>
      <c r="AE302" s="2">
        <v>601000.1875</v>
      </c>
      <c r="AF302" s="2">
        <v>561789.5625</v>
      </c>
      <c r="AG302" s="2">
        <v>990304.953125</v>
      </c>
      <c r="AH302" s="2">
        <v>620745</v>
      </c>
      <c r="AI302" s="2" t="s">
        <v>83</v>
      </c>
      <c r="AJ302" s="2">
        <v>7477.32763671875</v>
      </c>
      <c r="AK302" s="2" t="s">
        <v>83</v>
      </c>
      <c r="AL302" s="2">
        <v>18411.3005371094</v>
      </c>
      <c r="AM302" s="2" t="s">
        <v>83</v>
      </c>
      <c r="AN302" s="2" t="s">
        <v>83</v>
      </c>
      <c r="AO302" s="2" t="s">
        <v>83</v>
      </c>
      <c r="AP302" s="2" t="s">
        <v>83</v>
      </c>
      <c r="AQ302" s="2" t="s">
        <v>83</v>
      </c>
      <c r="AR302" s="2">
        <v>11628.32421875</v>
      </c>
      <c r="AS302" s="2">
        <v>8108.7958984375</v>
      </c>
      <c r="AT302" s="2" t="s">
        <v>83</v>
      </c>
      <c r="AU302" s="2">
        <v>9852.3291015625</v>
      </c>
      <c r="AV302" s="2">
        <v>29395.2841796875</v>
      </c>
      <c r="AW302" s="2">
        <v>10475.33203125</v>
      </c>
      <c r="AX302" s="2" t="s">
        <v>83</v>
      </c>
      <c r="AY302" s="2" t="s">
        <v>83</v>
      </c>
      <c r="AZ302" s="2" t="s">
        <v>83</v>
      </c>
      <c r="BA302" s="2" t="s">
        <v>83</v>
      </c>
      <c r="BB302" s="2" t="s">
        <v>83</v>
      </c>
      <c r="BC302" s="2" t="s">
        <v>79</v>
      </c>
      <c r="BD302" s="2" t="s">
        <v>91</v>
      </c>
      <c r="BE302" s="2" t="s">
        <v>79</v>
      </c>
      <c r="BF302" s="2" t="s">
        <v>79</v>
      </c>
      <c r="BG302" s="2" t="s">
        <v>91</v>
      </c>
      <c r="BH302" s="2" t="s">
        <v>98</v>
      </c>
      <c r="BI302" s="2" t="s">
        <v>91</v>
      </c>
      <c r="BJ302" s="2" t="s">
        <v>98</v>
      </c>
      <c r="BK302" s="2" t="s">
        <v>91</v>
      </c>
      <c r="BL302" s="2" t="s">
        <v>98</v>
      </c>
      <c r="BM302" s="2" t="s">
        <v>98</v>
      </c>
      <c r="BN302" s="2" t="s">
        <v>98</v>
      </c>
      <c r="BO302" s="2" t="s">
        <v>98</v>
      </c>
      <c r="BP302" s="2" t="s">
        <v>98</v>
      </c>
      <c r="BQ302" s="2" t="s">
        <v>91</v>
      </c>
      <c r="BR302" s="2" t="s">
        <v>91</v>
      </c>
      <c r="BS302" s="2" t="s">
        <v>98</v>
      </c>
      <c r="BT302" s="2" t="s">
        <v>91</v>
      </c>
      <c r="BU302" s="2" t="s">
        <v>91</v>
      </c>
      <c r="BV302" s="2" t="s">
        <v>91</v>
      </c>
      <c r="BW302" s="2" t="s">
        <v>98</v>
      </c>
      <c r="BX302" s="2" t="s">
        <v>98</v>
      </c>
      <c r="BY302" s="2" t="s">
        <v>98</v>
      </c>
      <c r="BZ302" s="2" t="s">
        <v>98</v>
      </c>
      <c r="CA302" s="2" t="s">
        <v>98</v>
      </c>
      <c r="CB302">
        <f>TTEST(AS302:AW302,AI302:AM302,2,2)</f>
        <v>0.86284778173803345</v>
      </c>
      <c r="CC302">
        <f>TTEST(AD302:AH302,AI302:AM302,2,2)</f>
        <v>3.4711750733565825E-3</v>
      </c>
      <c r="CD302" t="e">
        <f>TTEST(AN302:AR302,AI302:AM302,2,2)</f>
        <v>#DIV/0!</v>
      </c>
      <c r="CE302" t="e">
        <f>TTEST(AX302:BB302,AI302:AM302,2,2)</f>
        <v>#DIV/0!</v>
      </c>
      <c r="CF302">
        <v>220</v>
      </c>
      <c r="CG302">
        <v>150</v>
      </c>
      <c r="CH302">
        <v>238</v>
      </c>
      <c r="CI302">
        <v>292</v>
      </c>
      <c r="CJ302">
        <f>0.05*CF302/464</f>
        <v>2.3706896551724137E-2</v>
      </c>
      <c r="CK302">
        <f>0.05*CG302/464</f>
        <v>1.6163793103448277E-2</v>
      </c>
      <c r="CL302">
        <f>0.05*CH302/464</f>
        <v>2.564655172413793E-2</v>
      </c>
      <c r="CM302">
        <f>0.05*CI302/464</f>
        <v>3.1465517241379311E-2</v>
      </c>
      <c r="CN302" t="str">
        <f>IF(CB302&lt;CJ302,"yes","no")</f>
        <v>no</v>
      </c>
      <c r="CO302" t="str">
        <f>IF(CC302&lt;CK302,"yes","no")</f>
        <v>yes</v>
      </c>
      <c r="CP302" t="e">
        <f>IF(CD302&lt;CL302,"yes","no")</f>
        <v>#DIV/0!</v>
      </c>
      <c r="CQ302" t="e">
        <f>IF(CE302&lt;CM302,"yes","no")</f>
        <v>#DIV/0!</v>
      </c>
      <c r="CR302">
        <f>TTEST(AS302:AW302,AD302:AH302,2,2)</f>
        <v>1.2132733910975789E-4</v>
      </c>
      <c r="CS302" t="e">
        <f>TTEST(AS302:AW302,AN302:AR302,2,2)</f>
        <v>#DIV/0!</v>
      </c>
      <c r="CT302" t="e">
        <f>TTEST(AS302:AW302,AX302:BB302,2,2)</f>
        <v>#DIV/0!</v>
      </c>
      <c r="CU302">
        <v>130</v>
      </c>
      <c r="CV302">
        <v>285</v>
      </c>
      <c r="CW302">
        <v>301</v>
      </c>
      <c r="CX302">
        <f t="shared" si="12"/>
        <v>1.4008620689655173E-2</v>
      </c>
      <c r="CY302">
        <f t="shared" si="13"/>
        <v>3.0711206896551723E-2</v>
      </c>
      <c r="CZ302">
        <f t="shared" si="14"/>
        <v>3.2435344827586206E-2</v>
      </c>
      <c r="DA302" t="str">
        <f>IF(CR302&lt;CX302,"yes","no")</f>
        <v>yes</v>
      </c>
      <c r="DB302" t="e">
        <f>IF(CS302&lt;CY302,"yes","no")</f>
        <v>#DIV/0!</v>
      </c>
      <c r="DC302" t="e">
        <f>IF(CT302&lt;CZ302,"yes","no")</f>
        <v>#DIV/0!</v>
      </c>
    </row>
    <row r="303" spans="1:107" x14ac:dyDescent="0.2">
      <c r="A303" s="2" t="b">
        <v>0</v>
      </c>
      <c r="B303" s="2" t="s">
        <v>79</v>
      </c>
      <c r="C303" s="2" t="s">
        <v>80</v>
      </c>
      <c r="D303" s="2" t="s">
        <v>1118</v>
      </c>
      <c r="E303" s="2" t="s">
        <v>1119</v>
      </c>
      <c r="F303" s="2">
        <v>1</v>
      </c>
      <c r="G303" s="2">
        <v>1</v>
      </c>
      <c r="H303" s="2">
        <v>13.9</v>
      </c>
      <c r="I303" s="2">
        <v>5.76</v>
      </c>
      <c r="J303" s="2" t="s">
        <v>83</v>
      </c>
      <c r="K303" s="2" t="s">
        <v>83</v>
      </c>
      <c r="L303" s="2" t="s">
        <v>83</v>
      </c>
      <c r="M303" s="2" t="s">
        <v>83</v>
      </c>
      <c r="N303" s="2" t="s">
        <v>1118</v>
      </c>
      <c r="O303" s="2">
        <v>1.169</v>
      </c>
      <c r="P303" s="2">
        <v>0.50700000000000001</v>
      </c>
      <c r="Q303" s="2">
        <v>0.01</v>
      </c>
      <c r="R303" s="2">
        <v>100</v>
      </c>
      <c r="S303" s="2">
        <v>100</v>
      </c>
      <c r="T303" s="2">
        <v>100</v>
      </c>
      <c r="U303" s="2" t="s">
        <v>83</v>
      </c>
      <c r="V303" s="2">
        <v>0.433</v>
      </c>
      <c r="W303" s="2">
        <v>0.01</v>
      </c>
      <c r="X303" s="2">
        <v>0.01</v>
      </c>
      <c r="Y303" s="2">
        <v>186.9</v>
      </c>
      <c r="Z303" s="2" t="s">
        <v>83</v>
      </c>
      <c r="AA303" s="2">
        <v>218.5</v>
      </c>
      <c r="AB303" s="2">
        <v>94.7</v>
      </c>
      <c r="AC303" s="2" t="s">
        <v>83</v>
      </c>
      <c r="AD303" s="2">
        <v>300122.84375</v>
      </c>
      <c r="AE303" s="2">
        <v>284239.84375</v>
      </c>
      <c r="AF303" s="2">
        <v>213270.921875</v>
      </c>
      <c r="AG303" s="2">
        <v>251450.703125</v>
      </c>
      <c r="AH303" s="2">
        <v>189963.390625</v>
      </c>
      <c r="AI303" s="2" t="s">
        <v>83</v>
      </c>
      <c r="AJ303" s="2" t="s">
        <v>83</v>
      </c>
      <c r="AK303" s="2" t="s">
        <v>83</v>
      </c>
      <c r="AL303" s="2" t="s">
        <v>83</v>
      </c>
      <c r="AM303" s="2" t="s">
        <v>83</v>
      </c>
      <c r="AN303" s="2" t="s">
        <v>83</v>
      </c>
      <c r="AO303" s="2" t="s">
        <v>83</v>
      </c>
      <c r="AP303" s="2" t="s">
        <v>83</v>
      </c>
      <c r="AQ303" s="2" t="s">
        <v>83</v>
      </c>
      <c r="AR303" s="2">
        <v>7300.7333984375</v>
      </c>
      <c r="AS303" s="2" t="s">
        <v>83</v>
      </c>
      <c r="AT303" s="2">
        <v>36443.0390625</v>
      </c>
      <c r="AU303" s="2">
        <v>16669.35546875</v>
      </c>
      <c r="AV303" s="2" t="s">
        <v>83</v>
      </c>
      <c r="AW303" s="2">
        <v>13719.2666015625</v>
      </c>
      <c r="AX303" s="2" t="s">
        <v>83</v>
      </c>
      <c r="AY303" s="2" t="s">
        <v>83</v>
      </c>
      <c r="AZ303" s="2" t="s">
        <v>83</v>
      </c>
      <c r="BA303" s="2" t="s">
        <v>83</v>
      </c>
      <c r="BB303" s="2" t="s">
        <v>83</v>
      </c>
      <c r="BC303" s="2" t="s">
        <v>79</v>
      </c>
      <c r="BD303" s="2" t="s">
        <v>79</v>
      </c>
      <c r="BE303" s="2" t="s">
        <v>79</v>
      </c>
      <c r="BF303" s="2" t="s">
        <v>79</v>
      </c>
      <c r="BG303" s="2" t="s">
        <v>79</v>
      </c>
      <c r="BH303" s="2" t="s">
        <v>98</v>
      </c>
      <c r="BI303" s="2" t="s">
        <v>98</v>
      </c>
      <c r="BJ303" s="2" t="s">
        <v>98</v>
      </c>
      <c r="BK303" s="2" t="s">
        <v>98</v>
      </c>
      <c r="BL303" s="2" t="s">
        <v>98</v>
      </c>
      <c r="BM303" s="2" t="s">
        <v>98</v>
      </c>
      <c r="BN303" s="2" t="s">
        <v>98</v>
      </c>
      <c r="BO303" s="2" t="s">
        <v>98</v>
      </c>
      <c r="BP303" s="2" t="s">
        <v>98</v>
      </c>
      <c r="BQ303" s="2" t="s">
        <v>91</v>
      </c>
      <c r="BR303" s="2" t="s">
        <v>98</v>
      </c>
      <c r="BS303" s="2" t="s">
        <v>91</v>
      </c>
      <c r="BT303" s="2" t="s">
        <v>91</v>
      </c>
      <c r="BU303" s="2" t="s">
        <v>98</v>
      </c>
      <c r="BV303" s="2" t="s">
        <v>91</v>
      </c>
      <c r="BW303" s="2" t="s">
        <v>98</v>
      </c>
      <c r="BX303" s="2" t="s">
        <v>98</v>
      </c>
      <c r="BY303" s="2" t="s">
        <v>98</v>
      </c>
      <c r="BZ303" s="2" t="s">
        <v>98</v>
      </c>
      <c r="CA303" s="2" t="s">
        <v>98</v>
      </c>
      <c r="CB303" t="e">
        <f>TTEST(AS303:AW303,AI303:AM303,2,2)</f>
        <v>#DIV/0!</v>
      </c>
      <c r="CC303" t="e">
        <f>TTEST(AD303:AH303,AI303:AM303,2,2)</f>
        <v>#DIV/0!</v>
      </c>
      <c r="CD303" t="e">
        <f>TTEST(AN303:AR303,AI303:AM303,2,2)</f>
        <v>#DIV/0!</v>
      </c>
      <c r="CE303" t="e">
        <f>TTEST(AX303:BB303,AI303:AM303,2,2)</f>
        <v>#DIV/0!</v>
      </c>
      <c r="CF303">
        <v>255</v>
      </c>
      <c r="CG303">
        <v>269</v>
      </c>
      <c r="CH303">
        <v>273</v>
      </c>
      <c r="CI303">
        <v>293</v>
      </c>
      <c r="CJ303">
        <f>0.05*CF303/464</f>
        <v>2.7478448275862068E-2</v>
      </c>
      <c r="CK303">
        <f>0.05*CG303/464</f>
        <v>2.8987068965517244E-2</v>
      </c>
      <c r="CL303">
        <f>0.05*CH303/464</f>
        <v>2.9418103448275862E-2</v>
      </c>
      <c r="CM303">
        <f>0.05*CI303/464</f>
        <v>3.157327586206897E-2</v>
      </c>
      <c r="CN303" t="e">
        <f>IF(CB303&lt;CJ303,"yes","no")</f>
        <v>#DIV/0!</v>
      </c>
      <c r="CO303" t="e">
        <f>IF(CC303&lt;CK303,"yes","no")</f>
        <v>#DIV/0!</v>
      </c>
      <c r="CP303" t="e">
        <f>IF(CD303&lt;CL303,"yes","no")</f>
        <v>#DIV/0!</v>
      </c>
      <c r="CQ303" t="e">
        <f>IF(CE303&lt;CM303,"yes","no")</f>
        <v>#DIV/0!</v>
      </c>
      <c r="CR303">
        <f>TTEST(AS303:AW303,AD303:AH303,2,2)</f>
        <v>2.0223399376690594E-4</v>
      </c>
      <c r="CS303" t="e">
        <f>TTEST(AS303:AW303,AN303:AR303,2,2)</f>
        <v>#DIV/0!</v>
      </c>
      <c r="CT303" t="e">
        <f>TTEST(AS303:AW303,AX303:BB303,2,2)</f>
        <v>#DIV/0!</v>
      </c>
      <c r="CU303">
        <v>143</v>
      </c>
      <c r="CV303">
        <v>286</v>
      </c>
      <c r="CW303">
        <v>302</v>
      </c>
      <c r="CX303">
        <f t="shared" si="12"/>
        <v>1.5409482758620691E-2</v>
      </c>
      <c r="CY303">
        <f t="shared" si="13"/>
        <v>3.0818965517241382E-2</v>
      </c>
      <c r="CZ303">
        <f t="shared" si="14"/>
        <v>3.2543103448275865E-2</v>
      </c>
      <c r="DA303" t="str">
        <f>IF(CR303&lt;CX303,"yes","no")</f>
        <v>yes</v>
      </c>
      <c r="DB303" t="e">
        <f>IF(CS303&lt;CY303,"yes","no")</f>
        <v>#DIV/0!</v>
      </c>
      <c r="DC303" t="e">
        <f>IF(CT303&lt;CZ303,"yes","no")</f>
        <v>#DIV/0!</v>
      </c>
    </row>
    <row r="304" spans="1:107" x14ac:dyDescent="0.2">
      <c r="A304" s="2" t="b">
        <v>0</v>
      </c>
      <c r="B304" s="2" t="s">
        <v>79</v>
      </c>
      <c r="C304" s="2" t="s">
        <v>80</v>
      </c>
      <c r="D304" s="2" t="s">
        <v>1097</v>
      </c>
      <c r="E304" s="2" t="s">
        <v>1098</v>
      </c>
      <c r="F304" s="2">
        <v>4</v>
      </c>
      <c r="G304" s="2">
        <v>4</v>
      </c>
      <c r="H304" s="2">
        <v>28.5</v>
      </c>
      <c r="I304" s="2">
        <v>7.02</v>
      </c>
      <c r="J304" s="2" t="s">
        <v>466</v>
      </c>
      <c r="K304" s="2" t="s">
        <v>1099</v>
      </c>
      <c r="L304" s="2" t="s">
        <v>119</v>
      </c>
      <c r="M304" s="2" t="s">
        <v>1100</v>
      </c>
      <c r="N304" s="2" t="s">
        <v>1101</v>
      </c>
      <c r="O304" s="2">
        <v>0.01</v>
      </c>
      <c r="P304" s="2">
        <v>1.071</v>
      </c>
      <c r="Q304" s="2">
        <v>0.01</v>
      </c>
      <c r="R304" s="2">
        <v>100</v>
      </c>
      <c r="S304" s="2" t="s">
        <v>83</v>
      </c>
      <c r="T304" s="2">
        <v>100</v>
      </c>
      <c r="U304" s="2" t="s">
        <v>83</v>
      </c>
      <c r="V304" s="2">
        <v>100</v>
      </c>
      <c r="W304" s="2" t="s">
        <v>83</v>
      </c>
      <c r="X304" s="2">
        <v>0.01</v>
      </c>
      <c r="Y304" s="2">
        <v>235.3</v>
      </c>
      <c r="Z304" s="2" t="s">
        <v>83</v>
      </c>
      <c r="AA304" s="2" t="s">
        <v>83</v>
      </c>
      <c r="AB304" s="2">
        <v>264.7</v>
      </c>
      <c r="AC304" s="2" t="s">
        <v>83</v>
      </c>
      <c r="AD304" s="2" t="s">
        <v>83</v>
      </c>
      <c r="AE304" s="2" t="s">
        <v>83</v>
      </c>
      <c r="AF304" s="2" t="s">
        <v>83</v>
      </c>
      <c r="AG304" s="2">
        <v>137627.546875</v>
      </c>
      <c r="AH304" s="2">
        <v>168773.59375</v>
      </c>
      <c r="AI304" s="2" t="s">
        <v>83</v>
      </c>
      <c r="AJ304" s="2" t="s">
        <v>83</v>
      </c>
      <c r="AK304" s="2" t="s">
        <v>83</v>
      </c>
      <c r="AL304" s="2" t="s">
        <v>83</v>
      </c>
      <c r="AM304" s="2" t="s">
        <v>83</v>
      </c>
      <c r="AN304" s="2" t="s">
        <v>83</v>
      </c>
      <c r="AO304" s="2" t="s">
        <v>83</v>
      </c>
      <c r="AP304" s="2" t="s">
        <v>83</v>
      </c>
      <c r="AQ304" s="2" t="s">
        <v>83</v>
      </c>
      <c r="AR304" s="2" t="s">
        <v>83</v>
      </c>
      <c r="AS304" s="2">
        <v>22926.625</v>
      </c>
      <c r="AT304" s="2">
        <v>34924.35546875</v>
      </c>
      <c r="AU304" s="2">
        <v>19412.90234375</v>
      </c>
      <c r="AV304" s="2" t="s">
        <v>83</v>
      </c>
      <c r="AW304" s="2">
        <v>26926.16796875</v>
      </c>
      <c r="AX304" s="2" t="s">
        <v>83</v>
      </c>
      <c r="AY304" s="2" t="s">
        <v>83</v>
      </c>
      <c r="AZ304" s="2" t="s">
        <v>83</v>
      </c>
      <c r="BA304" s="2" t="s">
        <v>83</v>
      </c>
      <c r="BB304" s="2" t="s">
        <v>83</v>
      </c>
      <c r="BC304" s="2" t="s">
        <v>79</v>
      </c>
      <c r="BD304" s="2" t="s">
        <v>79</v>
      </c>
      <c r="BE304" s="2" t="s">
        <v>79</v>
      </c>
      <c r="BF304" s="2" t="s">
        <v>91</v>
      </c>
      <c r="BG304" s="2" t="s">
        <v>79</v>
      </c>
      <c r="BH304" s="2" t="s">
        <v>91</v>
      </c>
      <c r="BI304" s="2" t="s">
        <v>98</v>
      </c>
      <c r="BJ304" s="2" t="s">
        <v>98</v>
      </c>
      <c r="BK304" s="2" t="s">
        <v>98</v>
      </c>
      <c r="BL304" s="2" t="s">
        <v>98</v>
      </c>
      <c r="BM304" s="2" t="s">
        <v>91</v>
      </c>
      <c r="BN304" s="2" t="s">
        <v>91</v>
      </c>
      <c r="BO304" s="2" t="s">
        <v>98</v>
      </c>
      <c r="BP304" s="2" t="s">
        <v>91</v>
      </c>
      <c r="BQ304" s="2" t="s">
        <v>98</v>
      </c>
      <c r="BR304" s="2" t="s">
        <v>91</v>
      </c>
      <c r="BS304" s="2" t="s">
        <v>91</v>
      </c>
      <c r="BT304" s="2" t="s">
        <v>91</v>
      </c>
      <c r="BU304" s="2" t="s">
        <v>79</v>
      </c>
      <c r="BV304" s="2" t="s">
        <v>91</v>
      </c>
      <c r="BW304" s="2" t="s">
        <v>98</v>
      </c>
      <c r="BX304" s="2" t="s">
        <v>98</v>
      </c>
      <c r="BY304" s="2" t="s">
        <v>98</v>
      </c>
      <c r="BZ304" s="2" t="s">
        <v>98</v>
      </c>
      <c r="CA304" s="2" t="s">
        <v>98</v>
      </c>
      <c r="CB304" t="e">
        <f>TTEST(AS304:AW304,AI304:AM304,2,2)</f>
        <v>#DIV/0!</v>
      </c>
      <c r="CC304" t="e">
        <f>TTEST(AD304:AH304,AI304:AM304,2,2)</f>
        <v>#DIV/0!</v>
      </c>
      <c r="CD304" t="e">
        <f>TTEST(AN304:AR304,AI304:AM304,2,2)</f>
        <v>#DIV/0!</v>
      </c>
      <c r="CE304" t="e">
        <f>TTEST(AX304:BB304,AI304:AM304,2,2)</f>
        <v>#DIV/0!</v>
      </c>
      <c r="CF304">
        <v>256</v>
      </c>
      <c r="CG304">
        <v>270</v>
      </c>
      <c r="CH304">
        <v>274</v>
      </c>
      <c r="CI304">
        <v>294</v>
      </c>
      <c r="CJ304">
        <f>0.05*CF304/464</f>
        <v>2.7586206896551727E-2</v>
      </c>
      <c r="CK304">
        <f>0.05*CG304/464</f>
        <v>2.9094827586206896E-2</v>
      </c>
      <c r="CL304">
        <f>0.05*CH304/464</f>
        <v>2.9525862068965521E-2</v>
      </c>
      <c r="CM304">
        <f>0.05*CI304/464</f>
        <v>3.1681034482758622E-2</v>
      </c>
      <c r="CN304" t="e">
        <f>IF(CB304&lt;CJ304,"yes","no")</f>
        <v>#DIV/0!</v>
      </c>
      <c r="CO304" t="e">
        <f>IF(CC304&lt;CK304,"yes","no")</f>
        <v>#DIV/0!</v>
      </c>
      <c r="CP304" t="e">
        <f>IF(CD304&lt;CL304,"yes","no")</f>
        <v>#DIV/0!</v>
      </c>
      <c r="CQ304" t="e">
        <f>IF(CE304&lt;CM304,"yes","no")</f>
        <v>#DIV/0!</v>
      </c>
      <c r="CR304">
        <f>TTEST(AS304:AW304,AD304:AH304,2,2)</f>
        <v>2.9434438333645995E-4</v>
      </c>
      <c r="CS304" t="e">
        <f>TTEST(AS304:AW304,AN304:AR304,2,2)</f>
        <v>#DIV/0!</v>
      </c>
      <c r="CT304" t="e">
        <f>TTEST(AS304:AW304,AX304:BB304,2,2)</f>
        <v>#DIV/0!</v>
      </c>
      <c r="CU304">
        <v>147</v>
      </c>
      <c r="CV304">
        <v>287</v>
      </c>
      <c r="CW304">
        <v>303</v>
      </c>
      <c r="CX304">
        <f t="shared" si="12"/>
        <v>1.5840517241379311E-2</v>
      </c>
      <c r="CY304">
        <f t="shared" si="13"/>
        <v>3.0926724137931037E-2</v>
      </c>
      <c r="CZ304">
        <f t="shared" si="14"/>
        <v>3.2650862068965517E-2</v>
      </c>
      <c r="DA304" t="str">
        <f>IF(CR304&lt;CX304,"yes","no")</f>
        <v>yes</v>
      </c>
      <c r="DB304" t="e">
        <f>IF(CS304&lt;CY304,"yes","no")</f>
        <v>#DIV/0!</v>
      </c>
      <c r="DC304" t="e">
        <f>IF(CT304&lt;CZ304,"yes","no")</f>
        <v>#DIV/0!</v>
      </c>
    </row>
    <row r="305" spans="1:107" x14ac:dyDescent="0.2">
      <c r="A305" s="2" t="b">
        <v>0</v>
      </c>
      <c r="B305" s="2" t="s">
        <v>79</v>
      </c>
      <c r="C305" s="2" t="s">
        <v>80</v>
      </c>
      <c r="D305" s="2" t="s">
        <v>943</v>
      </c>
      <c r="E305" s="2" t="s">
        <v>944</v>
      </c>
      <c r="F305" s="2">
        <v>2</v>
      </c>
      <c r="G305" s="2">
        <v>2</v>
      </c>
      <c r="H305" s="2">
        <v>13.1</v>
      </c>
      <c r="I305" s="2">
        <v>8.94</v>
      </c>
      <c r="J305" s="2" t="s">
        <v>254</v>
      </c>
      <c r="K305" s="2" t="s">
        <v>95</v>
      </c>
      <c r="L305" s="2" t="s">
        <v>119</v>
      </c>
      <c r="M305" s="2" t="s">
        <v>83</v>
      </c>
      <c r="N305" s="2" t="s">
        <v>943</v>
      </c>
      <c r="O305" s="2">
        <v>1.2789999999999999</v>
      </c>
      <c r="P305" s="2">
        <v>0.41099999999999998</v>
      </c>
      <c r="Q305" s="2">
        <v>1.2709999999999999</v>
      </c>
      <c r="R305" s="2">
        <v>100</v>
      </c>
      <c r="S305" s="2">
        <v>100</v>
      </c>
      <c r="T305" s="2">
        <v>100</v>
      </c>
      <c r="U305" s="2">
        <v>100</v>
      </c>
      <c r="V305" s="2">
        <v>0.252</v>
      </c>
      <c r="W305" s="2">
        <v>0.99399999999999999</v>
      </c>
      <c r="X305" s="2">
        <v>3.9430000000000001</v>
      </c>
      <c r="Y305" s="2">
        <v>123.2</v>
      </c>
      <c r="Z305" s="2" t="s">
        <v>83</v>
      </c>
      <c r="AA305" s="2">
        <v>141</v>
      </c>
      <c r="AB305" s="2">
        <v>95.6</v>
      </c>
      <c r="AC305" s="2">
        <v>140.19999999999999</v>
      </c>
      <c r="AD305" s="2">
        <v>214851.578125</v>
      </c>
      <c r="AE305" s="2">
        <v>153937.21875</v>
      </c>
      <c r="AF305" s="2">
        <v>154374.10546875</v>
      </c>
      <c r="AG305" s="2">
        <v>414522.484375</v>
      </c>
      <c r="AH305" s="2">
        <v>371589.9140625</v>
      </c>
      <c r="AI305" s="2" t="s">
        <v>83</v>
      </c>
      <c r="AJ305" s="2" t="s">
        <v>83</v>
      </c>
      <c r="AK305" s="2" t="s">
        <v>83</v>
      </c>
      <c r="AL305" s="2" t="s">
        <v>83</v>
      </c>
      <c r="AM305" s="2" t="s">
        <v>83</v>
      </c>
      <c r="AN305" s="2" t="s">
        <v>83</v>
      </c>
      <c r="AO305" s="2" t="s">
        <v>83</v>
      </c>
      <c r="AP305" s="2" t="s">
        <v>83</v>
      </c>
      <c r="AQ305" s="2" t="s">
        <v>83</v>
      </c>
      <c r="AR305" s="2">
        <v>5461.3701171875</v>
      </c>
      <c r="AS305" s="2">
        <v>20302.1171875</v>
      </c>
      <c r="AT305" s="2">
        <v>28798.548339843801</v>
      </c>
      <c r="AU305" s="2">
        <v>25937.4072265625</v>
      </c>
      <c r="AV305" s="2">
        <v>18009.85546875</v>
      </c>
      <c r="AW305" s="2">
        <v>37643.5556640625</v>
      </c>
      <c r="AX305" s="2" t="s">
        <v>83</v>
      </c>
      <c r="AY305" s="2" t="s">
        <v>83</v>
      </c>
      <c r="AZ305" s="2" t="s">
        <v>83</v>
      </c>
      <c r="BA305" s="2">
        <v>10617.7548828125</v>
      </c>
      <c r="BB305" s="2" t="s">
        <v>83</v>
      </c>
      <c r="BC305" s="2" t="s">
        <v>79</v>
      </c>
      <c r="BD305" s="2" t="s">
        <v>79</v>
      </c>
      <c r="BE305" s="2" t="s">
        <v>79</v>
      </c>
      <c r="BF305" s="2" t="s">
        <v>79</v>
      </c>
      <c r="BG305" s="2" t="s">
        <v>79</v>
      </c>
      <c r="BH305" s="2" t="s">
        <v>98</v>
      </c>
      <c r="BI305" s="2" t="s">
        <v>98</v>
      </c>
      <c r="BJ305" s="2" t="s">
        <v>98</v>
      </c>
      <c r="BK305" s="2" t="s">
        <v>98</v>
      </c>
      <c r="BL305" s="2" t="s">
        <v>98</v>
      </c>
      <c r="BM305" s="2" t="s">
        <v>98</v>
      </c>
      <c r="BN305" s="2" t="s">
        <v>98</v>
      </c>
      <c r="BO305" s="2" t="s">
        <v>98</v>
      </c>
      <c r="BP305" s="2" t="s">
        <v>98</v>
      </c>
      <c r="BQ305" s="2" t="s">
        <v>91</v>
      </c>
      <c r="BR305" s="2" t="s">
        <v>91</v>
      </c>
      <c r="BS305" s="2" t="s">
        <v>79</v>
      </c>
      <c r="BT305" s="2" t="s">
        <v>91</v>
      </c>
      <c r="BU305" s="2" t="s">
        <v>91</v>
      </c>
      <c r="BV305" s="2" t="s">
        <v>91</v>
      </c>
      <c r="BW305" s="2" t="s">
        <v>98</v>
      </c>
      <c r="BX305" s="2" t="s">
        <v>98</v>
      </c>
      <c r="BY305" s="2" t="s">
        <v>98</v>
      </c>
      <c r="BZ305" s="2" t="s">
        <v>91</v>
      </c>
      <c r="CA305" s="2" t="s">
        <v>98</v>
      </c>
      <c r="CB305" t="e">
        <f>TTEST(AS305:AW305,AI305:AM305,2,2)</f>
        <v>#DIV/0!</v>
      </c>
      <c r="CC305" t="e">
        <f>TTEST(AD305:AH305,AI305:AM305,2,2)</f>
        <v>#DIV/0!</v>
      </c>
      <c r="CD305" t="e">
        <f>TTEST(AN305:AR305,AI305:AM305,2,2)</f>
        <v>#DIV/0!</v>
      </c>
      <c r="CE305" t="e">
        <f>TTEST(AX305:BB305,AI305:AM305,2,2)</f>
        <v>#DIV/0!</v>
      </c>
      <c r="CF305">
        <v>264</v>
      </c>
      <c r="CG305">
        <v>278</v>
      </c>
      <c r="CH305">
        <v>282</v>
      </c>
      <c r="CI305">
        <v>296</v>
      </c>
      <c r="CJ305">
        <f>0.05*CF305/464</f>
        <v>2.8448275862068967E-2</v>
      </c>
      <c r="CK305">
        <f>0.05*CG305/464</f>
        <v>2.9956896551724139E-2</v>
      </c>
      <c r="CL305">
        <f>0.05*CH305/464</f>
        <v>3.038793103448276E-2</v>
      </c>
      <c r="CM305">
        <f>0.05*CI305/464</f>
        <v>3.1896551724137932E-2</v>
      </c>
      <c r="CN305" t="e">
        <f>IF(CB305&lt;CJ305,"yes","no")</f>
        <v>#DIV/0!</v>
      </c>
      <c r="CO305" t="e">
        <f>IF(CC305&lt;CK305,"yes","no")</f>
        <v>#DIV/0!</v>
      </c>
      <c r="CP305" t="e">
        <f>IF(CD305&lt;CL305,"yes","no")</f>
        <v>#DIV/0!</v>
      </c>
      <c r="CQ305" t="e">
        <f>IF(CE305&lt;CM305,"yes","no")</f>
        <v>#DIV/0!</v>
      </c>
      <c r="CR305">
        <f>TTEST(AS305:AW305,AD305:AH305,2,2)</f>
        <v>2.7305288806911666E-3</v>
      </c>
      <c r="CS305" t="e">
        <f>TTEST(AS305:AW305,AN305:AR305,2,2)</f>
        <v>#DIV/0!</v>
      </c>
      <c r="CT305" t="e">
        <f>TTEST(AS305:AW305,AX305:BB305,2,2)</f>
        <v>#DIV/0!</v>
      </c>
      <c r="CU305">
        <v>174</v>
      </c>
      <c r="CV305">
        <v>289</v>
      </c>
      <c r="CW305">
        <v>304</v>
      </c>
      <c r="CX305">
        <f t="shared" si="12"/>
        <v>1.8750000000000003E-2</v>
      </c>
      <c r="CY305">
        <f t="shared" si="13"/>
        <v>3.1142241379310348E-2</v>
      </c>
      <c r="CZ305">
        <f t="shared" si="14"/>
        <v>3.2758620689655175E-2</v>
      </c>
      <c r="DA305" t="str">
        <f>IF(CR305&lt;CX305,"yes","no")</f>
        <v>yes</v>
      </c>
      <c r="DB305" t="e">
        <f>IF(CS305&lt;CY305,"yes","no")</f>
        <v>#DIV/0!</v>
      </c>
      <c r="DC305" t="e">
        <f>IF(CT305&lt;CZ305,"yes","no")</f>
        <v>#DIV/0!</v>
      </c>
    </row>
    <row r="306" spans="1:107" x14ac:dyDescent="0.2">
      <c r="A306" s="2" t="b">
        <v>0</v>
      </c>
      <c r="B306" s="2" t="s">
        <v>79</v>
      </c>
      <c r="C306" s="2" t="s">
        <v>80</v>
      </c>
      <c r="D306" s="2" t="s">
        <v>1087</v>
      </c>
      <c r="E306" s="2" t="s">
        <v>1088</v>
      </c>
      <c r="F306" s="2">
        <v>1</v>
      </c>
      <c r="G306" s="2">
        <v>1</v>
      </c>
      <c r="H306" s="2">
        <v>13.3</v>
      </c>
      <c r="I306" s="2">
        <v>6.48</v>
      </c>
      <c r="J306" s="2" t="s">
        <v>83</v>
      </c>
      <c r="K306" s="2" t="s">
        <v>83</v>
      </c>
      <c r="L306" s="2" t="s">
        <v>83</v>
      </c>
      <c r="M306" s="2" t="s">
        <v>83</v>
      </c>
      <c r="N306" s="2" t="s">
        <v>1087</v>
      </c>
      <c r="O306" s="2">
        <v>0.01</v>
      </c>
      <c r="P306" s="2">
        <v>0.41699999999999998</v>
      </c>
      <c r="Q306" s="2">
        <v>0.01</v>
      </c>
      <c r="R306" s="2">
        <v>100</v>
      </c>
      <c r="S306" s="2" t="s">
        <v>83</v>
      </c>
      <c r="T306" s="2">
        <v>100</v>
      </c>
      <c r="U306" s="2" t="s">
        <v>83</v>
      </c>
      <c r="V306" s="2">
        <v>100</v>
      </c>
      <c r="W306" s="2" t="s">
        <v>83</v>
      </c>
      <c r="X306" s="2">
        <v>0.01</v>
      </c>
      <c r="Y306" s="2">
        <v>340.5</v>
      </c>
      <c r="Z306" s="2" t="s">
        <v>83</v>
      </c>
      <c r="AA306" s="2" t="s">
        <v>83</v>
      </c>
      <c r="AB306" s="2">
        <v>159.5</v>
      </c>
      <c r="AC306" s="2" t="s">
        <v>83</v>
      </c>
      <c r="AD306" s="2">
        <v>262160.4453125</v>
      </c>
      <c r="AE306" s="2">
        <v>139055.3203125</v>
      </c>
      <c r="AF306" s="2">
        <v>58589.7890625</v>
      </c>
      <c r="AG306" s="2">
        <v>309466.3671875</v>
      </c>
      <c r="AH306" s="2">
        <v>279044.15625</v>
      </c>
      <c r="AI306" s="2" t="s">
        <v>83</v>
      </c>
      <c r="AJ306" s="2" t="s">
        <v>83</v>
      </c>
      <c r="AK306" s="2" t="s">
        <v>83</v>
      </c>
      <c r="AL306" s="2" t="s">
        <v>83</v>
      </c>
      <c r="AM306" s="2" t="s">
        <v>83</v>
      </c>
      <c r="AN306" s="2" t="s">
        <v>83</v>
      </c>
      <c r="AO306" s="2" t="s">
        <v>83</v>
      </c>
      <c r="AP306" s="2" t="s">
        <v>83</v>
      </c>
      <c r="AQ306" s="2" t="s">
        <v>83</v>
      </c>
      <c r="AR306" s="2" t="s">
        <v>83</v>
      </c>
      <c r="AS306" s="2">
        <v>6824.55029296875</v>
      </c>
      <c r="AT306" s="2">
        <v>23037.7548828125</v>
      </c>
      <c r="AU306" s="2">
        <v>11647.8564453125</v>
      </c>
      <c r="AV306" s="2">
        <v>16195.71484375</v>
      </c>
      <c r="AW306" s="2">
        <v>17976.134765625</v>
      </c>
      <c r="AX306" s="2" t="s">
        <v>83</v>
      </c>
      <c r="AY306" s="2" t="s">
        <v>83</v>
      </c>
      <c r="AZ306" s="2" t="s">
        <v>83</v>
      </c>
      <c r="BA306" s="2" t="s">
        <v>83</v>
      </c>
      <c r="BB306" s="2" t="s">
        <v>83</v>
      </c>
      <c r="BC306" s="2" t="s">
        <v>79</v>
      </c>
      <c r="BD306" s="2" t="s">
        <v>79</v>
      </c>
      <c r="BE306" s="2" t="s">
        <v>79</v>
      </c>
      <c r="BF306" s="2" t="s">
        <v>79</v>
      </c>
      <c r="BG306" s="2" t="s">
        <v>79</v>
      </c>
      <c r="BH306" s="2" t="s">
        <v>98</v>
      </c>
      <c r="BI306" s="2" t="s">
        <v>98</v>
      </c>
      <c r="BJ306" s="2" t="s">
        <v>98</v>
      </c>
      <c r="BK306" s="2" t="s">
        <v>98</v>
      </c>
      <c r="BL306" s="2" t="s">
        <v>98</v>
      </c>
      <c r="BM306" s="2" t="s">
        <v>98</v>
      </c>
      <c r="BN306" s="2" t="s">
        <v>98</v>
      </c>
      <c r="BO306" s="2" t="s">
        <v>98</v>
      </c>
      <c r="BP306" s="2" t="s">
        <v>98</v>
      </c>
      <c r="BQ306" s="2" t="s">
        <v>98</v>
      </c>
      <c r="BR306" s="2" t="s">
        <v>91</v>
      </c>
      <c r="BS306" s="2" t="s">
        <v>79</v>
      </c>
      <c r="BT306" s="2" t="s">
        <v>79</v>
      </c>
      <c r="BU306" s="2" t="s">
        <v>91</v>
      </c>
      <c r="BV306" s="2" t="s">
        <v>79</v>
      </c>
      <c r="BW306" s="2" t="s">
        <v>98</v>
      </c>
      <c r="BX306" s="2" t="s">
        <v>98</v>
      </c>
      <c r="BY306" s="2" t="s">
        <v>98</v>
      </c>
      <c r="BZ306" s="2" t="s">
        <v>98</v>
      </c>
      <c r="CA306" s="2" t="s">
        <v>98</v>
      </c>
      <c r="CB306" t="e">
        <f>TTEST(AS306:AW306,AI306:AM306,2,2)</f>
        <v>#DIV/0!</v>
      </c>
      <c r="CC306" t="e">
        <f>TTEST(AD306:AH306,AI306:AM306,2,2)</f>
        <v>#DIV/0!</v>
      </c>
      <c r="CD306" t="e">
        <f>TTEST(AN306:AR306,AI306:AM306,2,2)</f>
        <v>#DIV/0!</v>
      </c>
      <c r="CE306" t="e">
        <f>TTEST(AX306:BB306,AI306:AM306,2,2)</f>
        <v>#DIV/0!</v>
      </c>
      <c r="CF306">
        <v>268</v>
      </c>
      <c r="CG306">
        <v>282</v>
      </c>
      <c r="CH306">
        <v>286</v>
      </c>
      <c r="CI306">
        <v>298</v>
      </c>
      <c r="CJ306">
        <f>0.05*CF306/464</f>
        <v>2.8879310344827588E-2</v>
      </c>
      <c r="CK306">
        <f>0.05*CG306/464</f>
        <v>3.038793103448276E-2</v>
      </c>
      <c r="CL306">
        <f>0.05*CH306/464</f>
        <v>3.0818965517241382E-2</v>
      </c>
      <c r="CM306">
        <f>0.05*CI306/464</f>
        <v>3.2112068965517243E-2</v>
      </c>
      <c r="CN306" t="e">
        <f>IF(CB306&lt;CJ306,"yes","no")</f>
        <v>#DIV/0!</v>
      </c>
      <c r="CO306" t="e">
        <f>IF(CC306&lt;CK306,"yes","no")</f>
        <v>#DIV/0!</v>
      </c>
      <c r="CP306" t="e">
        <f>IF(CD306&lt;CL306,"yes","no")</f>
        <v>#DIV/0!</v>
      </c>
      <c r="CQ306" t="e">
        <f>IF(CE306&lt;CM306,"yes","no")</f>
        <v>#DIV/0!</v>
      </c>
      <c r="CR306">
        <f>TTEST(AS306:AW306,AD306:AH306,2,2)</f>
        <v>3.5402406664411103E-3</v>
      </c>
      <c r="CS306" t="e">
        <f>TTEST(AS306:AW306,AN306:AR306,2,2)</f>
        <v>#DIV/0!</v>
      </c>
      <c r="CT306" t="e">
        <f>TTEST(AS306:AW306,AX306:BB306,2,2)</f>
        <v>#DIV/0!</v>
      </c>
      <c r="CU306">
        <v>180</v>
      </c>
      <c r="CV306">
        <v>291</v>
      </c>
      <c r="CW306">
        <v>305</v>
      </c>
      <c r="CX306">
        <f t="shared" si="12"/>
        <v>1.9396551724137932E-2</v>
      </c>
      <c r="CY306">
        <f t="shared" si="13"/>
        <v>3.1357758620689659E-2</v>
      </c>
      <c r="CZ306">
        <f t="shared" si="14"/>
        <v>3.2866379310344827E-2</v>
      </c>
      <c r="DA306" t="str">
        <f>IF(CR306&lt;CX306,"yes","no")</f>
        <v>yes</v>
      </c>
      <c r="DB306" t="e">
        <f>IF(CS306&lt;CY306,"yes","no")</f>
        <v>#DIV/0!</v>
      </c>
      <c r="DC306" t="e">
        <f>IF(CT306&lt;CZ306,"yes","no")</f>
        <v>#DIV/0!</v>
      </c>
    </row>
    <row r="307" spans="1:107" x14ac:dyDescent="0.2">
      <c r="A307" s="2" t="b">
        <v>0</v>
      </c>
      <c r="B307" s="2" t="s">
        <v>79</v>
      </c>
      <c r="C307" s="2" t="s">
        <v>80</v>
      </c>
      <c r="D307" s="2" t="s">
        <v>590</v>
      </c>
      <c r="E307" s="2" t="s">
        <v>591</v>
      </c>
      <c r="F307" s="2">
        <v>3</v>
      </c>
      <c r="G307" s="2">
        <v>2</v>
      </c>
      <c r="H307" s="2">
        <v>10.8</v>
      </c>
      <c r="I307" s="2">
        <v>5.94</v>
      </c>
      <c r="J307" s="2" t="s">
        <v>83</v>
      </c>
      <c r="K307" s="2" t="s">
        <v>83</v>
      </c>
      <c r="L307" s="2" t="s">
        <v>83</v>
      </c>
      <c r="M307" s="2" t="s">
        <v>83</v>
      </c>
      <c r="N307" s="2" t="s">
        <v>590</v>
      </c>
      <c r="O307" s="2">
        <v>0.01</v>
      </c>
      <c r="P307" s="2">
        <v>1.1870000000000001</v>
      </c>
      <c r="Q307" s="2">
        <v>0.01</v>
      </c>
      <c r="R307" s="2">
        <v>100</v>
      </c>
      <c r="S307" s="2" t="s">
        <v>83</v>
      </c>
      <c r="T307" s="2">
        <v>100</v>
      </c>
      <c r="U307" s="2" t="s">
        <v>83</v>
      </c>
      <c r="V307" s="2">
        <v>100</v>
      </c>
      <c r="W307" s="2" t="s">
        <v>83</v>
      </c>
      <c r="X307" s="2">
        <v>0.01</v>
      </c>
      <c r="Y307" s="2">
        <v>263.7</v>
      </c>
      <c r="Z307" s="2" t="s">
        <v>83</v>
      </c>
      <c r="AA307" s="2" t="s">
        <v>83</v>
      </c>
      <c r="AB307" s="2">
        <v>236.3</v>
      </c>
      <c r="AC307" s="2" t="s">
        <v>83</v>
      </c>
      <c r="AD307" s="2">
        <v>305990.203125</v>
      </c>
      <c r="AE307" s="2">
        <v>118629.943359375</v>
      </c>
      <c r="AF307" s="2">
        <v>145694.5234375</v>
      </c>
      <c r="AG307" s="2">
        <v>407460.75</v>
      </c>
      <c r="AH307" s="2">
        <v>377753.375</v>
      </c>
      <c r="AI307" s="2" t="s">
        <v>83</v>
      </c>
      <c r="AJ307" s="2" t="s">
        <v>83</v>
      </c>
      <c r="AK307" s="2" t="s">
        <v>83</v>
      </c>
      <c r="AL307" s="2" t="s">
        <v>83</v>
      </c>
      <c r="AM307" s="2" t="s">
        <v>83</v>
      </c>
      <c r="AN307" s="2" t="s">
        <v>83</v>
      </c>
      <c r="AO307" s="2" t="s">
        <v>83</v>
      </c>
      <c r="AP307" s="2" t="s">
        <v>83</v>
      </c>
      <c r="AQ307" s="2" t="s">
        <v>83</v>
      </c>
      <c r="AR307" s="2" t="s">
        <v>83</v>
      </c>
      <c r="AS307" s="2">
        <v>30005.8828125</v>
      </c>
      <c r="AT307" s="2">
        <v>51445.1171875</v>
      </c>
      <c r="AU307" s="2">
        <v>35421.8125</v>
      </c>
      <c r="AV307" s="2">
        <v>44368.16796875</v>
      </c>
      <c r="AW307" s="2">
        <v>25507.234375</v>
      </c>
      <c r="AX307" s="2" t="s">
        <v>83</v>
      </c>
      <c r="AY307" s="2" t="s">
        <v>83</v>
      </c>
      <c r="AZ307" s="2" t="s">
        <v>83</v>
      </c>
      <c r="BA307" s="2" t="s">
        <v>83</v>
      </c>
      <c r="BB307" s="2" t="s">
        <v>83</v>
      </c>
      <c r="BC307" s="2" t="s">
        <v>79</v>
      </c>
      <c r="BD307" s="2" t="s">
        <v>79</v>
      </c>
      <c r="BE307" s="2" t="s">
        <v>79</v>
      </c>
      <c r="BF307" s="2" t="s">
        <v>79</v>
      </c>
      <c r="BG307" s="2" t="s">
        <v>79</v>
      </c>
      <c r="BH307" s="2" t="s">
        <v>98</v>
      </c>
      <c r="BI307" s="2" t="s">
        <v>98</v>
      </c>
      <c r="BJ307" s="2" t="s">
        <v>98</v>
      </c>
      <c r="BK307" s="2" t="s">
        <v>98</v>
      </c>
      <c r="BL307" s="2" t="s">
        <v>98</v>
      </c>
      <c r="BM307" s="2" t="s">
        <v>98</v>
      </c>
      <c r="BN307" s="2" t="s">
        <v>98</v>
      </c>
      <c r="BO307" s="2" t="s">
        <v>98</v>
      </c>
      <c r="BP307" s="2" t="s">
        <v>98</v>
      </c>
      <c r="BQ307" s="2" t="s">
        <v>98</v>
      </c>
      <c r="BR307" s="2" t="s">
        <v>91</v>
      </c>
      <c r="BS307" s="2" t="s">
        <v>79</v>
      </c>
      <c r="BT307" s="2" t="s">
        <v>79</v>
      </c>
      <c r="BU307" s="2" t="s">
        <v>91</v>
      </c>
      <c r="BV307" s="2" t="s">
        <v>79</v>
      </c>
      <c r="BW307" s="2" t="s">
        <v>98</v>
      </c>
      <c r="BX307" s="2" t="s">
        <v>98</v>
      </c>
      <c r="BY307" s="2" t="s">
        <v>98</v>
      </c>
      <c r="BZ307" s="2" t="s">
        <v>98</v>
      </c>
      <c r="CA307" s="2" t="s">
        <v>98</v>
      </c>
      <c r="CB307" t="e">
        <f>TTEST(AS307:AW307,AI307:AM307,2,2)</f>
        <v>#DIV/0!</v>
      </c>
      <c r="CC307" t="e">
        <f>TTEST(AD307:AH307,AI307:AM307,2,2)</f>
        <v>#DIV/0!</v>
      </c>
      <c r="CD307" t="e">
        <f>TTEST(AN307:AR307,AI307:AM307,2,2)</f>
        <v>#DIV/0!</v>
      </c>
      <c r="CE307" t="e">
        <f>TTEST(AX307:BB307,AI307:AM307,2,2)</f>
        <v>#DIV/0!</v>
      </c>
      <c r="CF307">
        <v>270</v>
      </c>
      <c r="CG307">
        <v>284</v>
      </c>
      <c r="CH307">
        <v>288</v>
      </c>
      <c r="CI307">
        <v>299</v>
      </c>
      <c r="CJ307">
        <f>0.05*CF307/464</f>
        <v>2.9094827586206896E-2</v>
      </c>
      <c r="CK307">
        <f>0.05*CG307/464</f>
        <v>3.0603448275862071E-2</v>
      </c>
      <c r="CL307">
        <f>0.05*CH307/464</f>
        <v>3.1034482758620689E-2</v>
      </c>
      <c r="CM307">
        <f>0.05*CI307/464</f>
        <v>3.2219827586206902E-2</v>
      </c>
      <c r="CN307" t="e">
        <f>IF(CB307&lt;CJ307,"yes","no")</f>
        <v>#DIV/0!</v>
      </c>
      <c r="CO307" t="e">
        <f>IF(CC307&lt;CK307,"yes","no")</f>
        <v>#DIV/0!</v>
      </c>
      <c r="CP307" t="e">
        <f>IF(CD307&lt;CL307,"yes","no")</f>
        <v>#DIV/0!</v>
      </c>
      <c r="CQ307" t="e">
        <f>IF(CE307&lt;CM307,"yes","no")</f>
        <v>#DIV/0!</v>
      </c>
      <c r="CR307">
        <f>TTEST(AS307:AW307,AD307:AH307,2,2)</f>
        <v>4.3310023609337608E-3</v>
      </c>
      <c r="CS307" t="e">
        <f>TTEST(AS307:AW307,AN307:AR307,2,2)</f>
        <v>#DIV/0!</v>
      </c>
      <c r="CT307" t="e">
        <f>TTEST(AS307:AW307,AX307:BB307,2,2)</f>
        <v>#DIV/0!</v>
      </c>
      <c r="CU307">
        <v>184</v>
      </c>
      <c r="CV307">
        <v>292</v>
      </c>
      <c r="CW307">
        <v>306</v>
      </c>
      <c r="CX307">
        <f t="shared" si="12"/>
        <v>1.9827586206896553E-2</v>
      </c>
      <c r="CY307">
        <f t="shared" si="13"/>
        <v>3.1465517241379311E-2</v>
      </c>
      <c r="CZ307">
        <f t="shared" si="14"/>
        <v>3.2974137931034486E-2</v>
      </c>
      <c r="DA307" t="str">
        <f>IF(CR307&lt;CX307,"yes","no")</f>
        <v>yes</v>
      </c>
      <c r="DB307" t="e">
        <f>IF(CS307&lt;CY307,"yes","no")</f>
        <v>#DIV/0!</v>
      </c>
      <c r="DC307" t="e">
        <f>IF(CT307&lt;CZ307,"yes","no")</f>
        <v>#DIV/0!</v>
      </c>
    </row>
    <row r="308" spans="1:107" x14ac:dyDescent="0.2">
      <c r="A308" s="2" t="b">
        <v>0</v>
      </c>
      <c r="B308" s="2" t="s">
        <v>79</v>
      </c>
      <c r="C308" s="2" t="s">
        <v>80</v>
      </c>
      <c r="D308" s="2" t="s">
        <v>1180</v>
      </c>
      <c r="E308" s="2" t="s">
        <v>1181</v>
      </c>
      <c r="F308" s="2">
        <v>3</v>
      </c>
      <c r="G308" s="2">
        <v>3</v>
      </c>
      <c r="H308" s="2">
        <v>25.9</v>
      </c>
      <c r="I308" s="2">
        <v>7.43</v>
      </c>
      <c r="J308" s="2" t="s">
        <v>539</v>
      </c>
      <c r="K308" s="2" t="s">
        <v>607</v>
      </c>
      <c r="L308" s="2" t="s">
        <v>83</v>
      </c>
      <c r="M308" s="2" t="s">
        <v>1182</v>
      </c>
      <c r="N308" s="2" t="s">
        <v>1183</v>
      </c>
      <c r="O308" s="2">
        <v>0.01</v>
      </c>
      <c r="P308" s="2">
        <v>0.59399999999999997</v>
      </c>
      <c r="Q308" s="2">
        <v>2.7170000000000001</v>
      </c>
      <c r="R308" s="2">
        <v>100</v>
      </c>
      <c r="S308" s="2" t="s">
        <v>83</v>
      </c>
      <c r="T308" s="2">
        <v>100</v>
      </c>
      <c r="U308" s="2">
        <v>100</v>
      </c>
      <c r="V308" s="2">
        <v>100</v>
      </c>
      <c r="W308" s="2">
        <v>100</v>
      </c>
      <c r="X308" s="2">
        <v>6.62</v>
      </c>
      <c r="Y308" s="2">
        <v>174.5</v>
      </c>
      <c r="Z308" s="2" t="s">
        <v>83</v>
      </c>
      <c r="AA308" s="2" t="s">
        <v>83</v>
      </c>
      <c r="AB308" s="2">
        <v>66.599999999999994</v>
      </c>
      <c r="AC308" s="2">
        <v>258.89999999999998</v>
      </c>
      <c r="AD308" s="2">
        <v>114875.72265625</v>
      </c>
      <c r="AE308" s="2">
        <v>166274.5703125</v>
      </c>
      <c r="AF308" s="2">
        <v>96813.529296875</v>
      </c>
      <c r="AG308" s="2">
        <v>306985.8984375</v>
      </c>
      <c r="AH308" s="2">
        <v>256087.609375</v>
      </c>
      <c r="AI308" s="2" t="s">
        <v>83</v>
      </c>
      <c r="AJ308" s="2" t="s">
        <v>83</v>
      </c>
      <c r="AK308" s="2" t="s">
        <v>83</v>
      </c>
      <c r="AL308" s="2" t="s">
        <v>83</v>
      </c>
      <c r="AM308" s="2" t="s">
        <v>83</v>
      </c>
      <c r="AN308" s="2" t="s">
        <v>83</v>
      </c>
      <c r="AO308" s="2" t="s">
        <v>83</v>
      </c>
      <c r="AP308" s="2" t="s">
        <v>83</v>
      </c>
      <c r="AQ308" s="2" t="s">
        <v>83</v>
      </c>
      <c r="AR308" s="2" t="s">
        <v>83</v>
      </c>
      <c r="AS308" s="2">
        <v>10740.284667968799</v>
      </c>
      <c r="AT308" s="2">
        <v>15685.1533203125</v>
      </c>
      <c r="AU308" s="2">
        <v>8779.267578125</v>
      </c>
      <c r="AV308" s="2" t="s">
        <v>83</v>
      </c>
      <c r="AW308" s="2">
        <v>9825.46484375</v>
      </c>
      <c r="AX308" s="2" t="s">
        <v>83</v>
      </c>
      <c r="AY308" s="2" t="s">
        <v>83</v>
      </c>
      <c r="AZ308" s="2" t="s">
        <v>83</v>
      </c>
      <c r="BA308" s="2" t="s">
        <v>83</v>
      </c>
      <c r="BB308" s="2">
        <v>12750.9580078125</v>
      </c>
      <c r="BC308" s="2" t="s">
        <v>91</v>
      </c>
      <c r="BD308" s="2" t="s">
        <v>91</v>
      </c>
      <c r="BE308" s="2" t="s">
        <v>91</v>
      </c>
      <c r="BF308" s="2" t="s">
        <v>79</v>
      </c>
      <c r="BG308" s="2" t="s">
        <v>79</v>
      </c>
      <c r="BH308" s="2" t="s">
        <v>98</v>
      </c>
      <c r="BI308" s="2" t="s">
        <v>98</v>
      </c>
      <c r="BJ308" s="2" t="s">
        <v>98</v>
      </c>
      <c r="BK308" s="2" t="s">
        <v>98</v>
      </c>
      <c r="BL308" s="2" t="s">
        <v>98</v>
      </c>
      <c r="BM308" s="2" t="s">
        <v>98</v>
      </c>
      <c r="BN308" s="2" t="s">
        <v>98</v>
      </c>
      <c r="BO308" s="2" t="s">
        <v>98</v>
      </c>
      <c r="BP308" s="2" t="s">
        <v>98</v>
      </c>
      <c r="BQ308" s="2" t="s">
        <v>98</v>
      </c>
      <c r="BR308" s="2" t="s">
        <v>91</v>
      </c>
      <c r="BS308" s="2" t="s">
        <v>91</v>
      </c>
      <c r="BT308" s="2" t="s">
        <v>91</v>
      </c>
      <c r="BU308" s="2" t="s">
        <v>98</v>
      </c>
      <c r="BV308" s="2" t="s">
        <v>91</v>
      </c>
      <c r="BW308" s="2" t="s">
        <v>98</v>
      </c>
      <c r="BX308" s="2" t="s">
        <v>98</v>
      </c>
      <c r="BY308" s="2" t="s">
        <v>98</v>
      </c>
      <c r="BZ308" s="2" t="s">
        <v>98</v>
      </c>
      <c r="CA308" s="2" t="s">
        <v>91</v>
      </c>
      <c r="CB308" t="e">
        <f>TTEST(AS308:AW308,AI308:AM308,2,2)</f>
        <v>#DIV/0!</v>
      </c>
      <c r="CC308" t="e">
        <f>TTEST(AD308:AH308,AI308:AM308,2,2)</f>
        <v>#DIV/0!</v>
      </c>
      <c r="CD308" t="e">
        <f>TTEST(AN308:AR308,AI308:AM308,2,2)</f>
        <v>#DIV/0!</v>
      </c>
      <c r="CE308" t="e">
        <f>TTEST(AX308:BB308,AI308:AM308,2,2)</f>
        <v>#DIV/0!</v>
      </c>
      <c r="CF308">
        <v>271</v>
      </c>
      <c r="CG308">
        <v>285</v>
      </c>
      <c r="CH308">
        <v>289</v>
      </c>
      <c r="CI308">
        <v>300</v>
      </c>
      <c r="CJ308">
        <f>0.05*CF308/464</f>
        <v>2.9202586206896555E-2</v>
      </c>
      <c r="CK308">
        <f>0.05*CG308/464</f>
        <v>3.0711206896551723E-2</v>
      </c>
      <c r="CL308">
        <f>0.05*CH308/464</f>
        <v>3.1142241379310348E-2</v>
      </c>
      <c r="CM308">
        <f>0.05*CI308/464</f>
        <v>3.2327586206896554E-2</v>
      </c>
      <c r="CN308" t="e">
        <f>IF(CB308&lt;CJ308,"yes","no")</f>
        <v>#DIV/0!</v>
      </c>
      <c r="CO308" t="e">
        <f>IF(CC308&lt;CK308,"yes","no")</f>
        <v>#DIV/0!</v>
      </c>
      <c r="CP308" t="e">
        <f>IF(CD308&lt;CL308,"yes","no")</f>
        <v>#DIV/0!</v>
      </c>
      <c r="CQ308" t="e">
        <f>IF(CE308&lt;CM308,"yes","no")</f>
        <v>#DIV/0!</v>
      </c>
      <c r="CR308">
        <f>TTEST(AS308:AW308,AD308:AH308,2,2)</f>
        <v>6.3382489469298482E-3</v>
      </c>
      <c r="CS308" t="e">
        <f>TTEST(AS308:AW308,AN308:AR308,2,2)</f>
        <v>#DIV/0!</v>
      </c>
      <c r="CT308" t="e">
        <f>TTEST(AS308:AW308,AX308:BB308,2,2)</f>
        <v>#DIV/0!</v>
      </c>
      <c r="CU308">
        <v>189</v>
      </c>
      <c r="CV308">
        <v>293</v>
      </c>
      <c r="CW308">
        <v>307</v>
      </c>
      <c r="CX308">
        <f t="shared" si="12"/>
        <v>2.036637931034483E-2</v>
      </c>
      <c r="CY308">
        <f t="shared" si="13"/>
        <v>3.157327586206897E-2</v>
      </c>
      <c r="CZ308">
        <f t="shared" si="14"/>
        <v>3.3081896551724138E-2</v>
      </c>
      <c r="DA308" t="str">
        <f>IF(CR308&lt;CX308,"yes","no")</f>
        <v>yes</v>
      </c>
      <c r="DB308" t="e">
        <f>IF(CS308&lt;CY308,"yes","no")</f>
        <v>#DIV/0!</v>
      </c>
      <c r="DC308" t="e">
        <f>IF(CT308&lt;CZ308,"yes","no")</f>
        <v>#DIV/0!</v>
      </c>
    </row>
    <row r="309" spans="1:107" x14ac:dyDescent="0.2">
      <c r="A309" s="2" t="b">
        <v>0</v>
      </c>
      <c r="B309" s="2" t="s">
        <v>79</v>
      </c>
      <c r="C309" s="2" t="s">
        <v>80</v>
      </c>
      <c r="D309" s="2" t="s">
        <v>1638</v>
      </c>
      <c r="E309" s="2" t="s">
        <v>1639</v>
      </c>
      <c r="F309" s="2">
        <v>1</v>
      </c>
      <c r="G309" s="2">
        <v>1</v>
      </c>
      <c r="H309" s="2">
        <v>51</v>
      </c>
      <c r="I309" s="2">
        <v>8.44</v>
      </c>
      <c r="J309" s="2" t="s">
        <v>135</v>
      </c>
      <c r="K309" s="2" t="s">
        <v>514</v>
      </c>
      <c r="L309" s="2" t="s">
        <v>119</v>
      </c>
      <c r="M309" s="2" t="s">
        <v>1640</v>
      </c>
      <c r="N309" s="2" t="s">
        <v>1638</v>
      </c>
      <c r="O309" s="2">
        <v>0.45400000000000001</v>
      </c>
      <c r="P309" s="2">
        <v>0.113</v>
      </c>
      <c r="Q309" s="2">
        <v>0.309</v>
      </c>
      <c r="R309" s="2">
        <v>100</v>
      </c>
      <c r="S309" s="2">
        <v>100</v>
      </c>
      <c r="T309" s="2">
        <v>100</v>
      </c>
      <c r="U309" s="2">
        <v>100</v>
      </c>
      <c r="V309" s="2">
        <v>0.223</v>
      </c>
      <c r="W309" s="2">
        <v>0.67900000000000005</v>
      </c>
      <c r="X309" s="2">
        <v>3.0430000000000001</v>
      </c>
      <c r="Y309" s="2">
        <v>268.2</v>
      </c>
      <c r="Z309" s="2" t="s">
        <v>83</v>
      </c>
      <c r="AA309" s="2">
        <v>121.9</v>
      </c>
      <c r="AB309" s="2">
        <v>27.2</v>
      </c>
      <c r="AC309" s="2">
        <v>82.7</v>
      </c>
      <c r="AD309" s="2">
        <v>614025.375</v>
      </c>
      <c r="AE309" s="2">
        <v>647387.3125</v>
      </c>
      <c r="AF309" s="2">
        <v>820379.5</v>
      </c>
      <c r="AG309" s="2">
        <v>206533.03125</v>
      </c>
      <c r="AH309" s="2" t="s">
        <v>83</v>
      </c>
      <c r="AI309" s="2" t="s">
        <v>83</v>
      </c>
      <c r="AJ309" s="2" t="s">
        <v>83</v>
      </c>
      <c r="AK309" s="2" t="s">
        <v>83</v>
      </c>
      <c r="AL309" s="2" t="s">
        <v>83</v>
      </c>
      <c r="AM309" s="2" t="s">
        <v>83</v>
      </c>
      <c r="AN309" s="2" t="s">
        <v>83</v>
      </c>
      <c r="AO309" s="2" t="s">
        <v>83</v>
      </c>
      <c r="AP309" s="2" t="s">
        <v>83</v>
      </c>
      <c r="AQ309" s="2" t="s">
        <v>83</v>
      </c>
      <c r="AR309" s="2">
        <v>7107.2802734375</v>
      </c>
      <c r="AS309" s="2">
        <v>8694.2431640625</v>
      </c>
      <c r="AT309" s="2" t="s">
        <v>83</v>
      </c>
      <c r="AU309" s="2">
        <v>7813.314453125</v>
      </c>
      <c r="AV309" s="2">
        <v>11864.048828125</v>
      </c>
      <c r="AW309" s="2" t="s">
        <v>83</v>
      </c>
      <c r="AX309" s="2" t="s">
        <v>83</v>
      </c>
      <c r="AY309" s="2" t="s">
        <v>83</v>
      </c>
      <c r="AZ309" s="2" t="s">
        <v>83</v>
      </c>
      <c r="BA309" s="2" t="s">
        <v>83</v>
      </c>
      <c r="BB309" s="2">
        <v>8995.380859375</v>
      </c>
      <c r="BC309" s="2" t="s">
        <v>91</v>
      </c>
      <c r="BD309" s="2" t="s">
        <v>91</v>
      </c>
      <c r="BE309" s="2" t="s">
        <v>91</v>
      </c>
      <c r="BF309" s="2" t="s">
        <v>79</v>
      </c>
      <c r="BG309" s="2" t="s">
        <v>98</v>
      </c>
      <c r="BH309" s="2" t="s">
        <v>98</v>
      </c>
      <c r="BI309" s="2" t="s">
        <v>98</v>
      </c>
      <c r="BJ309" s="2" t="s">
        <v>98</v>
      </c>
      <c r="BK309" s="2" t="s">
        <v>98</v>
      </c>
      <c r="BL309" s="2" t="s">
        <v>98</v>
      </c>
      <c r="BM309" s="2" t="s">
        <v>98</v>
      </c>
      <c r="BN309" s="2" t="s">
        <v>98</v>
      </c>
      <c r="BO309" s="2" t="s">
        <v>98</v>
      </c>
      <c r="BP309" s="2" t="s">
        <v>98</v>
      </c>
      <c r="BQ309" s="2" t="s">
        <v>91</v>
      </c>
      <c r="BR309" s="2" t="s">
        <v>91</v>
      </c>
      <c r="BS309" s="2" t="s">
        <v>98</v>
      </c>
      <c r="BT309" s="2" t="s">
        <v>91</v>
      </c>
      <c r="BU309" s="2" t="s">
        <v>91</v>
      </c>
      <c r="BV309" s="2" t="s">
        <v>98</v>
      </c>
      <c r="BW309" s="2" t="s">
        <v>98</v>
      </c>
      <c r="BX309" s="2" t="s">
        <v>98</v>
      </c>
      <c r="BY309" s="2" t="s">
        <v>98</v>
      </c>
      <c r="BZ309" s="2" t="s">
        <v>98</v>
      </c>
      <c r="CA309" s="2" t="s">
        <v>91</v>
      </c>
      <c r="CB309" t="e">
        <f>TTEST(AS309:AW309,AI309:AM309,2,2)</f>
        <v>#DIV/0!</v>
      </c>
      <c r="CC309" t="e">
        <f>TTEST(AD309:AH309,AI309:AM309,2,2)</f>
        <v>#DIV/0!</v>
      </c>
      <c r="CD309" t="e">
        <f>TTEST(AN309:AR309,AI309:AM309,2,2)</f>
        <v>#DIV/0!</v>
      </c>
      <c r="CE309" t="e">
        <f>TTEST(AX309:BB309,AI309:AM309,2,2)</f>
        <v>#DIV/0!</v>
      </c>
      <c r="CF309">
        <v>277</v>
      </c>
      <c r="CG309">
        <v>291</v>
      </c>
      <c r="CH309">
        <v>295</v>
      </c>
      <c r="CI309">
        <v>301</v>
      </c>
      <c r="CJ309">
        <f>0.05*CF309/464</f>
        <v>2.9849137931034487E-2</v>
      </c>
      <c r="CK309">
        <f>0.05*CG309/464</f>
        <v>3.1357758620689659E-2</v>
      </c>
      <c r="CL309">
        <f>0.05*CH309/464</f>
        <v>3.1788793103448273E-2</v>
      </c>
      <c r="CM309">
        <f>0.05*CI309/464</f>
        <v>3.2435344827586206E-2</v>
      </c>
      <c r="CN309" t="e">
        <f>IF(CB309&lt;CJ309,"yes","no")</f>
        <v>#DIV/0!</v>
      </c>
      <c r="CO309" t="e">
        <f>IF(CC309&lt;CK309,"yes","no")</f>
        <v>#DIV/0!</v>
      </c>
      <c r="CP309" t="e">
        <f>IF(CD309&lt;CL309,"yes","no")</f>
        <v>#DIV/0!</v>
      </c>
      <c r="CQ309" t="e">
        <f>IF(CE309&lt;CM309,"yes","no")</f>
        <v>#DIV/0!</v>
      </c>
      <c r="CR309">
        <f>TTEST(AS309:AW309,AD309:AH309,2,2)</f>
        <v>1.4618194961898869E-2</v>
      </c>
      <c r="CS309" t="e">
        <f>TTEST(AS309:AW309,AN309:AR309,2,2)</f>
        <v>#DIV/0!</v>
      </c>
      <c r="CT309" t="e">
        <f>TTEST(AS309:AW309,AX309:BB309,2,2)</f>
        <v>#DIV/0!</v>
      </c>
      <c r="CU309">
        <v>199</v>
      </c>
      <c r="CV309">
        <v>294</v>
      </c>
      <c r="CW309">
        <v>308</v>
      </c>
      <c r="CX309">
        <f t="shared" si="12"/>
        <v>2.1443965517241381E-2</v>
      </c>
      <c r="CY309">
        <f t="shared" si="13"/>
        <v>3.1681034482758622E-2</v>
      </c>
      <c r="CZ309">
        <f t="shared" si="14"/>
        <v>3.3189655172413797E-2</v>
      </c>
      <c r="DA309" t="str">
        <f>IF(CR309&lt;CX309,"yes","no")</f>
        <v>yes</v>
      </c>
      <c r="DB309" t="e">
        <f>IF(CS309&lt;CY309,"yes","no")</f>
        <v>#DIV/0!</v>
      </c>
      <c r="DC309" t="e">
        <f>IF(CT309&lt;CZ309,"yes","no")</f>
        <v>#DIV/0!</v>
      </c>
    </row>
    <row r="310" spans="1:107" x14ac:dyDescent="0.2">
      <c r="A310" s="2" t="b">
        <v>0</v>
      </c>
      <c r="B310" s="2" t="s">
        <v>79</v>
      </c>
      <c r="C310" s="2" t="s">
        <v>80</v>
      </c>
      <c r="D310" s="2" t="s">
        <v>841</v>
      </c>
      <c r="E310" s="2" t="s">
        <v>842</v>
      </c>
      <c r="F310" s="2">
        <v>2</v>
      </c>
      <c r="G310" s="2">
        <v>1</v>
      </c>
      <c r="H310" s="2">
        <v>14.8</v>
      </c>
      <c r="I310" s="2">
        <v>7.37</v>
      </c>
      <c r="J310" s="2" t="s">
        <v>83</v>
      </c>
      <c r="K310" s="2" t="s">
        <v>83</v>
      </c>
      <c r="L310" s="2" t="s">
        <v>83</v>
      </c>
      <c r="M310" s="2" t="s">
        <v>83</v>
      </c>
      <c r="N310" s="2" t="s">
        <v>841</v>
      </c>
      <c r="O310" s="2">
        <v>0.01</v>
      </c>
      <c r="P310" s="2">
        <v>1.347</v>
      </c>
      <c r="Q310" s="2">
        <v>0.01</v>
      </c>
      <c r="R310" s="2">
        <v>100</v>
      </c>
      <c r="S310" s="2" t="s">
        <v>83</v>
      </c>
      <c r="T310" s="2">
        <v>100</v>
      </c>
      <c r="U310" s="2" t="s">
        <v>83</v>
      </c>
      <c r="V310" s="2">
        <v>100</v>
      </c>
      <c r="W310" s="2" t="s">
        <v>83</v>
      </c>
      <c r="X310" s="2">
        <v>0.01</v>
      </c>
      <c r="Y310" s="2">
        <v>191.7</v>
      </c>
      <c r="Z310" s="2" t="s">
        <v>83</v>
      </c>
      <c r="AA310" s="2" t="s">
        <v>83</v>
      </c>
      <c r="AB310" s="2">
        <v>308.3</v>
      </c>
      <c r="AC310" s="2" t="s">
        <v>83</v>
      </c>
      <c r="AD310" s="2">
        <v>194311.796875</v>
      </c>
      <c r="AE310" s="2">
        <v>112901.21875</v>
      </c>
      <c r="AF310" s="2">
        <v>135410</v>
      </c>
      <c r="AG310" s="2">
        <v>383058.09375</v>
      </c>
      <c r="AH310" s="2">
        <v>334400.75</v>
      </c>
      <c r="AI310" s="2" t="s">
        <v>83</v>
      </c>
      <c r="AJ310" s="2" t="s">
        <v>83</v>
      </c>
      <c r="AK310" s="2" t="s">
        <v>83</v>
      </c>
      <c r="AL310" s="2" t="s">
        <v>83</v>
      </c>
      <c r="AM310" s="2" t="s">
        <v>83</v>
      </c>
      <c r="AN310" s="2" t="s">
        <v>83</v>
      </c>
      <c r="AO310" s="2" t="s">
        <v>83</v>
      </c>
      <c r="AP310" s="2" t="s">
        <v>83</v>
      </c>
      <c r="AQ310" s="2" t="s">
        <v>83</v>
      </c>
      <c r="AR310" s="2" t="s">
        <v>83</v>
      </c>
      <c r="AS310" s="2" t="s">
        <v>83</v>
      </c>
      <c r="AT310" s="2">
        <v>56907.25</v>
      </c>
      <c r="AU310" s="2">
        <v>43786.265625</v>
      </c>
      <c r="AV310" s="2">
        <v>40602.94921875</v>
      </c>
      <c r="AW310" s="2">
        <v>30090.736328125</v>
      </c>
      <c r="AX310" s="2" t="s">
        <v>83</v>
      </c>
      <c r="AY310" s="2" t="s">
        <v>83</v>
      </c>
      <c r="AZ310" s="2" t="s">
        <v>83</v>
      </c>
      <c r="BA310" s="2" t="s">
        <v>83</v>
      </c>
      <c r="BB310" s="2" t="s">
        <v>83</v>
      </c>
      <c r="BC310" s="2" t="s">
        <v>79</v>
      </c>
      <c r="BD310" s="2" t="s">
        <v>79</v>
      </c>
      <c r="BE310" s="2" t="s">
        <v>79</v>
      </c>
      <c r="BF310" s="2" t="s">
        <v>79</v>
      </c>
      <c r="BG310" s="2" t="s">
        <v>79</v>
      </c>
      <c r="BH310" s="2" t="s">
        <v>98</v>
      </c>
      <c r="BI310" s="2" t="s">
        <v>98</v>
      </c>
      <c r="BJ310" s="2" t="s">
        <v>98</v>
      </c>
      <c r="BK310" s="2" t="s">
        <v>98</v>
      </c>
      <c r="BL310" s="2" t="s">
        <v>98</v>
      </c>
      <c r="BM310" s="2" t="s">
        <v>98</v>
      </c>
      <c r="BN310" s="2" t="s">
        <v>98</v>
      </c>
      <c r="BO310" s="2" t="s">
        <v>98</v>
      </c>
      <c r="BP310" s="2" t="s">
        <v>98</v>
      </c>
      <c r="BQ310" s="2" t="s">
        <v>98</v>
      </c>
      <c r="BR310" s="2" t="s">
        <v>98</v>
      </c>
      <c r="BS310" s="2" t="s">
        <v>79</v>
      </c>
      <c r="BT310" s="2" t="s">
        <v>79</v>
      </c>
      <c r="BU310" s="2" t="s">
        <v>79</v>
      </c>
      <c r="BV310" s="2" t="s">
        <v>91</v>
      </c>
      <c r="BW310" s="2" t="s">
        <v>98</v>
      </c>
      <c r="BX310" s="2" t="s">
        <v>98</v>
      </c>
      <c r="BY310" s="2" t="s">
        <v>98</v>
      </c>
      <c r="BZ310" s="2" t="s">
        <v>98</v>
      </c>
      <c r="CA310" s="2" t="s">
        <v>98</v>
      </c>
      <c r="CB310" t="e">
        <f>TTEST(AS310:AW310,AI310:AM310,2,2)</f>
        <v>#DIV/0!</v>
      </c>
      <c r="CC310" t="e">
        <f>TTEST(AD310:AH310,AI310:AM310,2,2)</f>
        <v>#DIV/0!</v>
      </c>
      <c r="CD310" t="e">
        <f>TTEST(AN310:AR310,AI310:AM310,2,2)</f>
        <v>#DIV/0!</v>
      </c>
      <c r="CE310" t="e">
        <f>TTEST(AX310:BB310,AI310:AM310,2,2)</f>
        <v>#DIV/0!</v>
      </c>
      <c r="CF310">
        <v>280</v>
      </c>
      <c r="CG310">
        <v>294</v>
      </c>
      <c r="CH310">
        <v>298</v>
      </c>
      <c r="CI310">
        <v>303</v>
      </c>
      <c r="CJ310">
        <f>0.05*CF310/464</f>
        <v>3.017241379310345E-2</v>
      </c>
      <c r="CK310">
        <f>0.05*CG310/464</f>
        <v>3.1681034482758622E-2</v>
      </c>
      <c r="CL310">
        <f>0.05*CH310/464</f>
        <v>3.2112068965517243E-2</v>
      </c>
      <c r="CM310">
        <f>0.05*CI310/464</f>
        <v>3.2650862068965517E-2</v>
      </c>
      <c r="CN310" t="e">
        <f>IF(CB310&lt;CJ310,"yes","no")</f>
        <v>#DIV/0!</v>
      </c>
      <c r="CO310" t="e">
        <f>IF(CC310&lt;CK310,"yes","no")</f>
        <v>#DIV/0!</v>
      </c>
      <c r="CP310" t="e">
        <f>IF(CD310&lt;CL310,"yes","no")</f>
        <v>#DIV/0!</v>
      </c>
      <c r="CQ310" t="e">
        <f>IF(CE310&lt;CM310,"yes","no")</f>
        <v>#DIV/0!</v>
      </c>
      <c r="CR310">
        <f>TTEST(AS310:AW310,AD310:AH310,2,2)</f>
        <v>1.7766677876195246E-2</v>
      </c>
      <c r="CS310" t="e">
        <f>TTEST(AS310:AW310,AN310:AR310,2,2)</f>
        <v>#DIV/0!</v>
      </c>
      <c r="CT310" t="e">
        <f>TTEST(AS310:AW310,AX310:BB310,2,2)</f>
        <v>#DIV/0!</v>
      </c>
      <c r="CU310">
        <v>203</v>
      </c>
      <c r="CV310">
        <v>296</v>
      </c>
      <c r="CW310">
        <v>309</v>
      </c>
      <c r="CX310">
        <f t="shared" si="12"/>
        <v>2.1875000000000002E-2</v>
      </c>
      <c r="CY310">
        <f t="shared" si="13"/>
        <v>3.1896551724137932E-2</v>
      </c>
      <c r="CZ310">
        <f t="shared" si="14"/>
        <v>3.3297413793103449E-2</v>
      </c>
      <c r="DA310" t="str">
        <f>IF(CR310&lt;CX310,"yes","no")</f>
        <v>yes</v>
      </c>
      <c r="DB310" t="e">
        <f>IF(CS310&lt;CY310,"yes","no")</f>
        <v>#DIV/0!</v>
      </c>
      <c r="DC310" t="e">
        <f>IF(CT310&lt;CZ310,"yes","no")</f>
        <v>#DIV/0!</v>
      </c>
    </row>
    <row r="311" spans="1:107" x14ac:dyDescent="0.2">
      <c r="A311" s="2" t="b">
        <v>0</v>
      </c>
      <c r="B311" s="2" t="s">
        <v>79</v>
      </c>
      <c r="C311" s="2" t="s">
        <v>80</v>
      </c>
      <c r="D311" s="2" t="s">
        <v>1329</v>
      </c>
      <c r="E311" s="2" t="s">
        <v>1330</v>
      </c>
      <c r="F311" s="2">
        <v>1</v>
      </c>
      <c r="G311" s="2">
        <v>1</v>
      </c>
      <c r="H311" s="2">
        <v>49.1</v>
      </c>
      <c r="I311" s="2">
        <v>5.73</v>
      </c>
      <c r="J311" s="2" t="s">
        <v>680</v>
      </c>
      <c r="K311" s="2" t="s">
        <v>84</v>
      </c>
      <c r="L311" s="2" t="s">
        <v>119</v>
      </c>
      <c r="M311" s="2" t="s">
        <v>83</v>
      </c>
      <c r="N311" s="2" t="s">
        <v>1329</v>
      </c>
      <c r="O311" s="2">
        <v>3.1850000000000001</v>
      </c>
      <c r="P311" s="2">
        <v>0.77900000000000003</v>
      </c>
      <c r="Q311" s="2">
        <v>0.01</v>
      </c>
      <c r="R311" s="2">
        <v>100</v>
      </c>
      <c r="S311" s="2">
        <v>100</v>
      </c>
      <c r="T311" s="2">
        <v>100</v>
      </c>
      <c r="U311" s="2" t="s">
        <v>83</v>
      </c>
      <c r="V311" s="2">
        <v>0.246</v>
      </c>
      <c r="W311" s="2">
        <v>0.01</v>
      </c>
      <c r="X311" s="2">
        <v>0.01</v>
      </c>
      <c r="Y311" s="2">
        <v>100.6</v>
      </c>
      <c r="Z311" s="2" t="s">
        <v>83</v>
      </c>
      <c r="AA311" s="2">
        <v>320.5</v>
      </c>
      <c r="AB311" s="2">
        <v>78.900000000000006</v>
      </c>
      <c r="AC311" s="2" t="s">
        <v>83</v>
      </c>
      <c r="AD311" s="2">
        <v>143334.21875</v>
      </c>
      <c r="AE311" s="2">
        <v>77545.421875</v>
      </c>
      <c r="AF311" s="2" t="s">
        <v>83</v>
      </c>
      <c r="AG311" s="2">
        <v>212347.5</v>
      </c>
      <c r="AH311" s="2">
        <v>328644.09375</v>
      </c>
      <c r="AI311" s="2" t="s">
        <v>83</v>
      </c>
      <c r="AJ311" s="2" t="s">
        <v>83</v>
      </c>
      <c r="AK311" s="2" t="s">
        <v>83</v>
      </c>
      <c r="AL311" s="2" t="s">
        <v>83</v>
      </c>
      <c r="AM311" s="2" t="s">
        <v>83</v>
      </c>
      <c r="AN311" s="2">
        <v>7688.056640625</v>
      </c>
      <c r="AO311" s="2" t="s">
        <v>83</v>
      </c>
      <c r="AP311" s="2" t="s">
        <v>83</v>
      </c>
      <c r="AQ311" s="2" t="s">
        <v>83</v>
      </c>
      <c r="AR311" s="2" t="s">
        <v>83</v>
      </c>
      <c r="AS311" s="2">
        <v>9642.81640625</v>
      </c>
      <c r="AT311" s="2">
        <v>29431.017578125</v>
      </c>
      <c r="AU311" s="2">
        <v>21360.5234375</v>
      </c>
      <c r="AV311" s="2" t="s">
        <v>83</v>
      </c>
      <c r="AW311" s="2">
        <v>16726.232421875</v>
      </c>
      <c r="AX311" s="2" t="s">
        <v>83</v>
      </c>
      <c r="AY311" s="2" t="s">
        <v>83</v>
      </c>
      <c r="AZ311" s="2" t="s">
        <v>83</v>
      </c>
      <c r="BA311" s="2" t="s">
        <v>83</v>
      </c>
      <c r="BB311" s="2" t="s">
        <v>83</v>
      </c>
      <c r="BC311" s="2" t="s">
        <v>79</v>
      </c>
      <c r="BD311" s="2" t="s">
        <v>91</v>
      </c>
      <c r="BE311" s="2" t="s">
        <v>79</v>
      </c>
      <c r="BF311" s="2" t="s">
        <v>79</v>
      </c>
      <c r="BG311" s="2" t="s">
        <v>79</v>
      </c>
      <c r="BH311" s="2" t="s">
        <v>98</v>
      </c>
      <c r="BI311" s="2" t="s">
        <v>98</v>
      </c>
      <c r="BJ311" s="2" t="s">
        <v>98</v>
      </c>
      <c r="BK311" s="2" t="s">
        <v>98</v>
      </c>
      <c r="BL311" s="2" t="s">
        <v>98</v>
      </c>
      <c r="BM311" s="2" t="s">
        <v>91</v>
      </c>
      <c r="BN311" s="2" t="s">
        <v>98</v>
      </c>
      <c r="BO311" s="2" t="s">
        <v>98</v>
      </c>
      <c r="BP311" s="2" t="s">
        <v>98</v>
      </c>
      <c r="BQ311" s="2" t="s">
        <v>98</v>
      </c>
      <c r="BR311" s="2" t="s">
        <v>91</v>
      </c>
      <c r="BS311" s="2" t="s">
        <v>91</v>
      </c>
      <c r="BT311" s="2" t="s">
        <v>91</v>
      </c>
      <c r="BU311" s="2" t="s">
        <v>98</v>
      </c>
      <c r="BV311" s="2" t="s">
        <v>91</v>
      </c>
      <c r="BW311" s="2" t="s">
        <v>98</v>
      </c>
      <c r="BX311" s="2" t="s">
        <v>98</v>
      </c>
      <c r="BY311" s="2" t="s">
        <v>98</v>
      </c>
      <c r="BZ311" s="2" t="s">
        <v>98</v>
      </c>
      <c r="CA311" s="2" t="s">
        <v>98</v>
      </c>
      <c r="CB311" t="e">
        <f>TTEST(AS311:AW311,AI311:AM311,2,2)</f>
        <v>#DIV/0!</v>
      </c>
      <c r="CC311" t="e">
        <f>TTEST(AD311:AH311,AI311:AM311,2,2)</f>
        <v>#DIV/0!</v>
      </c>
      <c r="CD311" t="e">
        <f>TTEST(AN311:AR311,AI311:AM311,2,2)</f>
        <v>#DIV/0!</v>
      </c>
      <c r="CE311" t="e">
        <f>TTEST(AX311:BB311,AI311:AM311,2,2)</f>
        <v>#DIV/0!</v>
      </c>
      <c r="CF311">
        <v>281</v>
      </c>
      <c r="CG311">
        <v>295</v>
      </c>
      <c r="CH311">
        <v>299</v>
      </c>
      <c r="CI311">
        <v>304</v>
      </c>
      <c r="CJ311">
        <f>0.05*CF311/464</f>
        <v>3.0280172413793105E-2</v>
      </c>
      <c r="CK311">
        <f>0.05*CG311/464</f>
        <v>3.1788793103448273E-2</v>
      </c>
      <c r="CL311">
        <f>0.05*CH311/464</f>
        <v>3.2219827586206902E-2</v>
      </c>
      <c r="CM311">
        <f>0.05*CI311/464</f>
        <v>3.2758620689655175E-2</v>
      </c>
      <c r="CN311" t="e">
        <f>IF(CB311&lt;CJ311,"yes","no")</f>
        <v>#DIV/0!</v>
      </c>
      <c r="CO311" t="e">
        <f>IF(CC311&lt;CK311,"yes","no")</f>
        <v>#DIV/0!</v>
      </c>
      <c r="CP311" t="e">
        <f>IF(CD311&lt;CL311,"yes","no")</f>
        <v>#DIV/0!</v>
      </c>
      <c r="CQ311" t="e">
        <f>IF(CE311&lt;CM311,"yes","no")</f>
        <v>#DIV/0!</v>
      </c>
      <c r="CR311">
        <f>TTEST(AS311:AW311,AD311:AH311,2,2)</f>
        <v>1.9053706784904451E-2</v>
      </c>
      <c r="CS311" t="e">
        <f>TTEST(AS311:AW311,AN311:AR311,2,2)</f>
        <v>#DIV/0!</v>
      </c>
      <c r="CT311" t="e">
        <f>TTEST(AS311:AW311,AX311:BB311,2,2)</f>
        <v>#DIV/0!</v>
      </c>
      <c r="CU311">
        <v>205</v>
      </c>
      <c r="CV311">
        <v>297</v>
      </c>
      <c r="CW311">
        <v>310</v>
      </c>
      <c r="CX311">
        <f t="shared" si="12"/>
        <v>2.2090517241379309E-2</v>
      </c>
      <c r="CY311">
        <f t="shared" si="13"/>
        <v>3.2004310344827591E-2</v>
      </c>
      <c r="CZ311">
        <f t="shared" si="14"/>
        <v>3.3405172413793101E-2</v>
      </c>
      <c r="DA311" t="str">
        <f>IF(CR311&lt;CX311,"yes","no")</f>
        <v>yes</v>
      </c>
      <c r="DB311" t="e">
        <f>IF(CS311&lt;CY311,"yes","no")</f>
        <v>#DIV/0!</v>
      </c>
      <c r="DC311" t="e">
        <f>IF(CT311&lt;CZ311,"yes","no")</f>
        <v>#DIV/0!</v>
      </c>
    </row>
    <row r="312" spans="1:107" x14ac:dyDescent="0.2">
      <c r="A312" s="2" t="b">
        <v>0</v>
      </c>
      <c r="B312" s="2" t="s">
        <v>79</v>
      </c>
      <c r="C312" s="2" t="s">
        <v>80</v>
      </c>
      <c r="D312" s="2" t="s">
        <v>1059</v>
      </c>
      <c r="E312" s="2" t="s">
        <v>1060</v>
      </c>
      <c r="F312" s="2">
        <v>1</v>
      </c>
      <c r="G312" s="2">
        <v>1</v>
      </c>
      <c r="H312" s="2">
        <v>13.6</v>
      </c>
      <c r="I312" s="2">
        <v>4.5599999999999996</v>
      </c>
      <c r="J312" s="2" t="s">
        <v>254</v>
      </c>
      <c r="K312" s="2" t="s">
        <v>95</v>
      </c>
      <c r="L312" s="2" t="s">
        <v>83</v>
      </c>
      <c r="M312" s="2" t="s">
        <v>1061</v>
      </c>
      <c r="N312" s="2" t="s">
        <v>1059</v>
      </c>
      <c r="O312" s="2">
        <v>0.01</v>
      </c>
      <c r="P312" s="2">
        <v>1.661</v>
      </c>
      <c r="Q312" s="2">
        <v>0.01</v>
      </c>
      <c r="R312" s="2">
        <v>100</v>
      </c>
      <c r="S312" s="2" t="s">
        <v>83</v>
      </c>
      <c r="T312" s="2">
        <v>100</v>
      </c>
      <c r="U312" s="2" t="s">
        <v>83</v>
      </c>
      <c r="V312" s="2">
        <v>100</v>
      </c>
      <c r="W312" s="2" t="s">
        <v>83</v>
      </c>
      <c r="X312" s="2">
        <v>0.01</v>
      </c>
      <c r="Y312" s="2">
        <v>187.8</v>
      </c>
      <c r="Z312" s="2" t="s">
        <v>83</v>
      </c>
      <c r="AA312" s="2" t="s">
        <v>83</v>
      </c>
      <c r="AB312" s="2">
        <v>312.2</v>
      </c>
      <c r="AC312" s="2" t="s">
        <v>83</v>
      </c>
      <c r="AD312" s="2">
        <v>239625.078125</v>
      </c>
      <c r="AE312" s="2">
        <v>78785.453125</v>
      </c>
      <c r="AF312" s="2" t="s">
        <v>83</v>
      </c>
      <c r="AG312" s="2">
        <v>594128</v>
      </c>
      <c r="AH312" s="2">
        <v>547406.5</v>
      </c>
      <c r="AI312" s="2" t="s">
        <v>83</v>
      </c>
      <c r="AJ312" s="2" t="s">
        <v>83</v>
      </c>
      <c r="AK312" s="2" t="s">
        <v>83</v>
      </c>
      <c r="AL312" s="2" t="s">
        <v>83</v>
      </c>
      <c r="AM312" s="2" t="s">
        <v>83</v>
      </c>
      <c r="AN312" s="2" t="s">
        <v>83</v>
      </c>
      <c r="AO312" s="2" t="s">
        <v>83</v>
      </c>
      <c r="AP312" s="2" t="s">
        <v>83</v>
      </c>
      <c r="AQ312" s="2" t="s">
        <v>83</v>
      </c>
      <c r="AR312" s="2" t="s">
        <v>83</v>
      </c>
      <c r="AS312" s="2">
        <v>70763.1953125</v>
      </c>
      <c r="AT312" s="2">
        <v>140614.53125</v>
      </c>
      <c r="AU312" s="2">
        <v>61029.96484375</v>
      </c>
      <c r="AV312" s="2">
        <v>78929.9765625</v>
      </c>
      <c r="AW312" s="2">
        <v>102644.8515625</v>
      </c>
      <c r="AX312" s="2" t="s">
        <v>83</v>
      </c>
      <c r="AY312" s="2" t="s">
        <v>83</v>
      </c>
      <c r="AZ312" s="2" t="s">
        <v>83</v>
      </c>
      <c r="BA312" s="2" t="s">
        <v>83</v>
      </c>
      <c r="BB312" s="2" t="s">
        <v>83</v>
      </c>
      <c r="BC312" s="2" t="s">
        <v>79</v>
      </c>
      <c r="BD312" s="2" t="s">
        <v>79</v>
      </c>
      <c r="BE312" s="2" t="s">
        <v>79</v>
      </c>
      <c r="BF312" s="2" t="s">
        <v>79</v>
      </c>
      <c r="BG312" s="2" t="s">
        <v>79</v>
      </c>
      <c r="BH312" s="2" t="s">
        <v>98</v>
      </c>
      <c r="BI312" s="2" t="s">
        <v>98</v>
      </c>
      <c r="BJ312" s="2" t="s">
        <v>98</v>
      </c>
      <c r="BK312" s="2" t="s">
        <v>98</v>
      </c>
      <c r="BL312" s="2" t="s">
        <v>98</v>
      </c>
      <c r="BM312" s="2" t="s">
        <v>98</v>
      </c>
      <c r="BN312" s="2" t="s">
        <v>98</v>
      </c>
      <c r="BO312" s="2" t="s">
        <v>98</v>
      </c>
      <c r="BP312" s="2" t="s">
        <v>98</v>
      </c>
      <c r="BQ312" s="2" t="s">
        <v>98</v>
      </c>
      <c r="BR312" s="2" t="s">
        <v>79</v>
      </c>
      <c r="BS312" s="2" t="s">
        <v>79</v>
      </c>
      <c r="BT312" s="2" t="s">
        <v>79</v>
      </c>
      <c r="BU312" s="2" t="s">
        <v>79</v>
      </c>
      <c r="BV312" s="2" t="s">
        <v>79</v>
      </c>
      <c r="BW312" s="2" t="s">
        <v>91</v>
      </c>
      <c r="BX312" s="2" t="s">
        <v>91</v>
      </c>
      <c r="BY312" s="2" t="s">
        <v>91</v>
      </c>
      <c r="BZ312" s="2" t="s">
        <v>91</v>
      </c>
      <c r="CA312" s="2" t="s">
        <v>91</v>
      </c>
      <c r="CB312" t="e">
        <f>TTEST(AS312:AW312,AI312:AM312,2,2)</f>
        <v>#DIV/0!</v>
      </c>
      <c r="CC312" t="e">
        <f>TTEST(AD312:AH312,AI312:AM312,2,2)</f>
        <v>#DIV/0!</v>
      </c>
      <c r="CD312" t="e">
        <f>TTEST(AN312:AR312,AI312:AM312,2,2)</f>
        <v>#DIV/0!</v>
      </c>
      <c r="CE312" t="e">
        <f>TTEST(AX312:BB312,AI312:AM312,2,2)</f>
        <v>#DIV/0!</v>
      </c>
      <c r="CF312">
        <v>288</v>
      </c>
      <c r="CG312">
        <v>302</v>
      </c>
      <c r="CH312">
        <v>306</v>
      </c>
      <c r="CI312">
        <v>306</v>
      </c>
      <c r="CJ312">
        <f>0.05*CF312/464</f>
        <v>3.1034482758620689E-2</v>
      </c>
      <c r="CK312">
        <f>0.05*CG312/464</f>
        <v>3.2543103448275865E-2</v>
      </c>
      <c r="CL312">
        <f>0.05*CH312/464</f>
        <v>3.2974137931034486E-2</v>
      </c>
      <c r="CM312">
        <f>0.05*CI312/464</f>
        <v>3.2974137931034486E-2</v>
      </c>
      <c r="CN312" t="e">
        <f>IF(CB312&lt;CJ312,"yes","no")</f>
        <v>#DIV/0!</v>
      </c>
      <c r="CO312" t="e">
        <f>IF(CC312&lt;CK312,"yes","no")</f>
        <v>#DIV/0!</v>
      </c>
      <c r="CP312" t="e">
        <f>IF(CD312&lt;CL312,"yes","no")</f>
        <v>#DIV/0!</v>
      </c>
      <c r="CQ312" t="e">
        <f>IF(CE312&lt;CM312,"yes","no")</f>
        <v>#DIV/0!</v>
      </c>
      <c r="CR312">
        <f>TTEST(AS312:AW312,AD312:AH312,2,2)</f>
        <v>4.1130548344286026E-2</v>
      </c>
      <c r="CS312" t="e">
        <f>TTEST(AS312:AW312,AN312:AR312,2,2)</f>
        <v>#DIV/0!</v>
      </c>
      <c r="CT312" t="e">
        <f>TTEST(AS312:AW312,AX312:BB312,2,2)</f>
        <v>#DIV/0!</v>
      </c>
      <c r="CU312">
        <v>224</v>
      </c>
      <c r="CV312">
        <v>299</v>
      </c>
      <c r="CW312">
        <v>311</v>
      </c>
      <c r="CX312">
        <f t="shared" si="12"/>
        <v>2.4137931034482762E-2</v>
      </c>
      <c r="CY312">
        <f t="shared" si="13"/>
        <v>3.2219827586206902E-2</v>
      </c>
      <c r="CZ312">
        <f t="shared" si="14"/>
        <v>3.351293103448276E-2</v>
      </c>
      <c r="DA312" t="str">
        <f>IF(CR312&lt;CX312,"yes","no")</f>
        <v>no</v>
      </c>
      <c r="DB312" t="e">
        <f>IF(CS312&lt;CY312,"yes","no")</f>
        <v>#DIV/0!</v>
      </c>
      <c r="DC312" t="e">
        <f>IF(CT312&lt;CZ312,"yes","no")</f>
        <v>#DIV/0!</v>
      </c>
    </row>
    <row r="313" spans="1:107" x14ac:dyDescent="0.2">
      <c r="A313" s="2" t="b">
        <v>0</v>
      </c>
      <c r="B313" s="2" t="s">
        <v>79</v>
      </c>
      <c r="C313" s="2" t="s">
        <v>80</v>
      </c>
      <c r="D313" s="2" t="s">
        <v>582</v>
      </c>
      <c r="E313" s="2" t="s">
        <v>583</v>
      </c>
      <c r="F313" s="2">
        <v>2</v>
      </c>
      <c r="G313" s="2">
        <v>1</v>
      </c>
      <c r="H313" s="2">
        <v>14.2</v>
      </c>
      <c r="I313" s="2">
        <v>7.12</v>
      </c>
      <c r="J313" s="2" t="s">
        <v>254</v>
      </c>
      <c r="K313" s="2" t="s">
        <v>84</v>
      </c>
      <c r="L313" s="2" t="s">
        <v>83</v>
      </c>
      <c r="M313" s="2" t="s">
        <v>83</v>
      </c>
      <c r="N313" s="2" t="s">
        <v>582</v>
      </c>
      <c r="O313" s="2">
        <v>0.01</v>
      </c>
      <c r="P313" s="2">
        <v>2.1219999999999999</v>
      </c>
      <c r="Q313" s="2">
        <v>0.01</v>
      </c>
      <c r="R313" s="2">
        <v>100</v>
      </c>
      <c r="S313" s="2" t="s">
        <v>83</v>
      </c>
      <c r="T313" s="2">
        <v>100</v>
      </c>
      <c r="U313" s="2" t="s">
        <v>83</v>
      </c>
      <c r="V313" s="2">
        <v>100</v>
      </c>
      <c r="W313" s="2" t="s">
        <v>83</v>
      </c>
      <c r="X313" s="2">
        <v>0.01</v>
      </c>
      <c r="Y313" s="2">
        <v>150.80000000000001</v>
      </c>
      <c r="Z313" s="2" t="s">
        <v>83</v>
      </c>
      <c r="AA313" s="2" t="s">
        <v>83</v>
      </c>
      <c r="AB313" s="2">
        <v>349.2</v>
      </c>
      <c r="AC313" s="2" t="s">
        <v>83</v>
      </c>
      <c r="AD313" s="2">
        <v>77924.7109375</v>
      </c>
      <c r="AE313" s="2">
        <v>44040.84765625</v>
      </c>
      <c r="AF313" s="2" t="s">
        <v>83</v>
      </c>
      <c r="AG313" s="2">
        <v>200783.171875</v>
      </c>
      <c r="AH313" s="2">
        <v>195350.65625</v>
      </c>
      <c r="AI313" s="2" t="s">
        <v>83</v>
      </c>
      <c r="AJ313" s="2" t="s">
        <v>83</v>
      </c>
      <c r="AK313" s="2" t="s">
        <v>83</v>
      </c>
      <c r="AL313" s="2" t="s">
        <v>83</v>
      </c>
      <c r="AM313" s="2" t="s">
        <v>83</v>
      </c>
      <c r="AN313" s="2" t="s">
        <v>83</v>
      </c>
      <c r="AO313" s="2" t="s">
        <v>83</v>
      </c>
      <c r="AP313" s="2" t="s">
        <v>83</v>
      </c>
      <c r="AQ313" s="2" t="s">
        <v>83</v>
      </c>
      <c r="AR313" s="2" t="s">
        <v>83</v>
      </c>
      <c r="AS313" s="2">
        <v>34754.13671875</v>
      </c>
      <c r="AT313" s="2">
        <v>63500.2890625</v>
      </c>
      <c r="AU313" s="2">
        <v>24242.521484375</v>
      </c>
      <c r="AV313" s="2">
        <v>39012.00390625</v>
      </c>
      <c r="AW313" s="2">
        <v>40678.34375</v>
      </c>
      <c r="AX313" s="2" t="s">
        <v>83</v>
      </c>
      <c r="AY313" s="2" t="s">
        <v>83</v>
      </c>
      <c r="AZ313" s="2" t="s">
        <v>83</v>
      </c>
      <c r="BA313" s="2" t="s">
        <v>83</v>
      </c>
      <c r="BB313" s="2" t="s">
        <v>83</v>
      </c>
      <c r="BC313" s="2" t="s">
        <v>79</v>
      </c>
      <c r="BD313" s="2" t="s">
        <v>91</v>
      </c>
      <c r="BE313" s="2" t="s">
        <v>79</v>
      </c>
      <c r="BF313" s="2" t="s">
        <v>79</v>
      </c>
      <c r="BG313" s="2" t="s">
        <v>79</v>
      </c>
      <c r="BH313" s="2" t="s">
        <v>98</v>
      </c>
      <c r="BI313" s="2" t="s">
        <v>98</v>
      </c>
      <c r="BJ313" s="2" t="s">
        <v>98</v>
      </c>
      <c r="BK313" s="2" t="s">
        <v>98</v>
      </c>
      <c r="BL313" s="2" t="s">
        <v>98</v>
      </c>
      <c r="BM313" s="2" t="s">
        <v>98</v>
      </c>
      <c r="BN313" s="2" t="s">
        <v>98</v>
      </c>
      <c r="BO313" s="2" t="s">
        <v>98</v>
      </c>
      <c r="BP313" s="2" t="s">
        <v>98</v>
      </c>
      <c r="BQ313" s="2" t="s">
        <v>98</v>
      </c>
      <c r="BR313" s="2" t="s">
        <v>79</v>
      </c>
      <c r="BS313" s="2" t="s">
        <v>79</v>
      </c>
      <c r="BT313" s="2" t="s">
        <v>79</v>
      </c>
      <c r="BU313" s="2" t="s">
        <v>79</v>
      </c>
      <c r="BV313" s="2" t="s">
        <v>91</v>
      </c>
      <c r="BW313" s="2" t="s">
        <v>98</v>
      </c>
      <c r="BX313" s="2" t="s">
        <v>98</v>
      </c>
      <c r="BY313" s="2" t="s">
        <v>98</v>
      </c>
      <c r="BZ313" s="2" t="s">
        <v>98</v>
      </c>
      <c r="CA313" s="2" t="s">
        <v>98</v>
      </c>
      <c r="CB313" t="e">
        <f>TTEST(AS313:AW313,AI313:AM313,2,2)</f>
        <v>#DIV/0!</v>
      </c>
      <c r="CC313" t="e">
        <f>TTEST(AD313:AH313,AI313:AM313,2,2)</f>
        <v>#DIV/0!</v>
      </c>
      <c r="CD313" t="e">
        <f>TTEST(AN313:AR313,AI313:AM313,2,2)</f>
        <v>#DIV/0!</v>
      </c>
      <c r="CE313" t="e">
        <f>TTEST(AX313:BB313,AI313:AM313,2,2)</f>
        <v>#DIV/0!</v>
      </c>
      <c r="CF313">
        <v>289</v>
      </c>
      <c r="CG313">
        <v>303</v>
      </c>
      <c r="CH313">
        <v>307</v>
      </c>
      <c r="CI313">
        <v>307</v>
      </c>
      <c r="CJ313">
        <f>0.05*CF313/464</f>
        <v>3.1142241379310348E-2</v>
      </c>
      <c r="CK313">
        <f>0.05*CG313/464</f>
        <v>3.2650862068965517E-2</v>
      </c>
      <c r="CL313">
        <f>0.05*CH313/464</f>
        <v>3.3081896551724138E-2</v>
      </c>
      <c r="CM313">
        <f>0.05*CI313/464</f>
        <v>3.3081896551724138E-2</v>
      </c>
      <c r="CN313" t="e">
        <f>IF(CB313&lt;CJ313,"yes","no")</f>
        <v>#DIV/0!</v>
      </c>
      <c r="CO313" t="e">
        <f>IF(CC313&lt;CK313,"yes","no")</f>
        <v>#DIV/0!</v>
      </c>
      <c r="CP313" t="e">
        <f>IF(CD313&lt;CL313,"yes","no")</f>
        <v>#DIV/0!</v>
      </c>
      <c r="CQ313" t="e">
        <f>IF(CE313&lt;CM313,"yes","no")</f>
        <v>#DIV/0!</v>
      </c>
      <c r="CR313">
        <f>TTEST(AS313:AW313,AD313:AH313,2,2)</f>
        <v>4.2731368098073229E-2</v>
      </c>
      <c r="CS313" t="e">
        <f>TTEST(AS313:AW313,AN313:AR313,2,2)</f>
        <v>#DIV/0!</v>
      </c>
      <c r="CT313" t="e">
        <f>TTEST(AS313:AW313,AX313:BB313,2,2)</f>
        <v>#DIV/0!</v>
      </c>
      <c r="CU313">
        <v>225</v>
      </c>
      <c r="CV313">
        <v>300</v>
      </c>
      <c r="CW313">
        <v>312</v>
      </c>
      <c r="CX313">
        <f t="shared" si="12"/>
        <v>2.4245689655172414E-2</v>
      </c>
      <c r="CY313">
        <f t="shared" si="13"/>
        <v>3.2327586206896554E-2</v>
      </c>
      <c r="CZ313">
        <f t="shared" si="14"/>
        <v>3.3620689655172419E-2</v>
      </c>
      <c r="DA313" t="str">
        <f>IF(CR313&lt;CX313,"yes","no")</f>
        <v>no</v>
      </c>
      <c r="DB313" t="e">
        <f>IF(CS313&lt;CY313,"yes","no")</f>
        <v>#DIV/0!</v>
      </c>
      <c r="DC313" t="e">
        <f>IF(CT313&lt;CZ313,"yes","no")</f>
        <v>#DIV/0!</v>
      </c>
    </row>
    <row r="314" spans="1:107" x14ac:dyDescent="0.2">
      <c r="A314" s="2" t="b">
        <v>0</v>
      </c>
      <c r="B314" s="2" t="s">
        <v>79</v>
      </c>
      <c r="C314" s="2" t="s">
        <v>80</v>
      </c>
      <c r="D314" s="2" t="s">
        <v>975</v>
      </c>
      <c r="E314" s="2" t="s">
        <v>976</v>
      </c>
      <c r="F314" s="2">
        <v>4</v>
      </c>
      <c r="G314" s="2">
        <v>4</v>
      </c>
      <c r="H314" s="2">
        <v>53</v>
      </c>
      <c r="I314" s="2">
        <v>7.01</v>
      </c>
      <c r="J314" s="2" t="s">
        <v>588</v>
      </c>
      <c r="K314" s="2" t="s">
        <v>83</v>
      </c>
      <c r="L314" s="2" t="s">
        <v>119</v>
      </c>
      <c r="M314" s="2" t="s">
        <v>977</v>
      </c>
      <c r="N314" s="2" t="s">
        <v>975</v>
      </c>
      <c r="O314" s="2">
        <v>44.351999999999997</v>
      </c>
      <c r="P314" s="2">
        <v>1.4690000000000001</v>
      </c>
      <c r="Q314" s="2">
        <v>0.01</v>
      </c>
      <c r="R314" s="2">
        <v>3.1E-2</v>
      </c>
      <c r="S314" s="2">
        <v>1.3879999999999999</v>
      </c>
      <c r="T314" s="2">
        <v>4.3999999999999997E-2</v>
      </c>
      <c r="U314" s="2">
        <v>0.01</v>
      </c>
      <c r="V314" s="2">
        <v>3.2000000000000001E-2</v>
      </c>
      <c r="W314" s="2">
        <v>0.01</v>
      </c>
      <c r="X314" s="2">
        <v>0.01</v>
      </c>
      <c r="Y314" s="2">
        <v>9</v>
      </c>
      <c r="Z314" s="2">
        <v>195</v>
      </c>
      <c r="AA314" s="2">
        <v>270.7</v>
      </c>
      <c r="AB314" s="2">
        <v>25.3</v>
      </c>
      <c r="AC314" s="2" t="s">
        <v>83</v>
      </c>
      <c r="AD314" s="2">
        <v>91009.7578125</v>
      </c>
      <c r="AE314" s="2">
        <v>70980.279296875</v>
      </c>
      <c r="AF314" s="2">
        <v>61076.939453125</v>
      </c>
      <c r="AG314" s="2">
        <v>41767.05859375</v>
      </c>
      <c r="AH314" s="2">
        <v>129979.375</v>
      </c>
      <c r="AI314" s="2">
        <v>36835.859375</v>
      </c>
      <c r="AJ314" s="2">
        <v>31601.447265625</v>
      </c>
      <c r="AK314" s="2">
        <v>56910.8046875</v>
      </c>
      <c r="AL314" s="2" t="s">
        <v>83</v>
      </c>
      <c r="AM314" s="2">
        <v>27491.35546875</v>
      </c>
      <c r="AN314" s="2" t="s">
        <v>83</v>
      </c>
      <c r="AO314" s="2">
        <v>35277.1328125</v>
      </c>
      <c r="AP314" s="2" t="s">
        <v>83</v>
      </c>
      <c r="AQ314" s="2" t="s">
        <v>83</v>
      </c>
      <c r="AR314" s="2" t="s">
        <v>83</v>
      </c>
      <c r="AS314" s="2">
        <v>38835.267578125</v>
      </c>
      <c r="AT314" s="2">
        <v>45014.15625</v>
      </c>
      <c r="AU314" s="2" t="s">
        <v>83</v>
      </c>
      <c r="AV314" s="2">
        <v>32473.255859375</v>
      </c>
      <c r="AW314" s="2">
        <v>30915.703125</v>
      </c>
      <c r="AX314" s="2" t="s">
        <v>83</v>
      </c>
      <c r="AY314" s="2" t="s">
        <v>83</v>
      </c>
      <c r="AZ314" s="2" t="s">
        <v>83</v>
      </c>
      <c r="BA314" s="2" t="s">
        <v>83</v>
      </c>
      <c r="BB314" s="2" t="s">
        <v>83</v>
      </c>
      <c r="BC314" s="2" t="s">
        <v>79</v>
      </c>
      <c r="BD314" s="2" t="s">
        <v>79</v>
      </c>
      <c r="BE314" s="2" t="s">
        <v>79</v>
      </c>
      <c r="BF314" s="2" t="s">
        <v>79</v>
      </c>
      <c r="BG314" s="2" t="s">
        <v>79</v>
      </c>
      <c r="BH314" s="2" t="s">
        <v>91</v>
      </c>
      <c r="BI314" s="2" t="s">
        <v>91</v>
      </c>
      <c r="BJ314" s="2" t="s">
        <v>91</v>
      </c>
      <c r="BK314" s="2" t="s">
        <v>98</v>
      </c>
      <c r="BL314" s="2" t="s">
        <v>91</v>
      </c>
      <c r="BM314" s="2" t="s">
        <v>98</v>
      </c>
      <c r="BN314" s="2" t="s">
        <v>91</v>
      </c>
      <c r="BO314" s="2" t="s">
        <v>98</v>
      </c>
      <c r="BP314" s="2" t="s">
        <v>98</v>
      </c>
      <c r="BQ314" s="2" t="s">
        <v>98</v>
      </c>
      <c r="BR314" s="2" t="s">
        <v>91</v>
      </c>
      <c r="BS314" s="2" t="s">
        <v>91</v>
      </c>
      <c r="BT314" s="2" t="s">
        <v>98</v>
      </c>
      <c r="BU314" s="2" t="s">
        <v>91</v>
      </c>
      <c r="BV314" s="2" t="s">
        <v>79</v>
      </c>
      <c r="BW314" s="2" t="s">
        <v>98</v>
      </c>
      <c r="BX314" s="2" t="s">
        <v>98</v>
      </c>
      <c r="BY314" s="2" t="s">
        <v>98</v>
      </c>
      <c r="BZ314" s="2" t="s">
        <v>98</v>
      </c>
      <c r="CA314" s="2" t="s">
        <v>98</v>
      </c>
      <c r="CB314">
        <f>TTEST(AS314:AW314,AI314:AM314,2,2)</f>
        <v>0.85372060245886239</v>
      </c>
      <c r="CC314">
        <f>TTEST(AD314:AH314,AI314:AM314,2,2)</f>
        <v>5.7699070583483322E-2</v>
      </c>
      <c r="CD314" t="e">
        <f>TTEST(AN314:AR314,AI314:AM314,2,2)</f>
        <v>#DIV/0!</v>
      </c>
      <c r="CE314" t="e">
        <f>TTEST(AX314:BB314,AI314:AM314,2,2)</f>
        <v>#DIV/0!</v>
      </c>
      <c r="CF314">
        <v>218</v>
      </c>
      <c r="CG314">
        <v>183</v>
      </c>
      <c r="CH314">
        <v>242</v>
      </c>
      <c r="CI314">
        <v>308</v>
      </c>
      <c r="CJ314">
        <f>0.05*CF314/464</f>
        <v>2.3491379310344829E-2</v>
      </c>
      <c r="CK314">
        <f>0.05*CG314/464</f>
        <v>1.9719827586206898E-2</v>
      </c>
      <c r="CL314">
        <f>0.05*CH314/464</f>
        <v>2.6077586206896555E-2</v>
      </c>
      <c r="CM314">
        <f>0.05*CI314/464</f>
        <v>3.3189655172413797E-2</v>
      </c>
      <c r="CN314" t="str">
        <f>IF(CB314&lt;CJ314,"yes","no")</f>
        <v>no</v>
      </c>
      <c r="CO314" t="str">
        <f>IF(CC314&lt;CK314,"yes","no")</f>
        <v>no</v>
      </c>
      <c r="CP314" t="e">
        <f>IF(CD314&lt;CL314,"yes","no")</f>
        <v>#DIV/0!</v>
      </c>
      <c r="CQ314" t="e">
        <f>IF(CE314&lt;CM314,"yes","no")</f>
        <v>#DIV/0!</v>
      </c>
      <c r="CR314">
        <f>TTEST(AS314:AW314,AD314:AH314,2,2)</f>
        <v>4.471223509660719E-2</v>
      </c>
      <c r="CS314" t="e">
        <f>TTEST(AS314:AW314,AN314:AR314,2,2)</f>
        <v>#DIV/0!</v>
      </c>
      <c r="CT314" t="e">
        <f>TTEST(AS314:AW314,AX314:BB314,2,2)</f>
        <v>#DIV/0!</v>
      </c>
      <c r="CU314">
        <v>226</v>
      </c>
      <c r="CV314">
        <v>301</v>
      </c>
      <c r="CW314">
        <v>313</v>
      </c>
      <c r="CX314">
        <f t="shared" si="12"/>
        <v>2.4353448275862069E-2</v>
      </c>
      <c r="CY314">
        <f t="shared" si="13"/>
        <v>3.2435344827586206E-2</v>
      </c>
      <c r="CZ314">
        <f t="shared" si="14"/>
        <v>3.372844827586207E-2</v>
      </c>
      <c r="DA314" t="str">
        <f>IF(CR314&lt;CX314,"yes","no")</f>
        <v>no</v>
      </c>
      <c r="DB314" t="e">
        <f>IF(CS314&lt;CY314,"yes","no")</f>
        <v>#DIV/0!</v>
      </c>
      <c r="DC314" t="e">
        <f>IF(CT314&lt;CZ314,"yes","no")</f>
        <v>#DIV/0!</v>
      </c>
    </row>
    <row r="315" spans="1:107" x14ac:dyDescent="0.2">
      <c r="A315" s="2" t="b">
        <v>0</v>
      </c>
      <c r="B315" s="2" t="s">
        <v>79</v>
      </c>
      <c r="C315" s="2" t="s">
        <v>80</v>
      </c>
      <c r="D315" s="2" t="s">
        <v>1614</v>
      </c>
      <c r="E315" s="2" t="s">
        <v>1615</v>
      </c>
      <c r="F315" s="2">
        <v>1</v>
      </c>
      <c r="G315" s="2">
        <v>1</v>
      </c>
      <c r="H315" s="2">
        <v>17.3</v>
      </c>
      <c r="I315" s="2">
        <v>6.77</v>
      </c>
      <c r="J315" s="2" t="s">
        <v>83</v>
      </c>
      <c r="K315" s="2" t="s">
        <v>83</v>
      </c>
      <c r="L315" s="2" t="s">
        <v>83</v>
      </c>
      <c r="M315" s="2" t="s">
        <v>1616</v>
      </c>
      <c r="N315" s="2" t="s">
        <v>1614</v>
      </c>
      <c r="O315" s="2">
        <v>8.4190000000000005</v>
      </c>
      <c r="P315" s="2">
        <v>0.625</v>
      </c>
      <c r="Q315" s="2">
        <v>0.01</v>
      </c>
      <c r="R315" s="2">
        <v>100</v>
      </c>
      <c r="S315" s="2">
        <v>100</v>
      </c>
      <c r="T315" s="2">
        <v>100</v>
      </c>
      <c r="U315" s="2" t="s">
        <v>83</v>
      </c>
      <c r="V315" s="2">
        <v>0.08</v>
      </c>
      <c r="W315" s="2">
        <v>0.01</v>
      </c>
      <c r="X315" s="2">
        <v>0.01</v>
      </c>
      <c r="Y315" s="2">
        <v>49.5</v>
      </c>
      <c r="Z315" s="2" t="s">
        <v>83</v>
      </c>
      <c r="AA315" s="2">
        <v>417.1</v>
      </c>
      <c r="AB315" s="2">
        <v>33.4</v>
      </c>
      <c r="AC315" s="2" t="s">
        <v>83</v>
      </c>
      <c r="AD315" s="2">
        <v>63171.0078125</v>
      </c>
      <c r="AE315" s="2">
        <v>59756.27734375</v>
      </c>
      <c r="AF315" s="2">
        <v>52585.77734375</v>
      </c>
      <c r="AG315" s="2">
        <v>100615.1953125</v>
      </c>
      <c r="AH315" s="2">
        <v>249134.5625</v>
      </c>
      <c r="AI315" s="2" t="s">
        <v>83</v>
      </c>
      <c r="AJ315" s="2" t="s">
        <v>83</v>
      </c>
      <c r="AK315" s="2" t="s">
        <v>83</v>
      </c>
      <c r="AL315" s="2" t="s">
        <v>83</v>
      </c>
      <c r="AM315" s="2" t="s">
        <v>83</v>
      </c>
      <c r="AN315" s="2" t="s">
        <v>83</v>
      </c>
      <c r="AO315" s="2" t="s">
        <v>83</v>
      </c>
      <c r="AP315" s="2" t="s">
        <v>83</v>
      </c>
      <c r="AQ315" s="2" t="s">
        <v>83</v>
      </c>
      <c r="AR315" s="2">
        <v>13952.0576171875</v>
      </c>
      <c r="AS315" s="2">
        <v>6794.64208984375</v>
      </c>
      <c r="AT315" s="2">
        <v>7611.53369140625</v>
      </c>
      <c r="AU315" s="2" t="s">
        <v>83</v>
      </c>
      <c r="AV315" s="2">
        <v>5725.87060546875</v>
      </c>
      <c r="AW315" s="2">
        <v>13219.0693359375</v>
      </c>
      <c r="AX315" s="2" t="s">
        <v>83</v>
      </c>
      <c r="AY315" s="2" t="s">
        <v>83</v>
      </c>
      <c r="AZ315" s="2" t="s">
        <v>83</v>
      </c>
      <c r="BA315" s="2" t="s">
        <v>83</v>
      </c>
      <c r="BB315" s="2" t="s">
        <v>83</v>
      </c>
      <c r="BC315" s="2" t="s">
        <v>79</v>
      </c>
      <c r="BD315" s="2" t="s">
        <v>91</v>
      </c>
      <c r="BE315" s="2" t="s">
        <v>79</v>
      </c>
      <c r="BF315" s="2" t="s">
        <v>79</v>
      </c>
      <c r="BG315" s="2" t="s">
        <v>79</v>
      </c>
      <c r="BH315" s="2" t="s">
        <v>98</v>
      </c>
      <c r="BI315" s="2" t="s">
        <v>98</v>
      </c>
      <c r="BJ315" s="2" t="s">
        <v>98</v>
      </c>
      <c r="BK315" s="2" t="s">
        <v>98</v>
      </c>
      <c r="BL315" s="2" t="s">
        <v>98</v>
      </c>
      <c r="BM315" s="2" t="s">
        <v>98</v>
      </c>
      <c r="BN315" s="2" t="s">
        <v>98</v>
      </c>
      <c r="BO315" s="2" t="s">
        <v>98</v>
      </c>
      <c r="BP315" s="2" t="s">
        <v>98</v>
      </c>
      <c r="BQ315" s="2" t="s">
        <v>91</v>
      </c>
      <c r="BR315" s="2" t="s">
        <v>91</v>
      </c>
      <c r="BS315" s="2" t="s">
        <v>91</v>
      </c>
      <c r="BT315" s="2" t="s">
        <v>98</v>
      </c>
      <c r="BU315" s="2" t="s">
        <v>91</v>
      </c>
      <c r="BV315" s="2" t="s">
        <v>91</v>
      </c>
      <c r="BW315" s="2" t="s">
        <v>98</v>
      </c>
      <c r="BX315" s="2" t="s">
        <v>98</v>
      </c>
      <c r="BY315" s="2" t="s">
        <v>98</v>
      </c>
      <c r="BZ315" s="2" t="s">
        <v>98</v>
      </c>
      <c r="CA315" s="2" t="s">
        <v>98</v>
      </c>
      <c r="CB315" t="e">
        <f>TTEST(AS315:AW315,AI315:AM315,2,2)</f>
        <v>#DIV/0!</v>
      </c>
      <c r="CC315" t="e">
        <f>TTEST(AD315:AH315,AI315:AM315,2,2)</f>
        <v>#DIV/0!</v>
      </c>
      <c r="CD315" t="e">
        <f>TTEST(AN315:AR315,AI315:AM315,2,2)</f>
        <v>#DIV/0!</v>
      </c>
      <c r="CE315" t="e">
        <f>TTEST(AX315:BB315,AI315:AM315,2,2)</f>
        <v>#DIV/0!</v>
      </c>
      <c r="CF315">
        <v>293</v>
      </c>
      <c r="CG315">
        <v>307</v>
      </c>
      <c r="CH315">
        <v>311</v>
      </c>
      <c r="CI315">
        <v>311</v>
      </c>
      <c r="CJ315">
        <f>0.05*CF315/464</f>
        <v>3.157327586206897E-2</v>
      </c>
      <c r="CK315">
        <f>0.05*CG315/464</f>
        <v>3.3081896551724138E-2</v>
      </c>
      <c r="CL315">
        <f>0.05*CH315/464</f>
        <v>3.351293103448276E-2</v>
      </c>
      <c r="CM315">
        <f>0.05*CI315/464</f>
        <v>3.351293103448276E-2</v>
      </c>
      <c r="CN315" t="e">
        <f>IF(CB315&lt;CJ315,"yes","no")</f>
        <v>#DIV/0!</v>
      </c>
      <c r="CO315" t="e">
        <f>IF(CC315&lt;CK315,"yes","no")</f>
        <v>#DIV/0!</v>
      </c>
      <c r="CP315" t="e">
        <f>IF(CD315&lt;CL315,"yes","no")</f>
        <v>#DIV/0!</v>
      </c>
      <c r="CQ315" t="e">
        <f>IF(CE315&lt;CM315,"yes","no")</f>
        <v>#DIV/0!</v>
      </c>
      <c r="CR315">
        <f>TTEST(AS315:AW315,AD315:AH315,2,2)</f>
        <v>5.4538030464219601E-2</v>
      </c>
      <c r="CS315" t="e">
        <f>TTEST(AS315:AW315,AN315:AR315,2,2)</f>
        <v>#DIV/0!</v>
      </c>
      <c r="CT315" t="e">
        <f>TTEST(AS315:AW315,AX315:BB315,2,2)</f>
        <v>#DIV/0!</v>
      </c>
      <c r="CU315">
        <v>233</v>
      </c>
      <c r="CV315">
        <v>304</v>
      </c>
      <c r="CW315">
        <v>314</v>
      </c>
      <c r="CX315">
        <f t="shared" si="12"/>
        <v>2.5107758620689657E-2</v>
      </c>
      <c r="CY315">
        <f t="shared" si="13"/>
        <v>3.2758620689655175E-2</v>
      </c>
      <c r="CZ315">
        <f t="shared" si="14"/>
        <v>3.3836206896551729E-2</v>
      </c>
      <c r="DA315" t="str">
        <f>IF(CR315&lt;CX315,"yes","no")</f>
        <v>no</v>
      </c>
      <c r="DB315" t="e">
        <f>IF(CS315&lt;CY315,"yes","no")</f>
        <v>#DIV/0!</v>
      </c>
      <c r="DC315" t="e">
        <f>IF(CT315&lt;CZ315,"yes","no")</f>
        <v>#DIV/0!</v>
      </c>
    </row>
    <row r="316" spans="1:107" x14ac:dyDescent="0.2">
      <c r="A316" s="2" t="b">
        <v>0</v>
      </c>
      <c r="B316" s="2" t="s">
        <v>79</v>
      </c>
      <c r="C316" s="2" t="s">
        <v>80</v>
      </c>
      <c r="D316" s="2" t="s">
        <v>1093</v>
      </c>
      <c r="E316" s="2" t="s">
        <v>1094</v>
      </c>
      <c r="F316" s="2">
        <v>1</v>
      </c>
      <c r="G316" s="2">
        <v>1</v>
      </c>
      <c r="H316" s="2">
        <v>15.3</v>
      </c>
      <c r="I316" s="2">
        <v>8.0500000000000007</v>
      </c>
      <c r="J316" s="2" t="s">
        <v>254</v>
      </c>
      <c r="K316" s="2" t="s">
        <v>84</v>
      </c>
      <c r="L316" s="2" t="s">
        <v>83</v>
      </c>
      <c r="M316" s="2" t="s">
        <v>83</v>
      </c>
      <c r="N316" s="2" t="s">
        <v>1093</v>
      </c>
      <c r="O316" s="2">
        <v>2.8359999999999999</v>
      </c>
      <c r="P316" s="2">
        <v>2.802</v>
      </c>
      <c r="Q316" s="2">
        <v>0.01</v>
      </c>
      <c r="R316" s="2">
        <v>100</v>
      </c>
      <c r="S316" s="2">
        <v>100</v>
      </c>
      <c r="T316" s="2">
        <v>100</v>
      </c>
      <c r="U316" s="2" t="s">
        <v>83</v>
      </c>
      <c r="V316" s="2">
        <v>0.98799999999999999</v>
      </c>
      <c r="W316" s="2">
        <v>0.01</v>
      </c>
      <c r="X316" s="2">
        <v>0.01</v>
      </c>
      <c r="Y316" s="2">
        <v>75.3</v>
      </c>
      <c r="Z316" s="2" t="s">
        <v>83</v>
      </c>
      <c r="AA316" s="2">
        <v>213.6</v>
      </c>
      <c r="AB316" s="2">
        <v>211.1</v>
      </c>
      <c r="AC316" s="2" t="s">
        <v>83</v>
      </c>
      <c r="AD316" s="2">
        <v>233887.984375</v>
      </c>
      <c r="AE316" s="2">
        <v>108974.5625</v>
      </c>
      <c r="AF316" s="2">
        <v>96722.3671875</v>
      </c>
      <c r="AG316" s="2">
        <v>674943.6875</v>
      </c>
      <c r="AH316" s="2">
        <v>646877.6875</v>
      </c>
      <c r="AI316" s="2" t="s">
        <v>83</v>
      </c>
      <c r="AJ316" s="2" t="s">
        <v>83</v>
      </c>
      <c r="AK316" s="2" t="s">
        <v>83</v>
      </c>
      <c r="AL316" s="2" t="s">
        <v>83</v>
      </c>
      <c r="AM316" s="2" t="s">
        <v>83</v>
      </c>
      <c r="AN316" s="2" t="s">
        <v>83</v>
      </c>
      <c r="AO316" s="2" t="s">
        <v>83</v>
      </c>
      <c r="AP316" s="2">
        <v>13677.646484375</v>
      </c>
      <c r="AQ316" s="2" t="s">
        <v>83</v>
      </c>
      <c r="AR316" s="2" t="s">
        <v>83</v>
      </c>
      <c r="AS316" s="2">
        <v>79761.7109375</v>
      </c>
      <c r="AT316" s="2">
        <v>143142.203125</v>
      </c>
      <c r="AU316" s="2">
        <v>84495.46875</v>
      </c>
      <c r="AV316" s="2">
        <v>80872.546875</v>
      </c>
      <c r="AW316" s="2">
        <v>90923.421875</v>
      </c>
      <c r="AX316" s="2" t="s">
        <v>83</v>
      </c>
      <c r="AY316" s="2" t="s">
        <v>83</v>
      </c>
      <c r="AZ316" s="2" t="s">
        <v>83</v>
      </c>
      <c r="BA316" s="2" t="s">
        <v>83</v>
      </c>
      <c r="BB316" s="2" t="s">
        <v>83</v>
      </c>
      <c r="BC316" s="2" t="s">
        <v>79</v>
      </c>
      <c r="BD316" s="2" t="s">
        <v>79</v>
      </c>
      <c r="BE316" s="2" t="s">
        <v>91</v>
      </c>
      <c r="BF316" s="2" t="s">
        <v>79</v>
      </c>
      <c r="BG316" s="2" t="s">
        <v>79</v>
      </c>
      <c r="BH316" s="2" t="s">
        <v>98</v>
      </c>
      <c r="BI316" s="2" t="s">
        <v>98</v>
      </c>
      <c r="BJ316" s="2" t="s">
        <v>98</v>
      </c>
      <c r="BK316" s="2" t="s">
        <v>98</v>
      </c>
      <c r="BL316" s="2" t="s">
        <v>98</v>
      </c>
      <c r="BM316" s="2" t="s">
        <v>98</v>
      </c>
      <c r="BN316" s="2" t="s">
        <v>98</v>
      </c>
      <c r="BO316" s="2" t="s">
        <v>91</v>
      </c>
      <c r="BP316" s="2" t="s">
        <v>98</v>
      </c>
      <c r="BQ316" s="2" t="s">
        <v>98</v>
      </c>
      <c r="BR316" s="2" t="s">
        <v>79</v>
      </c>
      <c r="BS316" s="2" t="s">
        <v>79</v>
      </c>
      <c r="BT316" s="2" t="s">
        <v>79</v>
      </c>
      <c r="BU316" s="2" t="s">
        <v>79</v>
      </c>
      <c r="BV316" s="2" t="s">
        <v>79</v>
      </c>
      <c r="BW316" s="2" t="s">
        <v>98</v>
      </c>
      <c r="BX316" s="2" t="s">
        <v>98</v>
      </c>
      <c r="BY316" s="2" t="s">
        <v>98</v>
      </c>
      <c r="BZ316" s="2" t="s">
        <v>98</v>
      </c>
      <c r="CA316" s="2" t="s">
        <v>98</v>
      </c>
      <c r="CB316" t="e">
        <f>TTEST(AS316:AW316,AI316:AM316,2,2)</f>
        <v>#DIV/0!</v>
      </c>
      <c r="CC316" t="e">
        <f>TTEST(AD316:AH316,AI316:AM316,2,2)</f>
        <v>#DIV/0!</v>
      </c>
      <c r="CD316" t="e">
        <f>TTEST(AN316:AR316,AI316:AM316,2,2)</f>
        <v>#DIV/0!</v>
      </c>
      <c r="CE316" t="e">
        <f>TTEST(AX316:BB316,AI316:AM316,2,2)</f>
        <v>#DIV/0!</v>
      </c>
      <c r="CF316">
        <v>296</v>
      </c>
      <c r="CG316">
        <v>310</v>
      </c>
      <c r="CH316">
        <v>314</v>
      </c>
      <c r="CI316">
        <v>312</v>
      </c>
      <c r="CJ316">
        <f>0.05*CF316/464</f>
        <v>3.1896551724137932E-2</v>
      </c>
      <c r="CK316">
        <f>0.05*CG316/464</f>
        <v>3.3405172413793101E-2</v>
      </c>
      <c r="CL316">
        <f>0.05*CH316/464</f>
        <v>3.3836206896551729E-2</v>
      </c>
      <c r="CM316">
        <f>0.05*CI316/464</f>
        <v>3.3620689655172419E-2</v>
      </c>
      <c r="CN316" t="e">
        <f>IF(CB316&lt;CJ316,"yes","no")</f>
        <v>#DIV/0!</v>
      </c>
      <c r="CO316" t="e">
        <f>IF(CC316&lt;CK316,"yes","no")</f>
        <v>#DIV/0!</v>
      </c>
      <c r="CP316" t="e">
        <f>IF(CD316&lt;CL316,"yes","no")</f>
        <v>#DIV/0!</v>
      </c>
      <c r="CQ316" t="e">
        <f>IF(CE316&lt;CM316,"yes","no")</f>
        <v>#DIV/0!</v>
      </c>
      <c r="CR316">
        <f>TTEST(AS316:AW316,AD316:AH316,2,2)</f>
        <v>8.1837685471426155E-2</v>
      </c>
      <c r="CS316" t="e">
        <f>TTEST(AS316:AW316,AN316:AR316,2,2)</f>
        <v>#DIV/0!</v>
      </c>
      <c r="CT316" t="e">
        <f>TTEST(AS316:AW316,AX316:BB316,2,2)</f>
        <v>#DIV/0!</v>
      </c>
      <c r="CU316">
        <v>243</v>
      </c>
      <c r="CV316">
        <v>305</v>
      </c>
      <c r="CW316">
        <v>315</v>
      </c>
      <c r="CX316">
        <f t="shared" si="12"/>
        <v>2.6185344827586207E-2</v>
      </c>
      <c r="CY316">
        <f t="shared" si="13"/>
        <v>3.2866379310344827E-2</v>
      </c>
      <c r="CZ316">
        <f t="shared" si="14"/>
        <v>3.3943965517241381E-2</v>
      </c>
      <c r="DA316" t="str">
        <f>IF(CR316&lt;CX316,"yes","no")</f>
        <v>no</v>
      </c>
      <c r="DB316" t="e">
        <f>IF(CS316&lt;CY316,"yes","no")</f>
        <v>#DIV/0!</v>
      </c>
      <c r="DC316" t="e">
        <f>IF(CT316&lt;CZ316,"yes","no")</f>
        <v>#DIV/0!</v>
      </c>
    </row>
    <row r="317" spans="1:107" x14ac:dyDescent="0.2">
      <c r="A317" s="2" t="b">
        <v>0</v>
      </c>
      <c r="B317" s="2" t="s">
        <v>79</v>
      </c>
      <c r="C317" s="2" t="s">
        <v>80</v>
      </c>
      <c r="D317" s="2" t="s">
        <v>1444</v>
      </c>
      <c r="E317" s="2" t="s">
        <v>1445</v>
      </c>
      <c r="F317" s="2">
        <v>1</v>
      </c>
      <c r="G317" s="2">
        <v>1</v>
      </c>
      <c r="H317" s="2">
        <v>57.7</v>
      </c>
      <c r="I317" s="2">
        <v>8.18</v>
      </c>
      <c r="J317" s="2" t="s">
        <v>322</v>
      </c>
      <c r="K317" s="2" t="s">
        <v>1446</v>
      </c>
      <c r="L317" s="2" t="s">
        <v>119</v>
      </c>
      <c r="M317" s="2" t="s">
        <v>1447</v>
      </c>
      <c r="N317" s="2" t="s">
        <v>1448</v>
      </c>
      <c r="O317" s="2">
        <v>4.2409999999999997</v>
      </c>
      <c r="P317" s="2">
        <v>2.016</v>
      </c>
      <c r="Q317" s="2">
        <v>0.01</v>
      </c>
      <c r="R317" s="2">
        <v>0.245</v>
      </c>
      <c r="S317" s="2">
        <v>1.0409999999999999</v>
      </c>
      <c r="T317" s="2">
        <v>0.33800000000000002</v>
      </c>
      <c r="U317" s="2">
        <v>0.01</v>
      </c>
      <c r="V317" s="2">
        <v>0.32500000000000001</v>
      </c>
      <c r="W317" s="2">
        <v>0.01</v>
      </c>
      <c r="X317" s="2">
        <v>0.01</v>
      </c>
      <c r="Y317" s="2">
        <v>46.8</v>
      </c>
      <c r="Z317" s="2">
        <v>190.5</v>
      </c>
      <c r="AA317" s="2">
        <v>198.3</v>
      </c>
      <c r="AB317" s="2">
        <v>64.5</v>
      </c>
      <c r="AC317" s="2" t="s">
        <v>83</v>
      </c>
      <c r="AD317" s="2" t="s">
        <v>83</v>
      </c>
      <c r="AE317" s="2" t="s">
        <v>83</v>
      </c>
      <c r="AF317" s="2">
        <v>43333.7109375</v>
      </c>
      <c r="AG317" s="2">
        <v>279089.3125</v>
      </c>
      <c r="AH317" s="2" t="s">
        <v>83</v>
      </c>
      <c r="AI317" s="2" t="s">
        <v>83</v>
      </c>
      <c r="AJ317" s="2" t="s">
        <v>83</v>
      </c>
      <c r="AK317" s="2" t="s">
        <v>83</v>
      </c>
      <c r="AL317" s="2">
        <v>13378.201171875</v>
      </c>
      <c r="AM317" s="2" t="s">
        <v>83</v>
      </c>
      <c r="AN317" s="2" t="s">
        <v>83</v>
      </c>
      <c r="AO317" s="2" t="s">
        <v>83</v>
      </c>
      <c r="AP317" s="2" t="s">
        <v>83</v>
      </c>
      <c r="AQ317" s="2" t="s">
        <v>83</v>
      </c>
      <c r="AR317" s="2">
        <v>11864.6669921875</v>
      </c>
      <c r="AS317" s="2">
        <v>15454.84375</v>
      </c>
      <c r="AT317" s="2">
        <v>32172.69921875</v>
      </c>
      <c r="AU317" s="2">
        <v>20599.060546875</v>
      </c>
      <c r="AV317" s="2" t="s">
        <v>83</v>
      </c>
      <c r="AW317" s="2">
        <v>71538.8515625</v>
      </c>
      <c r="AX317" s="2" t="s">
        <v>83</v>
      </c>
      <c r="AY317" s="2" t="s">
        <v>83</v>
      </c>
      <c r="AZ317" s="2" t="s">
        <v>83</v>
      </c>
      <c r="BA317" s="2" t="s">
        <v>83</v>
      </c>
      <c r="BB317" s="2" t="s">
        <v>83</v>
      </c>
      <c r="BC317" s="2" t="s">
        <v>98</v>
      </c>
      <c r="BD317" s="2" t="s">
        <v>98</v>
      </c>
      <c r="BE317" s="2" t="s">
        <v>91</v>
      </c>
      <c r="BF317" s="2" t="s">
        <v>79</v>
      </c>
      <c r="BG317" s="2" t="s">
        <v>98</v>
      </c>
      <c r="BH317" s="2" t="s">
        <v>98</v>
      </c>
      <c r="BI317" s="2" t="s">
        <v>98</v>
      </c>
      <c r="BJ317" s="2" t="s">
        <v>98</v>
      </c>
      <c r="BK317" s="2" t="s">
        <v>91</v>
      </c>
      <c r="BL317" s="2" t="s">
        <v>98</v>
      </c>
      <c r="BM317" s="2" t="s">
        <v>98</v>
      </c>
      <c r="BN317" s="2" t="s">
        <v>98</v>
      </c>
      <c r="BO317" s="2" t="s">
        <v>98</v>
      </c>
      <c r="BP317" s="2" t="s">
        <v>98</v>
      </c>
      <c r="BQ317" s="2" t="s">
        <v>91</v>
      </c>
      <c r="BR317" s="2" t="s">
        <v>91</v>
      </c>
      <c r="BS317" s="2" t="s">
        <v>91</v>
      </c>
      <c r="BT317" s="2" t="s">
        <v>91</v>
      </c>
      <c r="BU317" s="2" t="s">
        <v>98</v>
      </c>
      <c r="BV317" s="2" t="s">
        <v>91</v>
      </c>
      <c r="BW317" s="2" t="s">
        <v>98</v>
      </c>
      <c r="BX317" s="2" t="s">
        <v>98</v>
      </c>
      <c r="BY317" s="2" t="s">
        <v>98</v>
      </c>
      <c r="BZ317" s="2" t="s">
        <v>98</v>
      </c>
      <c r="CA317" s="2" t="s">
        <v>98</v>
      </c>
      <c r="CB317" t="e">
        <f>TTEST(AS317:AW317,AI317:AM317,2,2)</f>
        <v>#DIV/0!</v>
      </c>
      <c r="CC317" t="e">
        <f>TTEST(AD317:AH317,AI317:AM317,2,2)</f>
        <v>#DIV/0!</v>
      </c>
      <c r="CD317" t="e">
        <f>TTEST(AN317:AR317,AI317:AM317,2,2)</f>
        <v>#DIV/0!</v>
      </c>
      <c r="CE317" t="e">
        <f>TTEST(AX317:BB317,AI317:AM317,2,2)</f>
        <v>#DIV/0!</v>
      </c>
      <c r="CF317">
        <v>302</v>
      </c>
      <c r="CG317">
        <v>316</v>
      </c>
      <c r="CH317">
        <v>320</v>
      </c>
      <c r="CI317">
        <v>314</v>
      </c>
      <c r="CJ317">
        <f>0.05*CF317/464</f>
        <v>3.2543103448275865E-2</v>
      </c>
      <c r="CK317">
        <f>0.05*CG317/464</f>
        <v>3.4051724137931033E-2</v>
      </c>
      <c r="CL317">
        <f>0.05*CH317/464</f>
        <v>3.4482758620689655E-2</v>
      </c>
      <c r="CM317">
        <f>0.05*CI317/464</f>
        <v>3.3836206896551729E-2</v>
      </c>
      <c r="CN317" t="e">
        <f>IF(CB317&lt;CJ317,"yes","no")</f>
        <v>#DIV/0!</v>
      </c>
      <c r="CO317" t="e">
        <f>IF(CC317&lt;CK317,"yes","no")</f>
        <v>#DIV/0!</v>
      </c>
      <c r="CP317" t="e">
        <f>IF(CD317&lt;CL317,"yes","no")</f>
        <v>#DIV/0!</v>
      </c>
      <c r="CQ317" t="e">
        <f>IF(CE317&lt;CM317,"yes","no")</f>
        <v>#DIV/0!</v>
      </c>
      <c r="CR317">
        <f>TTEST(AS317:AW317,AD317:AH317,2,2)</f>
        <v>0.16601352912269868</v>
      </c>
      <c r="CS317" t="e">
        <f>TTEST(AS317:AW317,AN317:AR317,2,2)</f>
        <v>#DIV/0!</v>
      </c>
      <c r="CT317" t="e">
        <f>TTEST(AS317:AW317,AX317:BB317,2,2)</f>
        <v>#DIV/0!</v>
      </c>
      <c r="CU317">
        <v>268</v>
      </c>
      <c r="CV317">
        <v>307</v>
      </c>
      <c r="CW317">
        <v>316</v>
      </c>
      <c r="CX317">
        <f t="shared" si="12"/>
        <v>2.8879310344827588E-2</v>
      </c>
      <c r="CY317">
        <f t="shared" si="13"/>
        <v>3.3081896551724138E-2</v>
      </c>
      <c r="CZ317">
        <f t="shared" si="14"/>
        <v>3.4051724137931033E-2</v>
      </c>
      <c r="DA317" t="str">
        <f>IF(CR317&lt;CX317,"yes","no")</f>
        <v>no</v>
      </c>
      <c r="DB317" t="e">
        <f>IF(CS317&lt;CY317,"yes","no")</f>
        <v>#DIV/0!</v>
      </c>
      <c r="DC317" t="e">
        <f>IF(CT317&lt;CZ317,"yes","no")</f>
        <v>#DIV/0!</v>
      </c>
    </row>
    <row r="318" spans="1:107" x14ac:dyDescent="0.2">
      <c r="A318" s="2" t="b">
        <v>0</v>
      </c>
      <c r="B318" s="2" t="s">
        <v>79</v>
      </c>
      <c r="C318" s="2" t="s">
        <v>80</v>
      </c>
      <c r="D318" s="2" t="s">
        <v>1389</v>
      </c>
      <c r="E318" s="2" t="s">
        <v>1390</v>
      </c>
      <c r="F318" s="2">
        <v>2</v>
      </c>
      <c r="G318" s="2">
        <v>2</v>
      </c>
      <c r="H318" s="2">
        <v>27.6</v>
      </c>
      <c r="I318" s="2">
        <v>6.57</v>
      </c>
      <c r="J318" s="2" t="s">
        <v>322</v>
      </c>
      <c r="K318" s="2" t="s">
        <v>83</v>
      </c>
      <c r="L318" s="2" t="s">
        <v>119</v>
      </c>
      <c r="M318" s="2" t="s">
        <v>83</v>
      </c>
      <c r="N318" s="2" t="s">
        <v>1389</v>
      </c>
      <c r="O318" s="2">
        <v>7.1059999999999999</v>
      </c>
      <c r="P318" s="2">
        <v>0.91300000000000003</v>
      </c>
      <c r="Q318" s="2">
        <v>0.01</v>
      </c>
      <c r="R318" s="2">
        <v>0.42699999999999999</v>
      </c>
      <c r="S318" s="2">
        <v>2.7330000000000001</v>
      </c>
      <c r="T318" s="2">
        <v>0.35399999999999998</v>
      </c>
      <c r="U318" s="2">
        <v>0.01</v>
      </c>
      <c r="V318" s="2">
        <v>0.129</v>
      </c>
      <c r="W318" s="2">
        <v>0.01</v>
      </c>
      <c r="X318" s="2">
        <v>0.01</v>
      </c>
      <c r="Y318" s="2">
        <v>68.3</v>
      </c>
      <c r="Z318" s="2">
        <v>105.6</v>
      </c>
      <c r="AA318" s="2">
        <v>288.7</v>
      </c>
      <c r="AB318" s="2">
        <v>37.299999999999997</v>
      </c>
      <c r="AC318" s="2" t="s">
        <v>83</v>
      </c>
      <c r="AD318" s="2">
        <v>59412.671875</v>
      </c>
      <c r="AE318" s="2" t="s">
        <v>83</v>
      </c>
      <c r="AF318" s="2">
        <v>82458.84375</v>
      </c>
      <c r="AG318" s="2">
        <v>533468.234375</v>
      </c>
      <c r="AH318" s="2">
        <v>232221.59375</v>
      </c>
      <c r="AI318" s="2">
        <v>7474.55322265625</v>
      </c>
      <c r="AJ318" s="2">
        <v>6239.38623046875</v>
      </c>
      <c r="AK318" s="2" t="s">
        <v>83</v>
      </c>
      <c r="AL318" s="2">
        <v>3896.74658203125</v>
      </c>
      <c r="AM318" s="2">
        <v>3100.55737304688</v>
      </c>
      <c r="AN318" s="2" t="s">
        <v>83</v>
      </c>
      <c r="AO318" s="2" t="s">
        <v>83</v>
      </c>
      <c r="AP318" s="2" t="s">
        <v>83</v>
      </c>
      <c r="AQ318" s="2" t="s">
        <v>83</v>
      </c>
      <c r="AR318" s="2">
        <v>16321.3916015625</v>
      </c>
      <c r="AS318" s="2">
        <v>40842.28515625</v>
      </c>
      <c r="AT318" s="2" t="s">
        <v>83</v>
      </c>
      <c r="AU318" s="2">
        <v>4782.99658203125</v>
      </c>
      <c r="AV318" s="2">
        <v>11993.15625</v>
      </c>
      <c r="AW318" s="2" t="s">
        <v>83</v>
      </c>
      <c r="AX318" s="2" t="s">
        <v>83</v>
      </c>
      <c r="AY318" s="2" t="s">
        <v>83</v>
      </c>
      <c r="AZ318" s="2" t="s">
        <v>83</v>
      </c>
      <c r="BA318" s="2" t="s">
        <v>83</v>
      </c>
      <c r="BB318" s="2" t="s">
        <v>83</v>
      </c>
      <c r="BC318" s="2" t="s">
        <v>91</v>
      </c>
      <c r="BD318" s="2" t="s">
        <v>98</v>
      </c>
      <c r="BE318" s="2" t="s">
        <v>91</v>
      </c>
      <c r="BF318" s="2" t="s">
        <v>79</v>
      </c>
      <c r="BG318" s="2" t="s">
        <v>91</v>
      </c>
      <c r="BH318" s="2" t="s">
        <v>91</v>
      </c>
      <c r="BI318" s="2" t="s">
        <v>91</v>
      </c>
      <c r="BJ318" s="2" t="s">
        <v>98</v>
      </c>
      <c r="BK318" s="2" t="s">
        <v>91</v>
      </c>
      <c r="BL318" s="2" t="s">
        <v>91</v>
      </c>
      <c r="BM318" s="2" t="s">
        <v>98</v>
      </c>
      <c r="BN318" s="2" t="s">
        <v>98</v>
      </c>
      <c r="BO318" s="2" t="s">
        <v>98</v>
      </c>
      <c r="BP318" s="2" t="s">
        <v>98</v>
      </c>
      <c r="BQ318" s="2" t="s">
        <v>91</v>
      </c>
      <c r="BR318" s="2" t="s">
        <v>91</v>
      </c>
      <c r="BS318" s="2" t="s">
        <v>98</v>
      </c>
      <c r="BT318" s="2" t="s">
        <v>91</v>
      </c>
      <c r="BU318" s="2" t="s">
        <v>91</v>
      </c>
      <c r="BV318" s="2" t="s">
        <v>98</v>
      </c>
      <c r="BW318" s="2" t="s">
        <v>98</v>
      </c>
      <c r="BX318" s="2" t="s">
        <v>98</v>
      </c>
      <c r="BY318" s="2" t="s">
        <v>98</v>
      </c>
      <c r="BZ318" s="2" t="s">
        <v>98</v>
      </c>
      <c r="CA318" s="2" t="s">
        <v>98</v>
      </c>
      <c r="CB318">
        <f>TTEST(AS318:AW318,AI318:AM318,2,2)</f>
        <v>0.19161437004656068</v>
      </c>
      <c r="CC318">
        <f>TTEST(AD318:AH318,AI318:AM318,2,2)</f>
        <v>8.8487171189645317E-2</v>
      </c>
      <c r="CD318" t="e">
        <f>TTEST(AN318:AR318,AI318:AM318,2,2)</f>
        <v>#DIV/0!</v>
      </c>
      <c r="CE318" t="e">
        <f>TTEST(AX318:BB318,AI318:AM318,2,2)</f>
        <v>#DIV/0!</v>
      </c>
      <c r="CF318">
        <v>164</v>
      </c>
      <c r="CG318">
        <v>190</v>
      </c>
      <c r="CH318">
        <v>243</v>
      </c>
      <c r="CI318">
        <v>315</v>
      </c>
      <c r="CJ318">
        <f>0.05*CF318/464</f>
        <v>1.7672413793103449E-2</v>
      </c>
      <c r="CK318">
        <f>0.05*CG318/464</f>
        <v>2.0474137931034482E-2</v>
      </c>
      <c r="CL318">
        <f>0.05*CH318/464</f>
        <v>2.6185344827586207E-2</v>
      </c>
      <c r="CM318">
        <f>0.05*CI318/464</f>
        <v>3.3943965517241381E-2</v>
      </c>
      <c r="CN318" t="str">
        <f>IF(CB318&lt;CJ318,"yes","no")</f>
        <v>no</v>
      </c>
      <c r="CO318" t="str">
        <f>IF(CC318&lt;CK318,"yes","no")</f>
        <v>no</v>
      </c>
      <c r="CP318" t="e">
        <f>IF(CD318&lt;CL318,"yes","no")</f>
        <v>#DIV/0!</v>
      </c>
      <c r="CQ318" t="e">
        <f>IF(CE318&lt;CM318,"yes","no")</f>
        <v>#DIV/0!</v>
      </c>
      <c r="CR318">
        <f>TTEST(AS318:AW318,AD318:AH318,2,2)</f>
        <v>0.16956721671973371</v>
      </c>
      <c r="CS318" t="e">
        <f>TTEST(AS318:AW318,AN318:AR318,2,2)</f>
        <v>#DIV/0!</v>
      </c>
      <c r="CT318" t="e">
        <f>TTEST(AS318:AW318,AX318:BB318,2,2)</f>
        <v>#DIV/0!</v>
      </c>
      <c r="CU318">
        <v>270</v>
      </c>
      <c r="CV318">
        <v>308</v>
      </c>
      <c r="CW318">
        <v>317</v>
      </c>
      <c r="CX318">
        <f t="shared" si="12"/>
        <v>2.9094827586206896E-2</v>
      </c>
      <c r="CY318">
        <f t="shared" si="13"/>
        <v>3.3189655172413797E-2</v>
      </c>
      <c r="CZ318">
        <f t="shared" si="14"/>
        <v>3.4159482758620692E-2</v>
      </c>
      <c r="DA318" t="str">
        <f>IF(CR318&lt;CX318,"yes","no")</f>
        <v>no</v>
      </c>
      <c r="DB318" t="e">
        <f>IF(CS318&lt;CY318,"yes","no")</f>
        <v>#DIV/0!</v>
      </c>
      <c r="DC318" t="e">
        <f>IF(CT318&lt;CZ318,"yes","no")</f>
        <v>#DIV/0!</v>
      </c>
    </row>
    <row r="319" spans="1:107" x14ac:dyDescent="0.2">
      <c r="A319" s="2" t="b">
        <v>0</v>
      </c>
      <c r="B319" s="2" t="s">
        <v>79</v>
      </c>
      <c r="C319" s="2" t="s">
        <v>80</v>
      </c>
      <c r="D319" s="2" t="s">
        <v>1154</v>
      </c>
      <c r="E319" s="2" t="s">
        <v>1155</v>
      </c>
      <c r="F319" s="2">
        <v>1</v>
      </c>
      <c r="G319" s="2">
        <v>1</v>
      </c>
      <c r="H319" s="2">
        <v>20.9</v>
      </c>
      <c r="I319" s="2">
        <v>6.34</v>
      </c>
      <c r="J319" s="2" t="s">
        <v>1156</v>
      </c>
      <c r="K319" s="2" t="s">
        <v>136</v>
      </c>
      <c r="L319" s="2" t="s">
        <v>83</v>
      </c>
      <c r="M319" s="2" t="s">
        <v>1157</v>
      </c>
      <c r="N319" s="2" t="s">
        <v>1158</v>
      </c>
      <c r="O319" s="2">
        <v>30.071999999999999</v>
      </c>
      <c r="P319" s="2">
        <v>2.2240000000000002</v>
      </c>
      <c r="Q319" s="2">
        <v>0.01</v>
      </c>
      <c r="R319" s="2">
        <v>0.65100000000000002</v>
      </c>
      <c r="S319" s="2">
        <v>22.068000000000001</v>
      </c>
      <c r="T319" s="2">
        <v>1.6359999999999999</v>
      </c>
      <c r="U319" s="2">
        <v>0.01</v>
      </c>
      <c r="V319" s="2">
        <v>8.2000000000000003E-2</v>
      </c>
      <c r="W319" s="2">
        <v>0.01</v>
      </c>
      <c r="X319" s="2">
        <v>0.01</v>
      </c>
      <c r="Y319" s="2">
        <v>15.8</v>
      </c>
      <c r="Z319" s="2">
        <v>21.4</v>
      </c>
      <c r="AA319" s="2">
        <v>427.8</v>
      </c>
      <c r="AB319" s="2">
        <v>35</v>
      </c>
      <c r="AC319" s="2" t="s">
        <v>83</v>
      </c>
      <c r="AD319" s="2">
        <v>166518.390625</v>
      </c>
      <c r="AE319" s="2">
        <v>127155.8046875</v>
      </c>
      <c r="AF319" s="2">
        <v>108719.71875</v>
      </c>
      <c r="AG319" s="2">
        <v>109655.6328125</v>
      </c>
      <c r="AH319" s="2">
        <v>135394.34375</v>
      </c>
      <c r="AI319" s="2">
        <v>3514.04370117188</v>
      </c>
      <c r="AJ319" s="2" t="s">
        <v>83</v>
      </c>
      <c r="AK319" s="2">
        <v>3804.32055664063</v>
      </c>
      <c r="AL319" s="2" t="s">
        <v>83</v>
      </c>
      <c r="AM319" s="2" t="s">
        <v>83</v>
      </c>
      <c r="AN319" s="2">
        <v>68003.1796875</v>
      </c>
      <c r="AO319" s="2">
        <v>74508.109375</v>
      </c>
      <c r="AP319" s="2">
        <v>85837.921875</v>
      </c>
      <c r="AQ319" s="2">
        <v>77066.2734375</v>
      </c>
      <c r="AR319" s="2">
        <v>95734.8515625</v>
      </c>
      <c r="AS319" s="2" t="s">
        <v>83</v>
      </c>
      <c r="AT319" s="2">
        <v>66288.890625</v>
      </c>
      <c r="AU319" s="2" t="s">
        <v>83</v>
      </c>
      <c r="AV319" s="2" t="s">
        <v>83</v>
      </c>
      <c r="AW319" s="2" t="s">
        <v>83</v>
      </c>
      <c r="AX319" s="2" t="s">
        <v>83</v>
      </c>
      <c r="AY319" s="2" t="s">
        <v>83</v>
      </c>
      <c r="AZ319" s="2" t="s">
        <v>83</v>
      </c>
      <c r="BA319" s="2" t="s">
        <v>83</v>
      </c>
      <c r="BB319" s="2" t="s">
        <v>83</v>
      </c>
      <c r="BC319" s="2" t="s">
        <v>79</v>
      </c>
      <c r="BD319" s="2" t="s">
        <v>79</v>
      </c>
      <c r="BE319" s="2" t="s">
        <v>79</v>
      </c>
      <c r="BF319" s="2" t="s">
        <v>79</v>
      </c>
      <c r="BG319" s="2" t="s">
        <v>79</v>
      </c>
      <c r="BH319" s="2" t="s">
        <v>91</v>
      </c>
      <c r="BI319" s="2" t="s">
        <v>98</v>
      </c>
      <c r="BJ319" s="2" t="s">
        <v>91</v>
      </c>
      <c r="BK319" s="2" t="s">
        <v>98</v>
      </c>
      <c r="BL319" s="2" t="s">
        <v>98</v>
      </c>
      <c r="BM319" s="2" t="s">
        <v>79</v>
      </c>
      <c r="BN319" s="2" t="s">
        <v>79</v>
      </c>
      <c r="BO319" s="2" t="s">
        <v>79</v>
      </c>
      <c r="BP319" s="2" t="s">
        <v>79</v>
      </c>
      <c r="BQ319" s="2" t="s">
        <v>79</v>
      </c>
      <c r="BR319" s="2" t="s">
        <v>98</v>
      </c>
      <c r="BS319" s="2" t="s">
        <v>79</v>
      </c>
      <c r="BT319" s="2" t="s">
        <v>98</v>
      </c>
      <c r="BU319" s="2" t="s">
        <v>98</v>
      </c>
      <c r="BV319" s="2" t="s">
        <v>98</v>
      </c>
      <c r="BW319" s="2" t="s">
        <v>98</v>
      </c>
      <c r="BX319" s="2" t="s">
        <v>98</v>
      </c>
      <c r="BY319" s="2" t="s">
        <v>98</v>
      </c>
      <c r="BZ319" s="2" t="s">
        <v>98</v>
      </c>
      <c r="CA319" s="2" t="s">
        <v>98</v>
      </c>
      <c r="CB319" t="e">
        <f>TTEST(AS319:AW319,AI319:AM319,2,2)</f>
        <v>#DIV/0!</v>
      </c>
      <c r="CC319">
        <f>TTEST(AD319:AH319,AI319:AM319,2,2)</f>
        <v>8.5240010637972709E-4</v>
      </c>
      <c r="CD319">
        <f>TTEST(AN319:AR319,AI319:AM319,2,2)</f>
        <v>2.1861677440076103E-4</v>
      </c>
      <c r="CE319" t="e">
        <f>TTEST(AX319:BB319,AI319:AM319,2,2)</f>
        <v>#DIV/0!</v>
      </c>
      <c r="CF319">
        <v>422</v>
      </c>
      <c r="CG319">
        <v>131</v>
      </c>
      <c r="CH319">
        <v>56</v>
      </c>
      <c r="CI319">
        <v>316</v>
      </c>
      <c r="CJ319">
        <f>0.05*CF319/464</f>
        <v>4.5474137931034483E-2</v>
      </c>
      <c r="CK319">
        <f>0.05*CG319/464</f>
        <v>1.411637931034483E-2</v>
      </c>
      <c r="CL319">
        <f>0.05*CH319/464</f>
        <v>6.0344827586206904E-3</v>
      </c>
      <c r="CM319">
        <f>0.05*CI319/464</f>
        <v>3.4051724137931033E-2</v>
      </c>
      <c r="CN319" t="e">
        <f>IF(CB319&lt;CJ319,"yes","no")</f>
        <v>#DIV/0!</v>
      </c>
      <c r="CO319" t="str">
        <f>IF(CC319&lt;CK319,"yes","no")</f>
        <v>yes</v>
      </c>
      <c r="CP319" t="str">
        <f>IF(CD319&lt;CL319,"yes","no")</f>
        <v>yes</v>
      </c>
      <c r="CQ319" t="e">
        <f>IF(CE319&lt;CM319,"yes","no")</f>
        <v>#DIV/0!</v>
      </c>
      <c r="CR319" t="e">
        <f>TTEST(AS319:AW319,AD319:AH319,2,2)</f>
        <v>#DIV/0!</v>
      </c>
      <c r="CS319" t="e">
        <f>TTEST(AS319:AW319,AN319:AR319,2,2)</f>
        <v>#DIV/0!</v>
      </c>
      <c r="CT319" t="e">
        <f>TTEST(AS319:AW319,AX319:BB319,2,2)</f>
        <v>#DIV/0!</v>
      </c>
      <c r="CU319">
        <v>305</v>
      </c>
      <c r="CV319">
        <v>310</v>
      </c>
      <c r="CW319">
        <v>318</v>
      </c>
      <c r="CX319">
        <f t="shared" si="12"/>
        <v>3.2866379310344827E-2</v>
      </c>
      <c r="CY319">
        <f t="shared" si="13"/>
        <v>3.3405172413793101E-2</v>
      </c>
      <c r="CZ319">
        <f t="shared" si="14"/>
        <v>3.4267241379310344E-2</v>
      </c>
      <c r="DA319" t="e">
        <f>IF(CR319&lt;CX319,"yes","no")</f>
        <v>#DIV/0!</v>
      </c>
      <c r="DB319" t="e">
        <f>IF(CS319&lt;CY319,"yes","no")</f>
        <v>#DIV/0!</v>
      </c>
      <c r="DC319" t="e">
        <f>IF(CT319&lt;CZ319,"yes","no")</f>
        <v>#DIV/0!</v>
      </c>
    </row>
    <row r="320" spans="1:107" x14ac:dyDescent="0.2">
      <c r="A320" s="2" t="b">
        <v>0</v>
      </c>
      <c r="B320" s="2" t="s">
        <v>79</v>
      </c>
      <c r="C320" s="2" t="s">
        <v>80</v>
      </c>
      <c r="D320" s="2" t="s">
        <v>1359</v>
      </c>
      <c r="E320" s="2" t="s">
        <v>1360</v>
      </c>
      <c r="F320" s="2">
        <v>1</v>
      </c>
      <c r="G320" s="2">
        <v>1</v>
      </c>
      <c r="H320" s="2">
        <v>21.4</v>
      </c>
      <c r="I320" s="2">
        <v>8.2100000000000009</v>
      </c>
      <c r="J320" s="2" t="s">
        <v>228</v>
      </c>
      <c r="K320" s="2" t="s">
        <v>247</v>
      </c>
      <c r="L320" s="2" t="s">
        <v>315</v>
      </c>
      <c r="M320" s="2" t="s">
        <v>83</v>
      </c>
      <c r="N320" s="2" t="s">
        <v>1359</v>
      </c>
      <c r="O320" s="2">
        <v>3.6659999999999999</v>
      </c>
      <c r="P320" s="2">
        <v>0.36499999999999999</v>
      </c>
      <c r="Q320" s="2">
        <v>0.01</v>
      </c>
      <c r="R320" s="2">
        <v>0.49299999999999999</v>
      </c>
      <c r="S320" s="2">
        <v>2.105</v>
      </c>
      <c r="T320" s="2">
        <v>0.22600000000000001</v>
      </c>
      <c r="U320" s="2">
        <v>0.01</v>
      </c>
      <c r="V320" s="2">
        <v>0.104</v>
      </c>
      <c r="W320" s="2">
        <v>0.01</v>
      </c>
      <c r="X320" s="2">
        <v>0.01</v>
      </c>
      <c r="Y320" s="2">
        <v>76.900000000000006</v>
      </c>
      <c r="Z320" s="2">
        <v>124.3</v>
      </c>
      <c r="AA320" s="2">
        <v>270.8</v>
      </c>
      <c r="AB320" s="2">
        <v>28.1</v>
      </c>
      <c r="AC320" s="2" t="s">
        <v>83</v>
      </c>
      <c r="AD320" s="2" t="s">
        <v>83</v>
      </c>
      <c r="AE320" s="2">
        <v>195162.09375</v>
      </c>
      <c r="AF320" s="2">
        <v>157554.59375</v>
      </c>
      <c r="AG320" s="2">
        <v>185009.453125</v>
      </c>
      <c r="AH320" s="2">
        <v>77334.875</v>
      </c>
      <c r="AI320" s="2" t="s">
        <v>83</v>
      </c>
      <c r="AJ320" s="2">
        <v>8421.1318359375</v>
      </c>
      <c r="AK320" s="2" t="s">
        <v>83</v>
      </c>
      <c r="AL320" s="2">
        <v>5707.130859375</v>
      </c>
      <c r="AM320" s="2" t="s">
        <v>83</v>
      </c>
      <c r="AN320" s="2">
        <v>10373.546875</v>
      </c>
      <c r="AO320" s="2">
        <v>12064.4658203125</v>
      </c>
      <c r="AP320" s="2" t="s">
        <v>83</v>
      </c>
      <c r="AQ320" s="2">
        <v>12100.8935546875</v>
      </c>
      <c r="AR320" s="2">
        <v>10795.560546875</v>
      </c>
      <c r="AS320" s="2">
        <v>8692.4775390625</v>
      </c>
      <c r="AT320" s="2" t="s">
        <v>83</v>
      </c>
      <c r="AU320" s="2" t="s">
        <v>83</v>
      </c>
      <c r="AV320" s="2" t="s">
        <v>83</v>
      </c>
      <c r="AW320" s="2" t="s">
        <v>83</v>
      </c>
      <c r="AX320" s="2" t="s">
        <v>83</v>
      </c>
      <c r="AY320" s="2" t="s">
        <v>83</v>
      </c>
      <c r="AZ320" s="2" t="s">
        <v>83</v>
      </c>
      <c r="BA320" s="2" t="s">
        <v>83</v>
      </c>
      <c r="BB320" s="2" t="s">
        <v>83</v>
      </c>
      <c r="BC320" s="2" t="s">
        <v>98</v>
      </c>
      <c r="BD320" s="2" t="s">
        <v>91</v>
      </c>
      <c r="BE320" s="2" t="s">
        <v>91</v>
      </c>
      <c r="BF320" s="2" t="s">
        <v>79</v>
      </c>
      <c r="BG320" s="2" t="s">
        <v>91</v>
      </c>
      <c r="BH320" s="2" t="s">
        <v>98</v>
      </c>
      <c r="BI320" s="2" t="s">
        <v>91</v>
      </c>
      <c r="BJ320" s="2" t="s">
        <v>98</v>
      </c>
      <c r="BK320" s="2" t="s">
        <v>91</v>
      </c>
      <c r="BL320" s="2" t="s">
        <v>98</v>
      </c>
      <c r="BM320" s="2" t="s">
        <v>91</v>
      </c>
      <c r="BN320" s="2" t="s">
        <v>91</v>
      </c>
      <c r="BO320" s="2" t="s">
        <v>98</v>
      </c>
      <c r="BP320" s="2" t="s">
        <v>91</v>
      </c>
      <c r="BQ320" s="2" t="s">
        <v>91</v>
      </c>
      <c r="BR320" s="2" t="s">
        <v>91</v>
      </c>
      <c r="BS320" s="2" t="s">
        <v>98</v>
      </c>
      <c r="BT320" s="2" t="s">
        <v>98</v>
      </c>
      <c r="BU320" s="2" t="s">
        <v>98</v>
      </c>
      <c r="BV320" s="2" t="s">
        <v>98</v>
      </c>
      <c r="BW320" s="2" t="s">
        <v>98</v>
      </c>
      <c r="BX320" s="2" t="s">
        <v>98</v>
      </c>
      <c r="BY320" s="2" t="s">
        <v>98</v>
      </c>
      <c r="BZ320" s="2" t="s">
        <v>98</v>
      </c>
      <c r="CA320" s="2" t="s">
        <v>98</v>
      </c>
      <c r="CB320" t="e">
        <f>TTEST(AS320:AW320,AI320:AM320,2,2)</f>
        <v>#DIV/0!</v>
      </c>
      <c r="CC320">
        <f>TTEST(AD320:AH320,AI320:AM320,2,2)</f>
        <v>2.1503464608181443E-2</v>
      </c>
      <c r="CD320">
        <f>TTEST(AN320:AR320,AI320:AM320,2,2)</f>
        <v>1.5869407428952167E-2</v>
      </c>
      <c r="CE320" t="e">
        <f>TTEST(AX320:BB320,AI320:AM320,2,2)</f>
        <v>#DIV/0!</v>
      </c>
      <c r="CF320">
        <v>428</v>
      </c>
      <c r="CG320">
        <v>170</v>
      </c>
      <c r="CH320">
        <v>104</v>
      </c>
      <c r="CI320">
        <v>317</v>
      </c>
      <c r="CJ320">
        <f>0.05*CF320/464</f>
        <v>4.6120689655172416E-2</v>
      </c>
      <c r="CK320">
        <f>0.05*CG320/464</f>
        <v>1.8318965517241378E-2</v>
      </c>
      <c r="CL320">
        <f>0.05*CH320/464</f>
        <v>1.1206896551724138E-2</v>
      </c>
      <c r="CM320">
        <f>0.05*CI320/464</f>
        <v>3.4159482758620692E-2</v>
      </c>
      <c r="CN320" t="e">
        <f>IF(CB320&lt;CJ320,"yes","no")</f>
        <v>#DIV/0!</v>
      </c>
      <c r="CO320" t="str">
        <f>IF(CC320&lt;CK320,"yes","no")</f>
        <v>no</v>
      </c>
      <c r="CP320" t="str">
        <f>IF(CD320&lt;CL320,"yes","no")</f>
        <v>no</v>
      </c>
      <c r="CQ320" t="e">
        <f>IF(CE320&lt;CM320,"yes","no")</f>
        <v>#DIV/0!</v>
      </c>
      <c r="CR320" t="e">
        <f>TTEST(AS320:AW320,AD320:AH320,2,2)</f>
        <v>#DIV/0!</v>
      </c>
      <c r="CS320" t="e">
        <f>TTEST(AS320:AW320,AN320:AR320,2,2)</f>
        <v>#DIV/0!</v>
      </c>
      <c r="CT320" t="e">
        <f>TTEST(AS320:AW320,AX320:BB320,2,2)</f>
        <v>#DIV/0!</v>
      </c>
      <c r="CU320">
        <v>307</v>
      </c>
      <c r="CV320">
        <v>312</v>
      </c>
      <c r="CW320">
        <v>319</v>
      </c>
      <c r="CX320">
        <f t="shared" si="12"/>
        <v>3.3081896551724138E-2</v>
      </c>
      <c r="CY320">
        <f t="shared" si="13"/>
        <v>3.3620689655172419E-2</v>
      </c>
      <c r="CZ320">
        <f t="shared" si="14"/>
        <v>3.4375000000000003E-2</v>
      </c>
      <c r="DA320" t="e">
        <f>IF(CR320&lt;CX320,"yes","no")</f>
        <v>#DIV/0!</v>
      </c>
      <c r="DB320" t="e">
        <f>IF(CS320&lt;CY320,"yes","no")</f>
        <v>#DIV/0!</v>
      </c>
      <c r="DC320" t="e">
        <f>IF(CT320&lt;CZ320,"yes","no")</f>
        <v>#DIV/0!</v>
      </c>
    </row>
    <row r="321" spans="1:107" x14ac:dyDescent="0.2">
      <c r="A321" s="2" t="b">
        <v>0</v>
      </c>
      <c r="B321" s="2" t="s">
        <v>79</v>
      </c>
      <c r="C321" s="2" t="s">
        <v>80</v>
      </c>
      <c r="D321" s="2" t="s">
        <v>874</v>
      </c>
      <c r="E321" s="2" t="s">
        <v>875</v>
      </c>
      <c r="F321" s="2">
        <v>4</v>
      </c>
      <c r="G321" s="2">
        <v>4</v>
      </c>
      <c r="H321" s="2">
        <v>85.3</v>
      </c>
      <c r="I321" s="2">
        <v>6.96</v>
      </c>
      <c r="J321" s="2" t="s">
        <v>277</v>
      </c>
      <c r="K321" s="2" t="s">
        <v>84</v>
      </c>
      <c r="L321" s="2" t="s">
        <v>119</v>
      </c>
      <c r="M321" s="2" t="s">
        <v>876</v>
      </c>
      <c r="N321" s="2" t="s">
        <v>877</v>
      </c>
      <c r="O321" s="2">
        <v>3.1280000000000001</v>
      </c>
      <c r="P321" s="2">
        <v>0.01</v>
      </c>
      <c r="Q321" s="2">
        <v>0.01</v>
      </c>
      <c r="R321" s="2">
        <v>0.875</v>
      </c>
      <c r="S321" s="2">
        <v>2.8050000000000002</v>
      </c>
      <c r="T321" s="2">
        <v>0.01</v>
      </c>
      <c r="U321" s="2">
        <v>0.01</v>
      </c>
      <c r="V321" s="2">
        <v>0.01</v>
      </c>
      <c r="W321" s="2">
        <v>0.01</v>
      </c>
      <c r="X321" s="2" t="s">
        <v>83</v>
      </c>
      <c r="Y321" s="2">
        <v>133.1</v>
      </c>
      <c r="Z321" s="2">
        <v>96.3</v>
      </c>
      <c r="AA321" s="2">
        <v>270.60000000000002</v>
      </c>
      <c r="AB321" s="2" t="s">
        <v>83</v>
      </c>
      <c r="AC321" s="2" t="s">
        <v>83</v>
      </c>
      <c r="AD321" s="2">
        <v>275365.7578125</v>
      </c>
      <c r="AE321" s="2">
        <v>228453.0078125</v>
      </c>
      <c r="AF321" s="2">
        <v>228428.8046875</v>
      </c>
      <c r="AG321" s="2">
        <v>175628.783203125</v>
      </c>
      <c r="AH321" s="2">
        <v>149404.125</v>
      </c>
      <c r="AI321" s="2" t="s">
        <v>83</v>
      </c>
      <c r="AJ321" s="2">
        <v>3237.13842773438</v>
      </c>
      <c r="AK321" s="2" t="s">
        <v>83</v>
      </c>
      <c r="AL321" s="2">
        <v>5894.236328125</v>
      </c>
      <c r="AM321" s="2" t="s">
        <v>83</v>
      </c>
      <c r="AN321" s="2">
        <v>6018.1337890625</v>
      </c>
      <c r="AO321" s="2">
        <v>8821.361328125</v>
      </c>
      <c r="AP321" s="2">
        <v>13611.1611328125</v>
      </c>
      <c r="AQ321" s="2">
        <v>10676.12890625</v>
      </c>
      <c r="AR321" s="2">
        <v>10501.615234375</v>
      </c>
      <c r="AS321" s="2" t="s">
        <v>83</v>
      </c>
      <c r="AT321" s="2" t="s">
        <v>83</v>
      </c>
      <c r="AU321" s="2" t="s">
        <v>83</v>
      </c>
      <c r="AV321" s="2" t="s">
        <v>83</v>
      </c>
      <c r="AW321" s="2" t="s">
        <v>83</v>
      </c>
      <c r="AX321" s="2" t="s">
        <v>83</v>
      </c>
      <c r="AY321" s="2" t="s">
        <v>83</v>
      </c>
      <c r="AZ321" s="2" t="s">
        <v>83</v>
      </c>
      <c r="BA321" s="2" t="s">
        <v>83</v>
      </c>
      <c r="BB321" s="2" t="s">
        <v>83</v>
      </c>
      <c r="BC321" s="2" t="s">
        <v>79</v>
      </c>
      <c r="BD321" s="2" t="s">
        <v>79</v>
      </c>
      <c r="BE321" s="2" t="s">
        <v>79</v>
      </c>
      <c r="BF321" s="2" t="s">
        <v>79</v>
      </c>
      <c r="BG321" s="2" t="s">
        <v>79</v>
      </c>
      <c r="BH321" s="2" t="s">
        <v>98</v>
      </c>
      <c r="BI321" s="2" t="s">
        <v>91</v>
      </c>
      <c r="BJ321" s="2" t="s">
        <v>98</v>
      </c>
      <c r="BK321" s="2" t="s">
        <v>91</v>
      </c>
      <c r="BL321" s="2" t="s">
        <v>98</v>
      </c>
      <c r="BM321" s="2" t="s">
        <v>91</v>
      </c>
      <c r="BN321" s="2" t="s">
        <v>91</v>
      </c>
      <c r="BO321" s="2" t="s">
        <v>91</v>
      </c>
      <c r="BP321" s="2" t="s">
        <v>91</v>
      </c>
      <c r="BQ321" s="2" t="s">
        <v>91</v>
      </c>
      <c r="BR321" s="2" t="s">
        <v>98</v>
      </c>
      <c r="BS321" s="2" t="s">
        <v>98</v>
      </c>
      <c r="BT321" s="2" t="s">
        <v>98</v>
      </c>
      <c r="BU321" s="2" t="s">
        <v>98</v>
      </c>
      <c r="BV321" s="2" t="s">
        <v>98</v>
      </c>
      <c r="BW321" s="2" t="s">
        <v>98</v>
      </c>
      <c r="BX321" s="2" t="s">
        <v>98</v>
      </c>
      <c r="BY321" s="2" t="s">
        <v>98</v>
      </c>
      <c r="BZ321" s="2" t="s">
        <v>98</v>
      </c>
      <c r="CA321" s="2" t="s">
        <v>98</v>
      </c>
      <c r="CB321" t="e">
        <f>TTEST(AS321:AW321,AI321:AM321,2,2)</f>
        <v>#DIV/0!</v>
      </c>
      <c r="CC321">
        <f>TTEST(AD321:AH321,AI321:AM321,2,2)</f>
        <v>2.5364172530881958E-3</v>
      </c>
      <c r="CD321">
        <f>TTEST(AN321:AR321,AI321:AM321,2,2)</f>
        <v>5.8724770044354946E-2</v>
      </c>
      <c r="CE321" t="e">
        <f>TTEST(AX321:BB321,AI321:AM321,2,2)</f>
        <v>#DIV/0!</v>
      </c>
      <c r="CF321">
        <v>441</v>
      </c>
      <c r="CG321">
        <v>146</v>
      </c>
      <c r="CH321">
        <v>123</v>
      </c>
      <c r="CI321">
        <v>318</v>
      </c>
      <c r="CJ321">
        <f>0.05*CF321/464</f>
        <v>4.7521551724137932E-2</v>
      </c>
      <c r="CK321">
        <f>0.05*CG321/464</f>
        <v>1.5732758620689655E-2</v>
      </c>
      <c r="CL321">
        <f>0.05*CH321/464</f>
        <v>1.3254310344827587E-2</v>
      </c>
      <c r="CM321">
        <f>0.05*CI321/464</f>
        <v>3.4267241379310344E-2</v>
      </c>
      <c r="CN321" t="e">
        <f>IF(CB321&lt;CJ321,"yes","no")</f>
        <v>#DIV/0!</v>
      </c>
      <c r="CO321" t="str">
        <f>IF(CC321&lt;CK321,"yes","no")</f>
        <v>yes</v>
      </c>
      <c r="CP321" t="str">
        <f>IF(CD321&lt;CL321,"yes","no")</f>
        <v>no</v>
      </c>
      <c r="CQ321" t="e">
        <f>IF(CE321&lt;CM321,"yes","no")</f>
        <v>#DIV/0!</v>
      </c>
      <c r="CR321" t="e">
        <f>TTEST(AS321:AW321,AD321:AH321,2,2)</f>
        <v>#DIV/0!</v>
      </c>
      <c r="CS321" t="e">
        <f>TTEST(AS321:AW321,AN321:AR321,2,2)</f>
        <v>#DIV/0!</v>
      </c>
      <c r="CT321" t="e">
        <f>TTEST(AS321:AW321,AX321:BB321,2,2)</f>
        <v>#DIV/0!</v>
      </c>
      <c r="CU321">
        <v>308</v>
      </c>
      <c r="CV321">
        <v>313</v>
      </c>
      <c r="CW321">
        <v>320</v>
      </c>
      <c r="CX321">
        <f t="shared" si="12"/>
        <v>3.3189655172413797E-2</v>
      </c>
      <c r="CY321">
        <f t="shared" si="13"/>
        <v>3.372844827586207E-2</v>
      </c>
      <c r="CZ321">
        <f t="shared" si="14"/>
        <v>3.4482758620689655E-2</v>
      </c>
      <c r="DA321" t="e">
        <f>IF(CR321&lt;CX321,"yes","no")</f>
        <v>#DIV/0!</v>
      </c>
      <c r="DB321" t="e">
        <f>IF(CS321&lt;CY321,"yes","no")</f>
        <v>#DIV/0!</v>
      </c>
      <c r="DC321" t="e">
        <f>IF(CT321&lt;CZ321,"yes","no")</f>
        <v>#DIV/0!</v>
      </c>
    </row>
    <row r="322" spans="1:107" x14ac:dyDescent="0.2">
      <c r="A322" s="2" t="b">
        <v>0</v>
      </c>
      <c r="B322" s="2" t="s">
        <v>79</v>
      </c>
      <c r="C322" s="2" t="s">
        <v>80</v>
      </c>
      <c r="D322" s="2" t="s">
        <v>1029</v>
      </c>
      <c r="E322" s="2" t="s">
        <v>1030</v>
      </c>
      <c r="F322" s="2">
        <v>4</v>
      </c>
      <c r="G322" s="2">
        <v>4</v>
      </c>
      <c r="H322" s="2">
        <v>74.599999999999994</v>
      </c>
      <c r="I322" s="2">
        <v>5.48</v>
      </c>
      <c r="J322" s="2" t="s">
        <v>254</v>
      </c>
      <c r="K322" s="2" t="s">
        <v>84</v>
      </c>
      <c r="L322" s="2" t="s">
        <v>119</v>
      </c>
      <c r="M322" s="2" t="s">
        <v>1031</v>
      </c>
      <c r="N322" s="2" t="s">
        <v>1032</v>
      </c>
      <c r="O322" s="2">
        <v>3.0470000000000002</v>
      </c>
      <c r="P322" s="2">
        <v>0.01</v>
      </c>
      <c r="Q322" s="2">
        <v>0.66500000000000004</v>
      </c>
      <c r="R322" s="2">
        <v>0.41799999999999998</v>
      </c>
      <c r="S322" s="2">
        <v>1.125</v>
      </c>
      <c r="T322" s="2">
        <v>0.01</v>
      </c>
      <c r="U322" s="2" t="s">
        <v>83</v>
      </c>
      <c r="V322" s="2">
        <v>0.01</v>
      </c>
      <c r="W322" s="2">
        <v>0.20699999999999999</v>
      </c>
      <c r="X322" s="2">
        <v>100</v>
      </c>
      <c r="Y322" s="2">
        <v>115.6</v>
      </c>
      <c r="Z322" s="2">
        <v>64.5</v>
      </c>
      <c r="AA322" s="2">
        <v>281.8</v>
      </c>
      <c r="AB322" s="2" t="s">
        <v>83</v>
      </c>
      <c r="AC322" s="2">
        <v>38.1</v>
      </c>
      <c r="AD322" s="2">
        <v>629549.1328125</v>
      </c>
      <c r="AE322" s="2">
        <v>488865.1640625</v>
      </c>
      <c r="AF322" s="2">
        <v>377084.1484375</v>
      </c>
      <c r="AG322" s="2">
        <v>639631.46875</v>
      </c>
      <c r="AH322" s="2">
        <v>491401.56640625</v>
      </c>
      <c r="AI322" s="2">
        <v>3287.73852539063</v>
      </c>
      <c r="AJ322" s="2" t="s">
        <v>83</v>
      </c>
      <c r="AK322" s="2">
        <v>26551.55078125</v>
      </c>
      <c r="AL322" s="2">
        <v>4056.10180664063</v>
      </c>
      <c r="AM322" s="2">
        <v>9713.4140625</v>
      </c>
      <c r="AN322" s="2">
        <v>29205.6845703125</v>
      </c>
      <c r="AO322" s="2">
        <v>20458.883300781301</v>
      </c>
      <c r="AP322" s="2">
        <v>15285.0869140625</v>
      </c>
      <c r="AQ322" s="2">
        <v>14823.9677734375</v>
      </c>
      <c r="AR322" s="2">
        <v>33057.6826171875</v>
      </c>
      <c r="AS322" s="2" t="s">
        <v>83</v>
      </c>
      <c r="AT322" s="2" t="s">
        <v>83</v>
      </c>
      <c r="AU322" s="2" t="s">
        <v>83</v>
      </c>
      <c r="AV322" s="2" t="s">
        <v>83</v>
      </c>
      <c r="AW322" s="2" t="s">
        <v>83</v>
      </c>
      <c r="AX322" s="2" t="s">
        <v>83</v>
      </c>
      <c r="AY322" s="2" t="s">
        <v>83</v>
      </c>
      <c r="AZ322" s="2" t="s">
        <v>83</v>
      </c>
      <c r="BA322" s="2">
        <v>8739.84375</v>
      </c>
      <c r="BB322" s="2" t="s">
        <v>83</v>
      </c>
      <c r="BC322" s="2" t="s">
        <v>79</v>
      </c>
      <c r="BD322" s="2" t="s">
        <v>79</v>
      </c>
      <c r="BE322" s="2" t="s">
        <v>79</v>
      </c>
      <c r="BF322" s="2" t="s">
        <v>79</v>
      </c>
      <c r="BG322" s="2" t="s">
        <v>79</v>
      </c>
      <c r="BH322" s="2" t="s">
        <v>91</v>
      </c>
      <c r="BI322" s="2" t="s">
        <v>98</v>
      </c>
      <c r="BJ322" s="2" t="s">
        <v>91</v>
      </c>
      <c r="BK322" s="2" t="s">
        <v>91</v>
      </c>
      <c r="BL322" s="2" t="s">
        <v>91</v>
      </c>
      <c r="BM322" s="2" t="s">
        <v>91</v>
      </c>
      <c r="BN322" s="2" t="s">
        <v>91</v>
      </c>
      <c r="BO322" s="2" t="s">
        <v>91</v>
      </c>
      <c r="BP322" s="2" t="s">
        <v>91</v>
      </c>
      <c r="BQ322" s="2" t="s">
        <v>91</v>
      </c>
      <c r="BR322" s="2" t="s">
        <v>98</v>
      </c>
      <c r="BS322" s="2" t="s">
        <v>98</v>
      </c>
      <c r="BT322" s="2" t="s">
        <v>98</v>
      </c>
      <c r="BU322" s="2" t="s">
        <v>98</v>
      </c>
      <c r="BV322" s="2" t="s">
        <v>98</v>
      </c>
      <c r="BW322" s="2" t="s">
        <v>98</v>
      </c>
      <c r="BX322" s="2" t="s">
        <v>98</v>
      </c>
      <c r="BY322" s="2" t="s">
        <v>98</v>
      </c>
      <c r="BZ322" s="2" t="s">
        <v>91</v>
      </c>
      <c r="CA322" s="2" t="s">
        <v>98</v>
      </c>
      <c r="CB322" t="e">
        <f>TTEST(AS322:AW322,AI322:AM322,2,2)</f>
        <v>#DIV/0!</v>
      </c>
      <c r="CC322">
        <f>TTEST(AD322:AH322,AI322:AM322,2,2)</f>
        <v>3.722433480965657E-5</v>
      </c>
      <c r="CD322">
        <f>TTEST(AN322:AR322,AI322:AM322,2,2)</f>
        <v>0.10778724267916893</v>
      </c>
      <c r="CE322" t="e">
        <f>TTEST(AX322:BB322,AI322:AM322,2,2)</f>
        <v>#DIV/0!</v>
      </c>
      <c r="CF322">
        <v>446</v>
      </c>
      <c r="CG322">
        <v>97</v>
      </c>
      <c r="CH322">
        <v>133</v>
      </c>
      <c r="CI322">
        <v>319</v>
      </c>
      <c r="CJ322">
        <f>0.05*CF322/464</f>
        <v>4.8060344827586206E-2</v>
      </c>
      <c r="CK322">
        <f>0.05*CG322/464</f>
        <v>1.0452586206896554E-2</v>
      </c>
      <c r="CL322">
        <f>0.05*CH322/464</f>
        <v>1.4331896551724139E-2</v>
      </c>
      <c r="CM322">
        <f>0.05*CI322/464</f>
        <v>3.4375000000000003E-2</v>
      </c>
      <c r="CN322" t="e">
        <f>IF(CB322&lt;CJ322,"yes","no")</f>
        <v>#DIV/0!</v>
      </c>
      <c r="CO322" t="str">
        <f>IF(CC322&lt;CK322,"yes","no")</f>
        <v>yes</v>
      </c>
      <c r="CP322" t="str">
        <f>IF(CD322&lt;CL322,"yes","no")</f>
        <v>no</v>
      </c>
      <c r="CQ322" t="e">
        <f>IF(CE322&lt;CM322,"yes","no")</f>
        <v>#DIV/0!</v>
      </c>
      <c r="CR322" t="e">
        <f>TTEST(AS322:AW322,AD322:AH322,2,2)</f>
        <v>#DIV/0!</v>
      </c>
      <c r="CS322" t="e">
        <f>TTEST(AS322:AW322,AN322:AR322,2,2)</f>
        <v>#DIV/0!</v>
      </c>
      <c r="CT322" t="e">
        <f>TTEST(AS322:AW322,AX322:BB322,2,2)</f>
        <v>#DIV/0!</v>
      </c>
      <c r="CU322">
        <v>309</v>
      </c>
      <c r="CV322">
        <v>314</v>
      </c>
      <c r="CW322">
        <v>321</v>
      </c>
      <c r="CX322">
        <f t="shared" si="12"/>
        <v>3.3297413793103449E-2</v>
      </c>
      <c r="CY322">
        <f t="shared" si="13"/>
        <v>3.3836206896551729E-2</v>
      </c>
      <c r="CZ322">
        <f t="shared" si="14"/>
        <v>3.4590517241379314E-2</v>
      </c>
      <c r="DA322" t="e">
        <f>IF(CR322&lt;CX322,"yes","no")</f>
        <v>#DIV/0!</v>
      </c>
      <c r="DB322" t="e">
        <f>IF(CS322&lt;CY322,"yes","no")</f>
        <v>#DIV/0!</v>
      </c>
      <c r="DC322" t="e">
        <f>IF(CT322&lt;CZ322,"yes","no")</f>
        <v>#DIV/0!</v>
      </c>
    </row>
    <row r="323" spans="1:107" x14ac:dyDescent="0.2">
      <c r="A323" s="2" t="b">
        <v>0</v>
      </c>
      <c r="B323" s="2" t="s">
        <v>79</v>
      </c>
      <c r="C323" s="2" t="s">
        <v>80</v>
      </c>
      <c r="D323" s="2" t="s">
        <v>928</v>
      </c>
      <c r="E323" s="2" t="s">
        <v>929</v>
      </c>
      <c r="F323" s="2">
        <v>4</v>
      </c>
      <c r="G323" s="2">
        <v>4</v>
      </c>
      <c r="H323" s="2">
        <v>41.4</v>
      </c>
      <c r="I323" s="2">
        <v>7.15</v>
      </c>
      <c r="J323" s="2" t="s">
        <v>135</v>
      </c>
      <c r="K323" s="2" t="s">
        <v>514</v>
      </c>
      <c r="L323" s="2" t="s">
        <v>119</v>
      </c>
      <c r="M323" s="2" t="s">
        <v>930</v>
      </c>
      <c r="N323" s="2" t="s">
        <v>928</v>
      </c>
      <c r="O323" s="2">
        <v>10.728</v>
      </c>
      <c r="P323" s="2">
        <v>1.629</v>
      </c>
      <c r="Q323" s="2">
        <v>4.2960000000000003</v>
      </c>
      <c r="R323" s="2">
        <v>0.32300000000000001</v>
      </c>
      <c r="S323" s="2">
        <v>1.67</v>
      </c>
      <c r="T323" s="2">
        <v>0.217</v>
      </c>
      <c r="U323" s="2">
        <v>0.57199999999999995</v>
      </c>
      <c r="V323" s="2">
        <v>0.14199999999999999</v>
      </c>
      <c r="W323" s="2">
        <v>0.373</v>
      </c>
      <c r="X323" s="2">
        <v>2.6360000000000001</v>
      </c>
      <c r="Y323" s="2">
        <v>43.8</v>
      </c>
      <c r="Z323" s="2">
        <v>139.80000000000001</v>
      </c>
      <c r="AA323" s="2">
        <v>220.7</v>
      </c>
      <c r="AB323" s="2">
        <v>26.3</v>
      </c>
      <c r="AC323" s="2">
        <v>69.3</v>
      </c>
      <c r="AD323" s="2">
        <v>105648.33984375</v>
      </c>
      <c r="AE323" s="2" t="s">
        <v>83</v>
      </c>
      <c r="AF323" s="2">
        <v>128338.826171875</v>
      </c>
      <c r="AG323" s="2">
        <v>1699389.65625</v>
      </c>
      <c r="AH323" s="2" t="s">
        <v>83</v>
      </c>
      <c r="AI323" s="2">
        <v>7712.80029296875</v>
      </c>
      <c r="AJ323" s="2">
        <v>11478.076171875</v>
      </c>
      <c r="AK323" s="2">
        <v>4724.12841796875</v>
      </c>
      <c r="AL323" s="2">
        <v>22012.41015625</v>
      </c>
      <c r="AM323" s="2">
        <v>7819.51953125</v>
      </c>
      <c r="AN323" s="2" t="s">
        <v>83</v>
      </c>
      <c r="AO323" s="2" t="s">
        <v>83</v>
      </c>
      <c r="AP323" s="2">
        <v>12841.6513671875</v>
      </c>
      <c r="AQ323" s="2">
        <v>16254.5380859375</v>
      </c>
      <c r="AR323" s="2">
        <v>41059.9912109375</v>
      </c>
      <c r="AS323" s="2" t="s">
        <v>83</v>
      </c>
      <c r="AT323" s="2" t="s">
        <v>83</v>
      </c>
      <c r="AU323" s="2">
        <v>11872.00390625</v>
      </c>
      <c r="AV323" s="2" t="s">
        <v>83</v>
      </c>
      <c r="AW323" s="2" t="s">
        <v>83</v>
      </c>
      <c r="AX323" s="2">
        <v>11356.64453125</v>
      </c>
      <c r="AY323" s="2" t="s">
        <v>83</v>
      </c>
      <c r="AZ323" s="2" t="s">
        <v>83</v>
      </c>
      <c r="BA323" s="2" t="s">
        <v>83</v>
      </c>
      <c r="BB323" s="2" t="s">
        <v>83</v>
      </c>
      <c r="BC323" s="2" t="s">
        <v>79</v>
      </c>
      <c r="BD323" s="2" t="s">
        <v>98</v>
      </c>
      <c r="BE323" s="2" t="s">
        <v>79</v>
      </c>
      <c r="BF323" s="2" t="s">
        <v>79</v>
      </c>
      <c r="BG323" s="2" t="s">
        <v>98</v>
      </c>
      <c r="BH323" s="2" t="s">
        <v>91</v>
      </c>
      <c r="BI323" s="2" t="s">
        <v>91</v>
      </c>
      <c r="BJ323" s="2" t="s">
        <v>91</v>
      </c>
      <c r="BK323" s="2" t="s">
        <v>91</v>
      </c>
      <c r="BL323" s="2" t="s">
        <v>91</v>
      </c>
      <c r="BM323" s="2" t="s">
        <v>98</v>
      </c>
      <c r="BN323" s="2" t="s">
        <v>98</v>
      </c>
      <c r="BO323" s="2" t="s">
        <v>91</v>
      </c>
      <c r="BP323" s="2" t="s">
        <v>91</v>
      </c>
      <c r="BQ323" s="2" t="s">
        <v>79</v>
      </c>
      <c r="BR323" s="2" t="s">
        <v>98</v>
      </c>
      <c r="BS323" s="2" t="s">
        <v>98</v>
      </c>
      <c r="BT323" s="2" t="s">
        <v>91</v>
      </c>
      <c r="BU323" s="2" t="s">
        <v>98</v>
      </c>
      <c r="BV323" s="2" t="s">
        <v>98</v>
      </c>
      <c r="BW323" s="2" t="s">
        <v>91</v>
      </c>
      <c r="BX323" s="2" t="s">
        <v>98</v>
      </c>
      <c r="BY323" s="2" t="s">
        <v>98</v>
      </c>
      <c r="BZ323" s="2" t="s">
        <v>98</v>
      </c>
      <c r="CA323" s="2" t="s">
        <v>98</v>
      </c>
      <c r="CB323" t="e">
        <f>TTEST(AS323:AW323,AI323:AM323,2,2)</f>
        <v>#DIV/0!</v>
      </c>
      <c r="CC323">
        <f>TTEST(AD323:AH323,AI323:AM323,2,2)</f>
        <v>0.15109291496267468</v>
      </c>
      <c r="CD323">
        <f>TTEST(AN323:AR323,AI323:AM323,2,2)</f>
        <v>0.1490316768582397</v>
      </c>
      <c r="CE323" t="e">
        <f>TTEST(AX323:BB323,AI323:AM323,2,2)</f>
        <v>#DIV/0!</v>
      </c>
      <c r="CF323">
        <v>429</v>
      </c>
      <c r="CG323">
        <v>206</v>
      </c>
      <c r="CH323">
        <v>141</v>
      </c>
      <c r="CI323">
        <v>320</v>
      </c>
      <c r="CJ323">
        <f>0.05*CF323/464</f>
        <v>4.6228448275862075E-2</v>
      </c>
      <c r="CK323">
        <f>0.05*CG323/464</f>
        <v>2.2198275862068968E-2</v>
      </c>
      <c r="CL323">
        <f>0.05*CH323/464</f>
        <v>1.519396551724138E-2</v>
      </c>
      <c r="CM323">
        <f>0.05*CI323/464</f>
        <v>3.4482758620689655E-2</v>
      </c>
      <c r="CN323" t="e">
        <f>IF(CB323&lt;CJ323,"yes","no")</f>
        <v>#DIV/0!</v>
      </c>
      <c r="CO323" t="str">
        <f>IF(CC323&lt;CK323,"yes","no")</f>
        <v>no</v>
      </c>
      <c r="CP323" t="str">
        <f>IF(CD323&lt;CL323,"yes","no")</f>
        <v>no</v>
      </c>
      <c r="CQ323" t="e">
        <f>IF(CE323&lt;CM323,"yes","no")</f>
        <v>#DIV/0!</v>
      </c>
      <c r="CR323" t="e">
        <f>TTEST(AS323:AW323,AD323:AH323,2,2)</f>
        <v>#DIV/0!</v>
      </c>
      <c r="CS323" t="e">
        <f>TTEST(AS323:AW323,AN323:AR323,2,2)</f>
        <v>#DIV/0!</v>
      </c>
      <c r="CT323" t="e">
        <f>TTEST(AS323:AW323,AX323:BB323,2,2)</f>
        <v>#DIV/0!</v>
      </c>
      <c r="CU323">
        <v>311</v>
      </c>
      <c r="CV323">
        <v>315</v>
      </c>
      <c r="CW323">
        <v>322</v>
      </c>
      <c r="CX323">
        <f t="shared" ref="CX323:CX386" si="15">0.05*CU323/464</f>
        <v>3.351293103448276E-2</v>
      </c>
      <c r="CY323">
        <f t="shared" ref="CY323:CY386" si="16">0.05*CV323/464</f>
        <v>3.3943965517241381E-2</v>
      </c>
      <c r="CZ323">
        <f t="shared" ref="CZ323:CZ386" si="17">0.05*CW323/464</f>
        <v>3.4698275862068965E-2</v>
      </c>
      <c r="DA323" t="e">
        <f>IF(CR323&lt;CX323,"yes","no")</f>
        <v>#DIV/0!</v>
      </c>
      <c r="DB323" t="e">
        <f>IF(CS323&lt;CY323,"yes","no")</f>
        <v>#DIV/0!</v>
      </c>
      <c r="DC323" t="e">
        <f>IF(CT323&lt;CZ323,"yes","no")</f>
        <v>#DIV/0!</v>
      </c>
    </row>
    <row r="324" spans="1:107" x14ac:dyDescent="0.2">
      <c r="A324" s="2" t="b">
        <v>0</v>
      </c>
      <c r="B324" s="2" t="s">
        <v>79</v>
      </c>
      <c r="C324" s="2" t="s">
        <v>80</v>
      </c>
      <c r="D324" s="2" t="s">
        <v>1567</v>
      </c>
      <c r="E324" s="2" t="s">
        <v>1568</v>
      </c>
      <c r="F324" s="2">
        <v>1</v>
      </c>
      <c r="G324" s="2">
        <v>1</v>
      </c>
      <c r="H324" s="2">
        <v>31.3</v>
      </c>
      <c r="I324" s="2">
        <v>8.6300000000000008</v>
      </c>
      <c r="J324" s="2" t="s">
        <v>83</v>
      </c>
      <c r="K324" s="2" t="s">
        <v>136</v>
      </c>
      <c r="L324" s="2" t="s">
        <v>83</v>
      </c>
      <c r="M324" s="2" t="s">
        <v>1569</v>
      </c>
      <c r="N324" s="2" t="s">
        <v>1567</v>
      </c>
      <c r="O324" s="2">
        <v>100</v>
      </c>
      <c r="P324" s="2" t="s">
        <v>83</v>
      </c>
      <c r="Q324" s="2" t="s">
        <v>83</v>
      </c>
      <c r="R324" s="2">
        <v>0.01</v>
      </c>
      <c r="S324" s="2">
        <v>0.75</v>
      </c>
      <c r="T324" s="2">
        <v>0.01</v>
      </c>
      <c r="U324" s="2">
        <v>0.01</v>
      </c>
      <c r="V324" s="2">
        <v>0.01</v>
      </c>
      <c r="W324" s="2">
        <v>0.01</v>
      </c>
      <c r="X324" s="2" t="s">
        <v>83</v>
      </c>
      <c r="Y324" s="2" t="s">
        <v>83</v>
      </c>
      <c r="Z324" s="2">
        <v>285.7</v>
      </c>
      <c r="AA324" s="2">
        <v>214.3</v>
      </c>
      <c r="AB324" s="2" t="s">
        <v>83</v>
      </c>
      <c r="AC324" s="2" t="s">
        <v>83</v>
      </c>
      <c r="AD324" s="2" t="s">
        <v>83</v>
      </c>
      <c r="AE324" s="2" t="s">
        <v>83</v>
      </c>
      <c r="AF324" s="2" t="s">
        <v>83</v>
      </c>
      <c r="AG324" s="2" t="s">
        <v>83</v>
      </c>
      <c r="AH324" s="2" t="s">
        <v>83</v>
      </c>
      <c r="AI324" s="2" t="s">
        <v>83</v>
      </c>
      <c r="AJ324" s="2">
        <v>28322.728515625</v>
      </c>
      <c r="AK324" s="2" t="s">
        <v>83</v>
      </c>
      <c r="AL324" s="2">
        <v>23227.73046875</v>
      </c>
      <c r="AM324" s="2">
        <v>11246.8115234375</v>
      </c>
      <c r="AN324" s="2">
        <v>9272.287109375</v>
      </c>
      <c r="AO324" s="2" t="s">
        <v>83</v>
      </c>
      <c r="AP324" s="2">
        <v>16172.79296875</v>
      </c>
      <c r="AQ324" s="2" t="s">
        <v>83</v>
      </c>
      <c r="AR324" s="2">
        <v>13302.345703125</v>
      </c>
      <c r="AS324" s="2" t="s">
        <v>83</v>
      </c>
      <c r="AT324" s="2" t="s">
        <v>83</v>
      </c>
      <c r="AU324" s="2" t="s">
        <v>83</v>
      </c>
      <c r="AV324" s="2" t="s">
        <v>83</v>
      </c>
      <c r="AW324" s="2" t="s">
        <v>83</v>
      </c>
      <c r="AX324" s="2" t="s">
        <v>83</v>
      </c>
      <c r="AY324" s="2" t="s">
        <v>83</v>
      </c>
      <c r="AZ324" s="2" t="s">
        <v>83</v>
      </c>
      <c r="BA324" s="2" t="s">
        <v>83</v>
      </c>
      <c r="BB324" s="2" t="s">
        <v>83</v>
      </c>
      <c r="BC324" s="2" t="s">
        <v>98</v>
      </c>
      <c r="BD324" s="2" t="s">
        <v>98</v>
      </c>
      <c r="BE324" s="2" t="s">
        <v>98</v>
      </c>
      <c r="BF324" s="2" t="s">
        <v>98</v>
      </c>
      <c r="BG324" s="2" t="s">
        <v>98</v>
      </c>
      <c r="BH324" s="2" t="s">
        <v>79</v>
      </c>
      <c r="BI324" s="2" t="s">
        <v>79</v>
      </c>
      <c r="BJ324" s="2" t="s">
        <v>79</v>
      </c>
      <c r="BK324" s="2" t="s">
        <v>79</v>
      </c>
      <c r="BL324" s="2" t="s">
        <v>79</v>
      </c>
      <c r="BM324" s="2" t="s">
        <v>79</v>
      </c>
      <c r="BN324" s="2" t="s">
        <v>79</v>
      </c>
      <c r="BO324" s="2" t="s">
        <v>79</v>
      </c>
      <c r="BP324" s="2" t="s">
        <v>79</v>
      </c>
      <c r="BQ324" s="2" t="s">
        <v>79</v>
      </c>
      <c r="BR324" s="2" t="s">
        <v>98</v>
      </c>
      <c r="BS324" s="2" t="s">
        <v>79</v>
      </c>
      <c r="BT324" s="2" t="s">
        <v>79</v>
      </c>
      <c r="BU324" s="2" t="s">
        <v>79</v>
      </c>
      <c r="BV324" s="2" t="s">
        <v>79</v>
      </c>
      <c r="BW324" s="2" t="s">
        <v>79</v>
      </c>
      <c r="BX324" s="2" t="s">
        <v>79</v>
      </c>
      <c r="BY324" s="2" t="s">
        <v>98</v>
      </c>
      <c r="BZ324" s="2" t="s">
        <v>98</v>
      </c>
      <c r="CA324" s="2" t="s">
        <v>79</v>
      </c>
      <c r="CB324" t="e">
        <f>TTEST(AS324:AW324,AI324:AM324,2,2)</f>
        <v>#DIV/0!</v>
      </c>
      <c r="CC324" t="e">
        <f>TTEST(AD324:AH324,AI324:AM324,2,2)</f>
        <v>#DIV/0!</v>
      </c>
      <c r="CD324">
        <f>TTEST(AN324:AR324,AI324:AM324,2,2)</f>
        <v>0.21475683973807039</v>
      </c>
      <c r="CE324" t="e">
        <f>TTEST(AX324:BB324,AI324:AM324,2,2)</f>
        <v>#DIV/0!</v>
      </c>
      <c r="CF324">
        <v>461</v>
      </c>
      <c r="CG324">
        <v>461</v>
      </c>
      <c r="CH324">
        <v>146</v>
      </c>
      <c r="CI324">
        <v>321</v>
      </c>
      <c r="CJ324">
        <f>0.05*CF324/464</f>
        <v>4.9676724137931033E-2</v>
      </c>
      <c r="CK324">
        <f>0.05*CG324/464</f>
        <v>4.9676724137931033E-2</v>
      </c>
      <c r="CL324">
        <f>0.05*CH324/464</f>
        <v>1.5732758620689655E-2</v>
      </c>
      <c r="CM324">
        <f>0.05*CI324/464</f>
        <v>3.4590517241379314E-2</v>
      </c>
      <c r="CN324" t="e">
        <f>IF(CB324&lt;CJ324,"yes","no")</f>
        <v>#DIV/0!</v>
      </c>
      <c r="CO324" t="e">
        <f>IF(CC324&lt;CK324,"yes","no")</f>
        <v>#DIV/0!</v>
      </c>
      <c r="CP324" t="str">
        <f>IF(CD324&lt;CL324,"yes","no")</f>
        <v>no</v>
      </c>
      <c r="CQ324" t="e">
        <f>IF(CE324&lt;CM324,"yes","no")</f>
        <v>#DIV/0!</v>
      </c>
      <c r="CR324" t="e">
        <f>TTEST(AS324:AW324,AD324:AH324,2,2)</f>
        <v>#DIV/0!</v>
      </c>
      <c r="CS324" t="e">
        <f>TTEST(AS324:AW324,AN324:AR324,2,2)</f>
        <v>#DIV/0!</v>
      </c>
      <c r="CT324" t="e">
        <f>TTEST(AS324:AW324,AX324:BB324,2,2)</f>
        <v>#DIV/0!</v>
      </c>
      <c r="CU324">
        <v>312</v>
      </c>
      <c r="CV324">
        <v>316</v>
      </c>
      <c r="CW324">
        <v>323</v>
      </c>
      <c r="CX324">
        <f t="shared" si="15"/>
        <v>3.3620689655172419E-2</v>
      </c>
      <c r="CY324">
        <f t="shared" si="16"/>
        <v>3.4051724137931033E-2</v>
      </c>
      <c r="CZ324">
        <f t="shared" si="17"/>
        <v>3.4806034482758624E-2</v>
      </c>
      <c r="DA324" t="e">
        <f>IF(CR324&lt;CX324,"yes","no")</f>
        <v>#DIV/0!</v>
      </c>
      <c r="DB324" t="e">
        <f>IF(CS324&lt;CY324,"yes","no")</f>
        <v>#DIV/0!</v>
      </c>
      <c r="DC324" t="e">
        <f>IF(CT324&lt;CZ324,"yes","no")</f>
        <v>#DIV/0!</v>
      </c>
    </row>
    <row r="325" spans="1:107" x14ac:dyDescent="0.2">
      <c r="A325" s="2" t="b">
        <v>0</v>
      </c>
      <c r="B325" s="2" t="s">
        <v>79</v>
      </c>
      <c r="C325" s="2" t="s">
        <v>80</v>
      </c>
      <c r="D325" s="2" t="s">
        <v>1623</v>
      </c>
      <c r="E325" s="2" t="s">
        <v>1624</v>
      </c>
      <c r="F325" s="2">
        <v>1</v>
      </c>
      <c r="G325" s="2">
        <v>1</v>
      </c>
      <c r="H325" s="2">
        <v>113.8</v>
      </c>
      <c r="I325" s="2">
        <v>4.8600000000000003</v>
      </c>
      <c r="J325" s="2" t="s">
        <v>1625</v>
      </c>
      <c r="K325" s="2" t="s">
        <v>477</v>
      </c>
      <c r="L325" s="2" t="s">
        <v>119</v>
      </c>
      <c r="M325" s="2" t="s">
        <v>1626</v>
      </c>
      <c r="N325" s="2" t="s">
        <v>1623</v>
      </c>
      <c r="O325" s="2">
        <v>100</v>
      </c>
      <c r="P325" s="2" t="s">
        <v>83</v>
      </c>
      <c r="Q325" s="2" t="s">
        <v>83</v>
      </c>
      <c r="R325" s="2">
        <v>0.01</v>
      </c>
      <c r="S325" s="2">
        <v>1.1319999999999999</v>
      </c>
      <c r="T325" s="2">
        <v>0.01</v>
      </c>
      <c r="U325" s="2">
        <v>0.01</v>
      </c>
      <c r="V325" s="2">
        <v>0.01</v>
      </c>
      <c r="W325" s="2">
        <v>0.01</v>
      </c>
      <c r="X325" s="2" t="s">
        <v>83</v>
      </c>
      <c r="Y325" s="2" t="s">
        <v>83</v>
      </c>
      <c r="Z325" s="2">
        <v>213.5</v>
      </c>
      <c r="AA325" s="2">
        <v>286.5</v>
      </c>
      <c r="AB325" s="2" t="s">
        <v>83</v>
      </c>
      <c r="AC325" s="2" t="s">
        <v>83</v>
      </c>
      <c r="AD325" s="2" t="s">
        <v>83</v>
      </c>
      <c r="AE325" s="2" t="s">
        <v>83</v>
      </c>
      <c r="AF325" s="2" t="s">
        <v>83</v>
      </c>
      <c r="AG325" s="2" t="s">
        <v>83</v>
      </c>
      <c r="AH325" s="2" t="s">
        <v>83</v>
      </c>
      <c r="AI325" s="2">
        <v>8455.359375</v>
      </c>
      <c r="AJ325" s="2">
        <v>31814.9921875</v>
      </c>
      <c r="AK325" s="2">
        <v>8367.8896484375</v>
      </c>
      <c r="AL325" s="2">
        <v>100112.8046875</v>
      </c>
      <c r="AM325" s="2">
        <v>7605.6416015625</v>
      </c>
      <c r="AN325" s="2" t="s">
        <v>83</v>
      </c>
      <c r="AO325" s="2" t="s">
        <v>83</v>
      </c>
      <c r="AP325" s="2">
        <v>15346.6728515625</v>
      </c>
      <c r="AQ325" s="2">
        <v>15501.3154296875</v>
      </c>
      <c r="AR325" s="2">
        <v>13197.826171875</v>
      </c>
      <c r="AS325" s="2" t="s">
        <v>83</v>
      </c>
      <c r="AT325" s="2" t="s">
        <v>83</v>
      </c>
      <c r="AU325" s="2" t="s">
        <v>83</v>
      </c>
      <c r="AV325" s="2" t="s">
        <v>83</v>
      </c>
      <c r="AW325" s="2" t="s">
        <v>83</v>
      </c>
      <c r="AX325" s="2" t="s">
        <v>83</v>
      </c>
      <c r="AY325" s="2" t="s">
        <v>83</v>
      </c>
      <c r="AZ325" s="2" t="s">
        <v>83</v>
      </c>
      <c r="BA325" s="2" t="s">
        <v>83</v>
      </c>
      <c r="BB325" s="2" t="s">
        <v>83</v>
      </c>
      <c r="BC325" s="2" t="s">
        <v>98</v>
      </c>
      <c r="BD325" s="2" t="s">
        <v>98</v>
      </c>
      <c r="BE325" s="2" t="s">
        <v>98</v>
      </c>
      <c r="BF325" s="2" t="s">
        <v>98</v>
      </c>
      <c r="BG325" s="2" t="s">
        <v>98</v>
      </c>
      <c r="BH325" s="2" t="s">
        <v>91</v>
      </c>
      <c r="BI325" s="2" t="s">
        <v>91</v>
      </c>
      <c r="BJ325" s="2" t="s">
        <v>91</v>
      </c>
      <c r="BK325" s="2" t="s">
        <v>79</v>
      </c>
      <c r="BL325" s="2" t="s">
        <v>91</v>
      </c>
      <c r="BM325" s="2" t="s">
        <v>98</v>
      </c>
      <c r="BN325" s="2" t="s">
        <v>98</v>
      </c>
      <c r="BO325" s="2" t="s">
        <v>91</v>
      </c>
      <c r="BP325" s="2" t="s">
        <v>91</v>
      </c>
      <c r="BQ325" s="2" t="s">
        <v>91</v>
      </c>
      <c r="BR325" s="2" t="s">
        <v>98</v>
      </c>
      <c r="BS325" s="2" t="s">
        <v>98</v>
      </c>
      <c r="BT325" s="2" t="s">
        <v>98</v>
      </c>
      <c r="BU325" s="2" t="s">
        <v>98</v>
      </c>
      <c r="BV325" s="2" t="s">
        <v>98</v>
      </c>
      <c r="BW325" s="2" t="s">
        <v>98</v>
      </c>
      <c r="BX325" s="2" t="s">
        <v>98</v>
      </c>
      <c r="BY325" s="2" t="s">
        <v>98</v>
      </c>
      <c r="BZ325" s="2" t="s">
        <v>98</v>
      </c>
      <c r="CA325" s="2" t="s">
        <v>98</v>
      </c>
      <c r="CB325" t="e">
        <f>TTEST(AS325:AW325,AI325:AM325,2,2)</f>
        <v>#DIV/0!</v>
      </c>
      <c r="CC325" t="e">
        <f>TTEST(AD325:AH325,AI325:AM325,2,2)</f>
        <v>#DIV/0!</v>
      </c>
      <c r="CD325">
        <f>TTEST(AN325:AR325,AI325:AM325,2,2)</f>
        <v>0.5110879598630742</v>
      </c>
      <c r="CE325" t="e">
        <f>TTEST(AX325:BB325,AI325:AM325,2,2)</f>
        <v>#DIV/0!</v>
      </c>
      <c r="CF325">
        <v>462</v>
      </c>
      <c r="CG325">
        <v>462</v>
      </c>
      <c r="CH325">
        <v>187</v>
      </c>
      <c r="CI325">
        <v>322</v>
      </c>
      <c r="CJ325">
        <f>0.05*CF325/464</f>
        <v>4.9784482758620692E-2</v>
      </c>
      <c r="CK325">
        <f>0.05*CG325/464</f>
        <v>4.9784482758620692E-2</v>
      </c>
      <c r="CL325">
        <f>0.05*CH325/464</f>
        <v>2.0150862068965516E-2</v>
      </c>
      <c r="CM325">
        <f>0.05*CI325/464</f>
        <v>3.4698275862068965E-2</v>
      </c>
      <c r="CN325" t="e">
        <f>IF(CB325&lt;CJ325,"yes","no")</f>
        <v>#DIV/0!</v>
      </c>
      <c r="CO325" t="e">
        <f>IF(CC325&lt;CK325,"yes","no")</f>
        <v>#DIV/0!</v>
      </c>
      <c r="CP325" t="str">
        <f>IF(CD325&lt;CL325,"yes","no")</f>
        <v>no</v>
      </c>
      <c r="CQ325" t="e">
        <f>IF(CE325&lt;CM325,"yes","no")</f>
        <v>#DIV/0!</v>
      </c>
      <c r="CR325" t="e">
        <f>TTEST(AS325:AW325,AD325:AH325,2,2)</f>
        <v>#DIV/0!</v>
      </c>
      <c r="CS325" t="e">
        <f>TTEST(AS325:AW325,AN325:AR325,2,2)</f>
        <v>#DIV/0!</v>
      </c>
      <c r="CT325" t="e">
        <f>TTEST(AS325:AW325,AX325:BB325,2,2)</f>
        <v>#DIV/0!</v>
      </c>
      <c r="CU325">
        <v>317</v>
      </c>
      <c r="CV325">
        <v>321</v>
      </c>
      <c r="CW325">
        <v>324</v>
      </c>
      <c r="CX325">
        <f t="shared" si="15"/>
        <v>3.4159482758620692E-2</v>
      </c>
      <c r="CY325">
        <f t="shared" si="16"/>
        <v>3.4590517241379314E-2</v>
      </c>
      <c r="CZ325">
        <f t="shared" si="17"/>
        <v>3.4913793103448276E-2</v>
      </c>
      <c r="DA325" t="e">
        <f>IF(CR325&lt;CX325,"yes","no")</f>
        <v>#DIV/0!</v>
      </c>
      <c r="DB325" t="e">
        <f>IF(CS325&lt;CY325,"yes","no")</f>
        <v>#DIV/0!</v>
      </c>
      <c r="DC325" t="e">
        <f>IF(CT325&lt;CZ325,"yes","no")</f>
        <v>#DIV/0!</v>
      </c>
    </row>
    <row r="326" spans="1:107" x14ac:dyDescent="0.2">
      <c r="A326" s="2" t="b">
        <v>0</v>
      </c>
      <c r="B326" s="2" t="s">
        <v>79</v>
      </c>
      <c r="C326" s="2" t="s">
        <v>80</v>
      </c>
      <c r="D326" s="2" t="s">
        <v>586</v>
      </c>
      <c r="E326" s="2" t="s">
        <v>587</v>
      </c>
      <c r="F326" s="2">
        <v>9</v>
      </c>
      <c r="G326" s="2">
        <v>9</v>
      </c>
      <c r="H326" s="2">
        <v>56.1</v>
      </c>
      <c r="I326" s="2">
        <v>7.21</v>
      </c>
      <c r="J326" s="2" t="s">
        <v>588</v>
      </c>
      <c r="K326" s="2" t="s">
        <v>319</v>
      </c>
      <c r="L326" s="2" t="s">
        <v>119</v>
      </c>
      <c r="M326" s="2" t="s">
        <v>83</v>
      </c>
      <c r="N326" s="2" t="s">
        <v>589</v>
      </c>
      <c r="O326" s="2">
        <v>1.351</v>
      </c>
      <c r="P326" s="2">
        <v>0.01</v>
      </c>
      <c r="Q326" s="2">
        <v>0.01</v>
      </c>
      <c r="R326" s="2">
        <v>0.21099999999999999</v>
      </c>
      <c r="S326" s="2">
        <v>1.381</v>
      </c>
      <c r="T326" s="2">
        <v>0.01</v>
      </c>
      <c r="U326" s="2">
        <v>0.01</v>
      </c>
      <c r="V326" s="2">
        <v>0.01</v>
      </c>
      <c r="W326" s="2">
        <v>0.01</v>
      </c>
      <c r="X326" s="2" t="s">
        <v>83</v>
      </c>
      <c r="Y326" s="2">
        <v>208.8</v>
      </c>
      <c r="Z326" s="2">
        <v>153.30000000000001</v>
      </c>
      <c r="AA326" s="2">
        <v>138</v>
      </c>
      <c r="AB326" s="2" t="s">
        <v>83</v>
      </c>
      <c r="AC326" s="2" t="s">
        <v>83</v>
      </c>
      <c r="AD326" s="2">
        <v>828967.0078125</v>
      </c>
      <c r="AE326" s="2">
        <v>593092.6171875</v>
      </c>
      <c r="AF326" s="2">
        <v>668148.359375</v>
      </c>
      <c r="AG326" s="2">
        <v>613409.12890625</v>
      </c>
      <c r="AH326" s="2">
        <v>395547.09375</v>
      </c>
      <c r="AI326" s="2" t="s">
        <v>83</v>
      </c>
      <c r="AJ326" s="2">
        <v>10370.44140625</v>
      </c>
      <c r="AK326" s="2">
        <v>4578.27392578125</v>
      </c>
      <c r="AL326" s="2">
        <v>22408.610839843801</v>
      </c>
      <c r="AM326" s="2">
        <v>7625.27978515625</v>
      </c>
      <c r="AN326" s="2" t="s">
        <v>83</v>
      </c>
      <c r="AO326" s="2" t="s">
        <v>83</v>
      </c>
      <c r="AP326" s="2">
        <v>10095.7919921875</v>
      </c>
      <c r="AQ326" s="2">
        <v>6869.72509765625</v>
      </c>
      <c r="AR326" s="2">
        <v>25067.0927734375</v>
      </c>
      <c r="AS326" s="2" t="s">
        <v>83</v>
      </c>
      <c r="AT326" s="2" t="s">
        <v>83</v>
      </c>
      <c r="AU326" s="2" t="s">
        <v>83</v>
      </c>
      <c r="AV326" s="2" t="s">
        <v>83</v>
      </c>
      <c r="AW326" s="2" t="s">
        <v>83</v>
      </c>
      <c r="AX326" s="2" t="s">
        <v>83</v>
      </c>
      <c r="AY326" s="2" t="s">
        <v>83</v>
      </c>
      <c r="AZ326" s="2" t="s">
        <v>83</v>
      </c>
      <c r="BA326" s="2" t="s">
        <v>83</v>
      </c>
      <c r="BB326" s="2" t="s">
        <v>83</v>
      </c>
      <c r="BC326" s="2" t="s">
        <v>79</v>
      </c>
      <c r="BD326" s="2" t="s">
        <v>79</v>
      </c>
      <c r="BE326" s="2" t="s">
        <v>79</v>
      </c>
      <c r="BF326" s="2" t="s">
        <v>79</v>
      </c>
      <c r="BG326" s="2" t="s">
        <v>79</v>
      </c>
      <c r="BH326" s="2" t="s">
        <v>98</v>
      </c>
      <c r="BI326" s="2" t="s">
        <v>91</v>
      </c>
      <c r="BJ326" s="2" t="s">
        <v>91</v>
      </c>
      <c r="BK326" s="2" t="s">
        <v>91</v>
      </c>
      <c r="BL326" s="2" t="s">
        <v>91</v>
      </c>
      <c r="BM326" s="2" t="s">
        <v>98</v>
      </c>
      <c r="BN326" s="2" t="s">
        <v>98</v>
      </c>
      <c r="BO326" s="2" t="s">
        <v>91</v>
      </c>
      <c r="BP326" s="2" t="s">
        <v>91</v>
      </c>
      <c r="BQ326" s="2" t="s">
        <v>91</v>
      </c>
      <c r="BR326" s="2" t="s">
        <v>98</v>
      </c>
      <c r="BS326" s="2" t="s">
        <v>98</v>
      </c>
      <c r="BT326" s="2" t="s">
        <v>98</v>
      </c>
      <c r="BU326" s="2" t="s">
        <v>98</v>
      </c>
      <c r="BV326" s="2" t="s">
        <v>98</v>
      </c>
      <c r="BW326" s="2" t="s">
        <v>98</v>
      </c>
      <c r="BX326" s="2" t="s">
        <v>98</v>
      </c>
      <c r="BY326" s="2" t="s">
        <v>98</v>
      </c>
      <c r="BZ326" s="2" t="s">
        <v>98</v>
      </c>
      <c r="CA326" s="2" t="s">
        <v>98</v>
      </c>
      <c r="CB326" t="e">
        <f>TTEST(AS326:AW326,AI326:AM326,2,2)</f>
        <v>#DIV/0!</v>
      </c>
      <c r="CC326">
        <f>TTEST(AD326:AH326,AI326:AM326,2,2)</f>
        <v>1.167827502444809E-4</v>
      </c>
      <c r="CD326">
        <f>TTEST(AN326:AR326,AI326:AM326,2,2)</f>
        <v>0.6919059177962138</v>
      </c>
      <c r="CE326" t="e">
        <f>TTEST(AX326:BB326,AI326:AM326,2,2)</f>
        <v>#DIV/0!</v>
      </c>
      <c r="CF326">
        <v>436</v>
      </c>
      <c r="CG326">
        <v>115</v>
      </c>
      <c r="CH326">
        <v>205</v>
      </c>
      <c r="CI326">
        <v>323</v>
      </c>
      <c r="CJ326">
        <f>0.05*CF326/464</f>
        <v>4.6982758620689659E-2</v>
      </c>
      <c r="CK326">
        <f>0.05*CG326/464</f>
        <v>1.2392241379310345E-2</v>
      </c>
      <c r="CL326">
        <f>0.05*CH326/464</f>
        <v>2.2090517241379309E-2</v>
      </c>
      <c r="CM326">
        <f>0.05*CI326/464</f>
        <v>3.4806034482758624E-2</v>
      </c>
      <c r="CN326" t="e">
        <f>IF(CB326&lt;CJ326,"yes","no")</f>
        <v>#DIV/0!</v>
      </c>
      <c r="CO326" t="str">
        <f>IF(CC326&lt;CK326,"yes","no")</f>
        <v>yes</v>
      </c>
      <c r="CP326" t="str">
        <f>IF(CD326&lt;CL326,"yes","no")</f>
        <v>no</v>
      </c>
      <c r="CQ326" t="e">
        <f>IF(CE326&lt;CM326,"yes","no")</f>
        <v>#DIV/0!</v>
      </c>
      <c r="CR326" t="e">
        <f>TTEST(AS326:AW326,AD326:AH326,2,2)</f>
        <v>#DIV/0!</v>
      </c>
      <c r="CS326" t="e">
        <f>TTEST(AS326:AW326,AN326:AR326,2,2)</f>
        <v>#DIV/0!</v>
      </c>
      <c r="CT326" t="e">
        <f>TTEST(AS326:AW326,AX326:BB326,2,2)</f>
        <v>#DIV/0!</v>
      </c>
      <c r="CU326">
        <v>319</v>
      </c>
      <c r="CV326">
        <v>322</v>
      </c>
      <c r="CW326">
        <v>325</v>
      </c>
      <c r="CX326">
        <f t="shared" si="15"/>
        <v>3.4375000000000003E-2</v>
      </c>
      <c r="CY326">
        <f t="shared" si="16"/>
        <v>3.4698275862068965E-2</v>
      </c>
      <c r="CZ326">
        <f t="shared" si="17"/>
        <v>3.5021551724137928E-2</v>
      </c>
      <c r="DA326" t="e">
        <f>IF(CR326&lt;CX326,"yes","no")</f>
        <v>#DIV/0!</v>
      </c>
      <c r="DB326" t="e">
        <f>IF(CS326&lt;CY326,"yes","no")</f>
        <v>#DIV/0!</v>
      </c>
      <c r="DC326" t="e">
        <f>IF(CT326&lt;CZ326,"yes","no")</f>
        <v>#DIV/0!</v>
      </c>
    </row>
    <row r="327" spans="1:107" x14ac:dyDescent="0.2">
      <c r="A327" s="2" t="b">
        <v>0</v>
      </c>
      <c r="B327" s="2" t="s">
        <v>79</v>
      </c>
      <c r="C327" s="2" t="s">
        <v>80</v>
      </c>
      <c r="D327" s="2" t="s">
        <v>1546</v>
      </c>
      <c r="E327" s="2" t="s">
        <v>1547</v>
      </c>
      <c r="F327" s="2">
        <v>1</v>
      </c>
      <c r="G327" s="2">
        <v>1</v>
      </c>
      <c r="H327" s="2">
        <v>20.7</v>
      </c>
      <c r="I327" s="2">
        <v>10.42</v>
      </c>
      <c r="J327" s="2" t="s">
        <v>83</v>
      </c>
      <c r="K327" s="2" t="s">
        <v>607</v>
      </c>
      <c r="L327" s="2" t="s">
        <v>115</v>
      </c>
      <c r="M327" s="2" t="s">
        <v>83</v>
      </c>
      <c r="N327" s="2" t="s">
        <v>1546</v>
      </c>
      <c r="O327" s="2">
        <v>14.345000000000001</v>
      </c>
      <c r="P327" s="2">
        <v>0.01</v>
      </c>
      <c r="Q327" s="2">
        <v>0.01</v>
      </c>
      <c r="R327" s="2">
        <v>1.0249999999999999</v>
      </c>
      <c r="S327" s="2">
        <v>9.9329999999999998</v>
      </c>
      <c r="T327" s="2">
        <v>0.01</v>
      </c>
      <c r="U327" s="2">
        <v>0.01</v>
      </c>
      <c r="V327" s="2">
        <v>0.01</v>
      </c>
      <c r="W327" s="2">
        <v>0.01</v>
      </c>
      <c r="X327" s="2" t="s">
        <v>83</v>
      </c>
      <c r="Y327" s="2">
        <v>29.8</v>
      </c>
      <c r="Z327" s="2">
        <v>43</v>
      </c>
      <c r="AA327" s="2">
        <v>427.2</v>
      </c>
      <c r="AB327" s="2" t="s">
        <v>83</v>
      </c>
      <c r="AC327" s="2" t="s">
        <v>83</v>
      </c>
      <c r="AD327" s="2">
        <v>160981.390625</v>
      </c>
      <c r="AE327" s="2" t="s">
        <v>83</v>
      </c>
      <c r="AF327" s="2">
        <v>144838.421875</v>
      </c>
      <c r="AG327" s="2">
        <v>502133.4375</v>
      </c>
      <c r="AH327" s="2" t="s">
        <v>83</v>
      </c>
      <c r="AI327" s="2">
        <v>9259.66796875</v>
      </c>
      <c r="AJ327" s="2">
        <v>2897.86108398438</v>
      </c>
      <c r="AK327" s="2">
        <v>2281.34130859375</v>
      </c>
      <c r="AL327" s="2">
        <v>171101.0625</v>
      </c>
      <c r="AM327" s="2">
        <v>3996.22875976563</v>
      </c>
      <c r="AN327" s="2" t="s">
        <v>83</v>
      </c>
      <c r="AO327" s="2" t="s">
        <v>83</v>
      </c>
      <c r="AP327" s="2" t="s">
        <v>83</v>
      </c>
      <c r="AQ327" s="2" t="s">
        <v>83</v>
      </c>
      <c r="AR327" s="2">
        <v>60839.57421875</v>
      </c>
      <c r="AS327" s="2" t="s">
        <v>83</v>
      </c>
      <c r="AT327" s="2" t="s">
        <v>83</v>
      </c>
      <c r="AU327" s="2" t="s">
        <v>83</v>
      </c>
      <c r="AV327" s="2" t="s">
        <v>83</v>
      </c>
      <c r="AW327" s="2" t="s">
        <v>83</v>
      </c>
      <c r="AX327" s="2" t="s">
        <v>83</v>
      </c>
      <c r="AY327" s="2" t="s">
        <v>83</v>
      </c>
      <c r="AZ327" s="2" t="s">
        <v>83</v>
      </c>
      <c r="BA327" s="2" t="s">
        <v>83</v>
      </c>
      <c r="BB327" s="2" t="s">
        <v>83</v>
      </c>
      <c r="BC327" s="2" t="s">
        <v>79</v>
      </c>
      <c r="BD327" s="2" t="s">
        <v>98</v>
      </c>
      <c r="BE327" s="2" t="s">
        <v>91</v>
      </c>
      <c r="BF327" s="2" t="s">
        <v>79</v>
      </c>
      <c r="BG327" s="2" t="s">
        <v>98</v>
      </c>
      <c r="BH327" s="2" t="s">
        <v>91</v>
      </c>
      <c r="BI327" s="2" t="s">
        <v>91</v>
      </c>
      <c r="BJ327" s="2" t="s">
        <v>91</v>
      </c>
      <c r="BK327" s="2" t="s">
        <v>79</v>
      </c>
      <c r="BL327" s="2" t="s">
        <v>91</v>
      </c>
      <c r="BM327" s="2" t="s">
        <v>98</v>
      </c>
      <c r="BN327" s="2" t="s">
        <v>98</v>
      </c>
      <c r="BO327" s="2" t="s">
        <v>98</v>
      </c>
      <c r="BP327" s="2" t="s">
        <v>98</v>
      </c>
      <c r="BQ327" s="2" t="s">
        <v>91</v>
      </c>
      <c r="BR327" s="2" t="s">
        <v>98</v>
      </c>
      <c r="BS327" s="2" t="s">
        <v>98</v>
      </c>
      <c r="BT327" s="2" t="s">
        <v>98</v>
      </c>
      <c r="BU327" s="2" t="s">
        <v>98</v>
      </c>
      <c r="BV327" s="2" t="s">
        <v>98</v>
      </c>
      <c r="BW327" s="2" t="s">
        <v>98</v>
      </c>
      <c r="BX327" s="2" t="s">
        <v>98</v>
      </c>
      <c r="BY327" s="2" t="s">
        <v>98</v>
      </c>
      <c r="BZ327" s="2" t="s">
        <v>98</v>
      </c>
      <c r="CA327" s="2" t="s">
        <v>98</v>
      </c>
      <c r="CB327" t="e">
        <f>TTEST(AS327:AW327,AI327:AM327,2,2)</f>
        <v>#DIV/0!</v>
      </c>
      <c r="CC327">
        <f>TTEST(AD327:AH327,AI327:AM327,2,2)</f>
        <v>5.2503891137375976E-2</v>
      </c>
      <c r="CD327" t="e">
        <f>TTEST(AN327:AR327,AI327:AM327,2,2)</f>
        <v>#DIV/0!</v>
      </c>
      <c r="CE327" t="e">
        <f>TTEST(AX327:BB327,AI327:AM327,2,2)</f>
        <v>#DIV/0!</v>
      </c>
      <c r="CF327">
        <v>460</v>
      </c>
      <c r="CG327">
        <v>180</v>
      </c>
      <c r="CH327">
        <v>240</v>
      </c>
      <c r="CI327">
        <v>324</v>
      </c>
      <c r="CJ327">
        <f>0.05*CF327/464</f>
        <v>4.9568965517241381E-2</v>
      </c>
      <c r="CK327">
        <f>0.05*CG327/464</f>
        <v>1.9396551724137932E-2</v>
      </c>
      <c r="CL327">
        <f>0.05*CH327/464</f>
        <v>2.5862068965517241E-2</v>
      </c>
      <c r="CM327">
        <f>0.05*CI327/464</f>
        <v>3.4913793103448276E-2</v>
      </c>
      <c r="CN327" t="e">
        <f>IF(CB327&lt;CJ327,"yes","no")</f>
        <v>#DIV/0!</v>
      </c>
      <c r="CO327" t="str">
        <f>IF(CC327&lt;CK327,"yes","no")</f>
        <v>no</v>
      </c>
      <c r="CP327" t="e">
        <f>IF(CD327&lt;CL327,"yes","no")</f>
        <v>#DIV/0!</v>
      </c>
      <c r="CQ327" t="e">
        <f>IF(CE327&lt;CM327,"yes","no")</f>
        <v>#DIV/0!</v>
      </c>
      <c r="CR327" t="e">
        <f>TTEST(AS327:AW327,AD327:AH327,2,2)</f>
        <v>#DIV/0!</v>
      </c>
      <c r="CS327" t="e">
        <f>TTEST(AS327:AW327,AN327:AR327,2,2)</f>
        <v>#DIV/0!</v>
      </c>
      <c r="CT327" t="e">
        <f>TTEST(AS327:AW327,AX327:BB327,2,2)</f>
        <v>#DIV/0!</v>
      </c>
      <c r="CU327">
        <v>321</v>
      </c>
      <c r="CV327">
        <v>324</v>
      </c>
      <c r="CW327">
        <v>326</v>
      </c>
      <c r="CX327">
        <f t="shared" si="15"/>
        <v>3.4590517241379314E-2</v>
      </c>
      <c r="CY327">
        <f t="shared" si="16"/>
        <v>3.4913793103448276E-2</v>
      </c>
      <c r="CZ327">
        <f t="shared" si="17"/>
        <v>3.5129310344827587E-2</v>
      </c>
      <c r="DA327" t="e">
        <f>IF(CR327&lt;CX327,"yes","no")</f>
        <v>#DIV/0!</v>
      </c>
      <c r="DB327" t="e">
        <f>IF(CS327&lt;CY327,"yes","no")</f>
        <v>#DIV/0!</v>
      </c>
      <c r="DC327" t="e">
        <f>IF(CT327&lt;CZ327,"yes","no")</f>
        <v>#DIV/0!</v>
      </c>
    </row>
    <row r="328" spans="1:107" x14ac:dyDescent="0.2">
      <c r="A328" s="2" t="b">
        <v>0</v>
      </c>
      <c r="B328" s="2" t="s">
        <v>79</v>
      </c>
      <c r="C328" s="2" t="s">
        <v>80</v>
      </c>
      <c r="D328" s="2" t="s">
        <v>982</v>
      </c>
      <c r="E328" s="2" t="s">
        <v>983</v>
      </c>
      <c r="F328" s="2">
        <v>3</v>
      </c>
      <c r="G328" s="2">
        <v>3</v>
      </c>
      <c r="H328" s="2">
        <v>54.4</v>
      </c>
      <c r="I328" s="2">
        <v>8.73</v>
      </c>
      <c r="J328" s="2" t="s">
        <v>984</v>
      </c>
      <c r="K328" s="2" t="s">
        <v>845</v>
      </c>
      <c r="L328" s="2" t="s">
        <v>119</v>
      </c>
      <c r="M328" s="2" t="s">
        <v>985</v>
      </c>
      <c r="N328" s="2" t="s">
        <v>986</v>
      </c>
      <c r="O328" s="2">
        <v>3.923</v>
      </c>
      <c r="P328" s="2">
        <v>0.01</v>
      </c>
      <c r="Q328" s="2">
        <v>2.1819999999999999</v>
      </c>
      <c r="R328" s="2">
        <v>0.499</v>
      </c>
      <c r="S328" s="2">
        <v>1.6180000000000001</v>
      </c>
      <c r="T328" s="2">
        <v>0.01</v>
      </c>
      <c r="U328" s="2">
        <v>0.9</v>
      </c>
      <c r="V328" s="2">
        <v>0.01</v>
      </c>
      <c r="W328" s="2">
        <v>0.55600000000000005</v>
      </c>
      <c r="X328" s="2">
        <v>100</v>
      </c>
      <c r="Y328" s="2">
        <v>52.5</v>
      </c>
      <c r="Z328" s="2">
        <v>127.2</v>
      </c>
      <c r="AA328" s="2">
        <v>205.8</v>
      </c>
      <c r="AB328" s="2" t="s">
        <v>83</v>
      </c>
      <c r="AC328" s="2">
        <v>114.5</v>
      </c>
      <c r="AD328" s="2">
        <v>169817.71875</v>
      </c>
      <c r="AE328" s="2" t="s">
        <v>83</v>
      </c>
      <c r="AF328" s="2">
        <v>132573.0625</v>
      </c>
      <c r="AG328" s="2">
        <v>400134.1875</v>
      </c>
      <c r="AH328" s="2" t="s">
        <v>83</v>
      </c>
      <c r="AI328" s="2">
        <v>11792.5693359375</v>
      </c>
      <c r="AJ328" s="2" t="s">
        <v>83</v>
      </c>
      <c r="AK328" s="2">
        <v>5130.50537109375</v>
      </c>
      <c r="AL328" s="2">
        <v>11045.03515625</v>
      </c>
      <c r="AM328" s="2" t="s">
        <v>83</v>
      </c>
      <c r="AN328" s="2" t="s">
        <v>83</v>
      </c>
      <c r="AO328" s="2" t="s">
        <v>83</v>
      </c>
      <c r="AP328" s="2" t="s">
        <v>83</v>
      </c>
      <c r="AQ328" s="2" t="s">
        <v>83</v>
      </c>
      <c r="AR328" s="2">
        <v>15227.7451171875</v>
      </c>
      <c r="AS328" s="2" t="s">
        <v>83</v>
      </c>
      <c r="AT328" s="2" t="s">
        <v>83</v>
      </c>
      <c r="AU328" s="2" t="s">
        <v>83</v>
      </c>
      <c r="AV328" s="2" t="s">
        <v>83</v>
      </c>
      <c r="AW328" s="2" t="s">
        <v>83</v>
      </c>
      <c r="AX328" s="2">
        <v>16196.5048828125</v>
      </c>
      <c r="AY328" s="2" t="s">
        <v>83</v>
      </c>
      <c r="AZ328" s="2" t="s">
        <v>83</v>
      </c>
      <c r="BA328" s="2" t="s">
        <v>83</v>
      </c>
      <c r="BB328" s="2" t="s">
        <v>83</v>
      </c>
      <c r="BC328" s="2" t="s">
        <v>79</v>
      </c>
      <c r="BD328" s="2" t="s">
        <v>98</v>
      </c>
      <c r="BE328" s="2" t="s">
        <v>91</v>
      </c>
      <c r="BF328" s="2" t="s">
        <v>79</v>
      </c>
      <c r="BG328" s="2" t="s">
        <v>98</v>
      </c>
      <c r="BH328" s="2" t="s">
        <v>91</v>
      </c>
      <c r="BI328" s="2" t="s">
        <v>98</v>
      </c>
      <c r="BJ328" s="2" t="s">
        <v>91</v>
      </c>
      <c r="BK328" s="2" t="s">
        <v>91</v>
      </c>
      <c r="BL328" s="2" t="s">
        <v>98</v>
      </c>
      <c r="BM328" s="2" t="s">
        <v>98</v>
      </c>
      <c r="BN328" s="2" t="s">
        <v>98</v>
      </c>
      <c r="BO328" s="2" t="s">
        <v>98</v>
      </c>
      <c r="BP328" s="2" t="s">
        <v>98</v>
      </c>
      <c r="BQ328" s="2" t="s">
        <v>79</v>
      </c>
      <c r="BR328" s="2" t="s">
        <v>98</v>
      </c>
      <c r="BS328" s="2" t="s">
        <v>98</v>
      </c>
      <c r="BT328" s="2" t="s">
        <v>98</v>
      </c>
      <c r="BU328" s="2" t="s">
        <v>98</v>
      </c>
      <c r="BV328" s="2" t="s">
        <v>98</v>
      </c>
      <c r="BW328" s="2" t="s">
        <v>91</v>
      </c>
      <c r="BX328" s="2" t="s">
        <v>98</v>
      </c>
      <c r="BY328" s="2" t="s">
        <v>98</v>
      </c>
      <c r="BZ328" s="2" t="s">
        <v>98</v>
      </c>
      <c r="CA328" s="2" t="s">
        <v>98</v>
      </c>
      <c r="CB328" t="e">
        <f>TTEST(AS328:AW328,AI328:AM328,2,2)</f>
        <v>#DIV/0!</v>
      </c>
      <c r="CC328">
        <f>TTEST(AD328:AH328,AI328:AM328,2,2)</f>
        <v>5.4861824211458098E-2</v>
      </c>
      <c r="CD328" t="e">
        <f>TTEST(AN328:AR328,AI328:AM328,2,2)</f>
        <v>#DIV/0!</v>
      </c>
      <c r="CE328" t="e">
        <f>TTEST(AX328:BB328,AI328:AM328,2,2)</f>
        <v>#DIV/0!</v>
      </c>
      <c r="CF328">
        <v>444</v>
      </c>
      <c r="CG328">
        <v>182</v>
      </c>
      <c r="CH328">
        <v>241</v>
      </c>
      <c r="CI328">
        <v>325</v>
      </c>
      <c r="CJ328">
        <f>0.05*CF328/464</f>
        <v>4.7844827586206902E-2</v>
      </c>
      <c r="CK328">
        <f>0.05*CG328/464</f>
        <v>1.9612068965517239E-2</v>
      </c>
      <c r="CL328">
        <f>0.05*CH328/464</f>
        <v>2.5969827586206896E-2</v>
      </c>
      <c r="CM328">
        <f>0.05*CI328/464</f>
        <v>3.5021551724137928E-2</v>
      </c>
      <c r="CN328" t="e">
        <f>IF(CB328&lt;CJ328,"yes","no")</f>
        <v>#DIV/0!</v>
      </c>
      <c r="CO328" t="str">
        <f>IF(CC328&lt;CK328,"yes","no")</f>
        <v>no</v>
      </c>
      <c r="CP328" t="e">
        <f>IF(CD328&lt;CL328,"yes","no")</f>
        <v>#DIV/0!</v>
      </c>
      <c r="CQ328" t="e">
        <f>IF(CE328&lt;CM328,"yes","no")</f>
        <v>#DIV/0!</v>
      </c>
      <c r="CR328" t="e">
        <f>TTEST(AS328:AW328,AD328:AH328,2,2)</f>
        <v>#DIV/0!</v>
      </c>
      <c r="CS328" t="e">
        <f>TTEST(AS328:AW328,AN328:AR328,2,2)</f>
        <v>#DIV/0!</v>
      </c>
      <c r="CT328" t="e">
        <f>TTEST(AS328:AW328,AX328:BB328,2,2)</f>
        <v>#DIV/0!</v>
      </c>
      <c r="CU328">
        <v>322</v>
      </c>
      <c r="CV328">
        <v>325</v>
      </c>
      <c r="CW328">
        <v>327</v>
      </c>
      <c r="CX328">
        <f t="shared" si="15"/>
        <v>3.4698275862068965E-2</v>
      </c>
      <c r="CY328">
        <f t="shared" si="16"/>
        <v>3.5021551724137928E-2</v>
      </c>
      <c r="CZ328">
        <f t="shared" si="17"/>
        <v>3.5237068965517246E-2</v>
      </c>
      <c r="DA328" t="e">
        <f>IF(CR328&lt;CX328,"yes","no")</f>
        <v>#DIV/0!</v>
      </c>
      <c r="DB328" t="e">
        <f>IF(CS328&lt;CY328,"yes","no")</f>
        <v>#DIV/0!</v>
      </c>
      <c r="DC328" t="e">
        <f>IF(CT328&lt;CZ328,"yes","no")</f>
        <v>#DIV/0!</v>
      </c>
    </row>
    <row r="329" spans="1:107" x14ac:dyDescent="0.2">
      <c r="A329" s="2" t="b">
        <v>0</v>
      </c>
      <c r="B329" s="2" t="s">
        <v>79</v>
      </c>
      <c r="C329" s="2" t="s">
        <v>80</v>
      </c>
      <c r="D329" s="2" t="s">
        <v>1283</v>
      </c>
      <c r="E329" s="2" t="s">
        <v>1284</v>
      </c>
      <c r="F329" s="2">
        <v>1</v>
      </c>
      <c r="G329" s="2">
        <v>1</v>
      </c>
      <c r="H329" s="2">
        <v>16.5</v>
      </c>
      <c r="I329" s="2">
        <v>9.01</v>
      </c>
      <c r="J329" s="2" t="s">
        <v>254</v>
      </c>
      <c r="K329" s="2" t="s">
        <v>607</v>
      </c>
      <c r="L329" s="2" t="s">
        <v>119</v>
      </c>
      <c r="M329" s="2" t="s">
        <v>83</v>
      </c>
      <c r="N329" s="2" t="s">
        <v>1285</v>
      </c>
      <c r="O329" s="2">
        <v>5.3769999999999998</v>
      </c>
      <c r="P329" s="2">
        <v>0.41099999999999998</v>
      </c>
      <c r="Q329" s="2">
        <v>2.2890000000000001</v>
      </c>
      <c r="R329" s="2">
        <v>0.49299999999999999</v>
      </c>
      <c r="S329" s="2">
        <v>2.2029999999999998</v>
      </c>
      <c r="T329" s="2">
        <v>0.16800000000000001</v>
      </c>
      <c r="U329" s="2">
        <v>0.93700000000000006</v>
      </c>
      <c r="V329" s="2">
        <v>7.5999999999999998E-2</v>
      </c>
      <c r="W329" s="2">
        <v>0.42599999999999999</v>
      </c>
      <c r="X329" s="2">
        <v>5.5659999999999998</v>
      </c>
      <c r="Y329" s="2">
        <v>43.4</v>
      </c>
      <c r="Z329" s="2">
        <v>106</v>
      </c>
      <c r="AA329" s="2">
        <v>233.4</v>
      </c>
      <c r="AB329" s="2">
        <v>17.8</v>
      </c>
      <c r="AC329" s="2">
        <v>99.3</v>
      </c>
      <c r="AD329" s="2">
        <v>253402.5</v>
      </c>
      <c r="AE329" s="2" t="s">
        <v>83</v>
      </c>
      <c r="AF329" s="2">
        <v>172450.0625</v>
      </c>
      <c r="AG329" s="2">
        <v>714659.6875</v>
      </c>
      <c r="AH329" s="2" t="s">
        <v>83</v>
      </c>
      <c r="AI329" s="2" t="s">
        <v>83</v>
      </c>
      <c r="AJ329" s="2" t="s">
        <v>83</v>
      </c>
      <c r="AK329" s="2">
        <v>6958.02001953125</v>
      </c>
      <c r="AL329" s="2">
        <v>20184.9921875</v>
      </c>
      <c r="AM329" s="2">
        <v>8959.5673828125</v>
      </c>
      <c r="AN329" s="2" t="s">
        <v>83</v>
      </c>
      <c r="AO329" s="2" t="s">
        <v>83</v>
      </c>
      <c r="AP329" s="2" t="s">
        <v>83</v>
      </c>
      <c r="AQ329" s="2" t="s">
        <v>83</v>
      </c>
      <c r="AR329" s="2">
        <v>30248.55078125</v>
      </c>
      <c r="AS329" s="2" t="s">
        <v>83</v>
      </c>
      <c r="AT329" s="2">
        <v>19550.75390625</v>
      </c>
      <c r="AU329" s="2" t="s">
        <v>83</v>
      </c>
      <c r="AV329" s="2" t="s">
        <v>83</v>
      </c>
      <c r="AW329" s="2" t="s">
        <v>83</v>
      </c>
      <c r="AX329" s="2" t="s">
        <v>83</v>
      </c>
      <c r="AY329" s="2" t="s">
        <v>83</v>
      </c>
      <c r="AZ329" s="2">
        <v>28933.966796875</v>
      </c>
      <c r="BA329" s="2" t="s">
        <v>83</v>
      </c>
      <c r="BB329" s="2" t="s">
        <v>83</v>
      </c>
      <c r="BC329" s="2" t="s">
        <v>79</v>
      </c>
      <c r="BD329" s="2" t="s">
        <v>98</v>
      </c>
      <c r="BE329" s="2" t="s">
        <v>91</v>
      </c>
      <c r="BF329" s="2" t="s">
        <v>79</v>
      </c>
      <c r="BG329" s="2" t="s">
        <v>98</v>
      </c>
      <c r="BH329" s="2" t="s">
        <v>98</v>
      </c>
      <c r="BI329" s="2" t="s">
        <v>98</v>
      </c>
      <c r="BJ329" s="2" t="s">
        <v>91</v>
      </c>
      <c r="BK329" s="2" t="s">
        <v>91</v>
      </c>
      <c r="BL329" s="2" t="s">
        <v>91</v>
      </c>
      <c r="BM329" s="2" t="s">
        <v>98</v>
      </c>
      <c r="BN329" s="2" t="s">
        <v>98</v>
      </c>
      <c r="BO329" s="2" t="s">
        <v>98</v>
      </c>
      <c r="BP329" s="2" t="s">
        <v>98</v>
      </c>
      <c r="BQ329" s="2" t="s">
        <v>91</v>
      </c>
      <c r="BR329" s="2" t="s">
        <v>98</v>
      </c>
      <c r="BS329" s="2" t="s">
        <v>91</v>
      </c>
      <c r="BT329" s="2" t="s">
        <v>98</v>
      </c>
      <c r="BU329" s="2" t="s">
        <v>98</v>
      </c>
      <c r="BV329" s="2" t="s">
        <v>98</v>
      </c>
      <c r="BW329" s="2" t="s">
        <v>98</v>
      </c>
      <c r="BX329" s="2" t="s">
        <v>98</v>
      </c>
      <c r="BY329" s="2" t="s">
        <v>91</v>
      </c>
      <c r="BZ329" s="2" t="s">
        <v>98</v>
      </c>
      <c r="CA329" s="2" t="s">
        <v>98</v>
      </c>
      <c r="CB329" t="e">
        <f>TTEST(AS329:AW329,AI329:AM329,2,2)</f>
        <v>#DIV/0!</v>
      </c>
      <c r="CC329">
        <f>TTEST(AD329:AH329,AI329:AM329,2,2)</f>
        <v>9.4812071453314037E-2</v>
      </c>
      <c r="CD329" t="e">
        <f>TTEST(AN329:AR329,AI329:AM329,2,2)</f>
        <v>#DIV/0!</v>
      </c>
      <c r="CE329" t="e">
        <f>TTEST(AX329:BB329,AI329:AM329,2,2)</f>
        <v>#DIV/0!</v>
      </c>
      <c r="CF329">
        <v>430</v>
      </c>
      <c r="CG329">
        <v>192</v>
      </c>
      <c r="CH329">
        <v>244</v>
      </c>
      <c r="CI329">
        <v>326</v>
      </c>
      <c r="CJ329">
        <f>0.05*CF329/464</f>
        <v>4.6336206896551727E-2</v>
      </c>
      <c r="CK329">
        <f>0.05*CG329/464</f>
        <v>2.0689655172413796E-2</v>
      </c>
      <c r="CL329">
        <f>0.05*CH329/464</f>
        <v>2.6293103448275866E-2</v>
      </c>
      <c r="CM329">
        <f>0.05*CI329/464</f>
        <v>3.5129310344827587E-2</v>
      </c>
      <c r="CN329" t="e">
        <f>IF(CB329&lt;CJ329,"yes","no")</f>
        <v>#DIV/0!</v>
      </c>
      <c r="CO329" t="str">
        <f>IF(CC329&lt;CK329,"yes","no")</f>
        <v>no</v>
      </c>
      <c r="CP329" t="e">
        <f>IF(CD329&lt;CL329,"yes","no")</f>
        <v>#DIV/0!</v>
      </c>
      <c r="CQ329" t="e">
        <f>IF(CE329&lt;CM329,"yes","no")</f>
        <v>#DIV/0!</v>
      </c>
      <c r="CR329" t="e">
        <f>TTEST(AS329:AW329,AD329:AH329,2,2)</f>
        <v>#DIV/0!</v>
      </c>
      <c r="CS329" t="e">
        <f>TTEST(AS329:AW329,AN329:AR329,2,2)</f>
        <v>#DIV/0!</v>
      </c>
      <c r="CT329" t="e">
        <f>TTEST(AS329:AW329,AX329:BB329,2,2)</f>
        <v>#DIV/0!</v>
      </c>
      <c r="CU329">
        <v>323</v>
      </c>
      <c r="CV329">
        <v>326</v>
      </c>
      <c r="CW329">
        <v>328</v>
      </c>
      <c r="CX329">
        <f t="shared" si="15"/>
        <v>3.4806034482758624E-2</v>
      </c>
      <c r="CY329">
        <f t="shared" si="16"/>
        <v>3.5129310344827587E-2</v>
      </c>
      <c r="CZ329">
        <f t="shared" si="17"/>
        <v>3.5344827586206898E-2</v>
      </c>
      <c r="DA329" t="e">
        <f>IF(CR329&lt;CX329,"yes","no")</f>
        <v>#DIV/0!</v>
      </c>
      <c r="DB329" t="e">
        <f>IF(CS329&lt;CY329,"yes","no")</f>
        <v>#DIV/0!</v>
      </c>
      <c r="DC329" t="e">
        <f>IF(CT329&lt;CZ329,"yes","no")</f>
        <v>#DIV/0!</v>
      </c>
    </row>
    <row r="330" spans="1:107" x14ac:dyDescent="0.2">
      <c r="A330" s="2" t="b">
        <v>0</v>
      </c>
      <c r="B330" s="2" t="s">
        <v>79</v>
      </c>
      <c r="C330" s="2" t="s">
        <v>80</v>
      </c>
      <c r="D330" s="2" t="s">
        <v>916</v>
      </c>
      <c r="E330" s="2" t="s">
        <v>917</v>
      </c>
      <c r="F330" s="2">
        <v>3</v>
      </c>
      <c r="G330" s="2">
        <v>1</v>
      </c>
      <c r="H330" s="2">
        <v>29.7</v>
      </c>
      <c r="I330" s="2">
        <v>4.8899999999999997</v>
      </c>
      <c r="J330" s="2" t="s">
        <v>918</v>
      </c>
      <c r="K330" s="2" t="s">
        <v>319</v>
      </c>
      <c r="L330" s="2" t="s">
        <v>119</v>
      </c>
      <c r="M330" s="2" t="s">
        <v>919</v>
      </c>
      <c r="N330" s="2" t="s">
        <v>916</v>
      </c>
      <c r="O330" s="2">
        <v>13.765000000000001</v>
      </c>
      <c r="P330" s="2">
        <v>0.01</v>
      </c>
      <c r="Q330" s="2">
        <v>0.01</v>
      </c>
      <c r="R330" s="2">
        <v>8.7999999999999995E-2</v>
      </c>
      <c r="S330" s="2">
        <v>1.163</v>
      </c>
      <c r="T330" s="2">
        <v>0.01</v>
      </c>
      <c r="U330" s="2">
        <v>0.01</v>
      </c>
      <c r="V330" s="2">
        <v>0.01</v>
      </c>
      <c r="W330" s="2">
        <v>0.01</v>
      </c>
      <c r="X330" s="2" t="s">
        <v>83</v>
      </c>
      <c r="Y330" s="2">
        <v>18.8</v>
      </c>
      <c r="Z330" s="2">
        <v>222.5</v>
      </c>
      <c r="AA330" s="2">
        <v>258.7</v>
      </c>
      <c r="AB330" s="2" t="s">
        <v>83</v>
      </c>
      <c r="AC330" s="2" t="s">
        <v>83</v>
      </c>
      <c r="AD330" s="2">
        <v>31372.912109375</v>
      </c>
      <c r="AE330" s="2">
        <v>24158.796875</v>
      </c>
      <c r="AF330" s="2">
        <v>26367.365234375</v>
      </c>
      <c r="AG330" s="2">
        <v>152180.46875</v>
      </c>
      <c r="AH330" s="2" t="s">
        <v>83</v>
      </c>
      <c r="AI330" s="2">
        <v>8215.7822265625</v>
      </c>
      <c r="AJ330" s="2">
        <v>6313.94287109375</v>
      </c>
      <c r="AK330" s="2" t="s">
        <v>83</v>
      </c>
      <c r="AL330" s="2">
        <v>16837.1953125</v>
      </c>
      <c r="AM330" s="2">
        <v>5120.66259765625</v>
      </c>
      <c r="AN330" s="2" t="s">
        <v>83</v>
      </c>
      <c r="AO330" s="2" t="s">
        <v>83</v>
      </c>
      <c r="AP330" s="2">
        <v>9375.275390625</v>
      </c>
      <c r="AQ330" s="2" t="s">
        <v>83</v>
      </c>
      <c r="AR330" s="2" t="s">
        <v>83</v>
      </c>
      <c r="AS330" s="2" t="s">
        <v>83</v>
      </c>
      <c r="AT330" s="2" t="s">
        <v>83</v>
      </c>
      <c r="AU330" s="2" t="s">
        <v>83</v>
      </c>
      <c r="AV330" s="2" t="s">
        <v>83</v>
      </c>
      <c r="AW330" s="2" t="s">
        <v>83</v>
      </c>
      <c r="AX330" s="2" t="s">
        <v>83</v>
      </c>
      <c r="AY330" s="2" t="s">
        <v>83</v>
      </c>
      <c r="AZ330" s="2" t="s">
        <v>83</v>
      </c>
      <c r="BA330" s="2" t="s">
        <v>83</v>
      </c>
      <c r="BB330" s="2" t="s">
        <v>83</v>
      </c>
      <c r="BC330" s="2" t="s">
        <v>91</v>
      </c>
      <c r="BD330" s="2" t="s">
        <v>91</v>
      </c>
      <c r="BE330" s="2" t="s">
        <v>91</v>
      </c>
      <c r="BF330" s="2" t="s">
        <v>79</v>
      </c>
      <c r="BG330" s="2" t="s">
        <v>98</v>
      </c>
      <c r="BH330" s="2" t="s">
        <v>91</v>
      </c>
      <c r="BI330" s="2" t="s">
        <v>91</v>
      </c>
      <c r="BJ330" s="2" t="s">
        <v>98</v>
      </c>
      <c r="BK330" s="2" t="s">
        <v>91</v>
      </c>
      <c r="BL330" s="2" t="s">
        <v>91</v>
      </c>
      <c r="BM330" s="2" t="s">
        <v>98</v>
      </c>
      <c r="BN330" s="2" t="s">
        <v>98</v>
      </c>
      <c r="BO330" s="2" t="s">
        <v>91</v>
      </c>
      <c r="BP330" s="2" t="s">
        <v>98</v>
      </c>
      <c r="BQ330" s="2" t="s">
        <v>98</v>
      </c>
      <c r="BR330" s="2" t="s">
        <v>98</v>
      </c>
      <c r="BS330" s="2" t="s">
        <v>98</v>
      </c>
      <c r="BT330" s="2" t="s">
        <v>98</v>
      </c>
      <c r="BU330" s="2" t="s">
        <v>98</v>
      </c>
      <c r="BV330" s="2" t="s">
        <v>98</v>
      </c>
      <c r="BW330" s="2" t="s">
        <v>98</v>
      </c>
      <c r="BX330" s="2" t="s">
        <v>98</v>
      </c>
      <c r="BY330" s="2" t="s">
        <v>98</v>
      </c>
      <c r="BZ330" s="2" t="s">
        <v>98</v>
      </c>
      <c r="CA330" s="2" t="s">
        <v>98</v>
      </c>
      <c r="CB330" t="e">
        <f>TTEST(AS330:AW330,AI330:AM330,2,2)</f>
        <v>#DIV/0!</v>
      </c>
      <c r="CC330">
        <f>TTEST(AD330:AH330,AI330:AM330,2,2)</f>
        <v>0.1663809984597496</v>
      </c>
      <c r="CD330" t="e">
        <f>TTEST(AN330:AR330,AI330:AM330,2,2)</f>
        <v>#DIV/0!</v>
      </c>
      <c r="CE330" t="e">
        <f>TTEST(AX330:BB330,AI330:AM330,2,2)</f>
        <v>#DIV/0!</v>
      </c>
      <c r="CF330">
        <v>442</v>
      </c>
      <c r="CG330">
        <v>209</v>
      </c>
      <c r="CH330">
        <v>246</v>
      </c>
      <c r="CI330">
        <v>327</v>
      </c>
      <c r="CJ330">
        <f>0.05*CF330/464</f>
        <v>4.7629310344827591E-2</v>
      </c>
      <c r="CK330">
        <f>0.05*CG330/464</f>
        <v>2.2521551724137934E-2</v>
      </c>
      <c r="CL330">
        <f>0.05*CH330/464</f>
        <v>2.6508620689655173E-2</v>
      </c>
      <c r="CM330">
        <f>0.05*CI330/464</f>
        <v>3.5237068965517246E-2</v>
      </c>
      <c r="CN330" t="e">
        <f>IF(CB330&lt;CJ330,"yes","no")</f>
        <v>#DIV/0!</v>
      </c>
      <c r="CO330" t="str">
        <f>IF(CC330&lt;CK330,"yes","no")</f>
        <v>no</v>
      </c>
      <c r="CP330" t="e">
        <f>IF(CD330&lt;CL330,"yes","no")</f>
        <v>#DIV/0!</v>
      </c>
      <c r="CQ330" t="e">
        <f>IF(CE330&lt;CM330,"yes","no")</f>
        <v>#DIV/0!</v>
      </c>
      <c r="CR330" t="e">
        <f>TTEST(AS330:AW330,AD330:AH330,2,2)</f>
        <v>#DIV/0!</v>
      </c>
      <c r="CS330" t="e">
        <f>TTEST(AS330:AW330,AN330:AR330,2,2)</f>
        <v>#DIV/0!</v>
      </c>
      <c r="CT330" t="e">
        <f>TTEST(AS330:AW330,AX330:BB330,2,2)</f>
        <v>#DIV/0!</v>
      </c>
      <c r="CU330">
        <v>324</v>
      </c>
      <c r="CV330">
        <v>327</v>
      </c>
      <c r="CW330">
        <v>329</v>
      </c>
      <c r="CX330">
        <f t="shared" si="15"/>
        <v>3.4913793103448276E-2</v>
      </c>
      <c r="CY330">
        <f t="shared" si="16"/>
        <v>3.5237068965517246E-2</v>
      </c>
      <c r="CZ330">
        <f t="shared" si="17"/>
        <v>3.545258620689655E-2</v>
      </c>
      <c r="DA330" t="e">
        <f>IF(CR330&lt;CX330,"yes","no")</f>
        <v>#DIV/0!</v>
      </c>
      <c r="DB330" t="e">
        <f>IF(CS330&lt;CY330,"yes","no")</f>
        <v>#DIV/0!</v>
      </c>
      <c r="DC330" t="e">
        <f>IF(CT330&lt;CZ330,"yes","no")</f>
        <v>#DIV/0!</v>
      </c>
    </row>
    <row r="331" spans="1:107" x14ac:dyDescent="0.2">
      <c r="A331" s="2" t="b">
        <v>0</v>
      </c>
      <c r="B331" s="2" t="s">
        <v>79</v>
      </c>
      <c r="C331" s="2" t="s">
        <v>80</v>
      </c>
      <c r="D331" s="2" t="s">
        <v>92</v>
      </c>
      <c r="E331" s="2" t="s">
        <v>93</v>
      </c>
      <c r="F331" s="2">
        <v>59</v>
      </c>
      <c r="G331" s="2">
        <v>1</v>
      </c>
      <c r="H331" s="2">
        <v>186.3</v>
      </c>
      <c r="I331" s="2">
        <v>6.54</v>
      </c>
      <c r="J331" s="2" t="s">
        <v>94</v>
      </c>
      <c r="K331" s="2" t="s">
        <v>95</v>
      </c>
      <c r="L331" s="2" t="s">
        <v>96</v>
      </c>
      <c r="M331" s="2" t="s">
        <v>83</v>
      </c>
      <c r="N331" s="2" t="s">
        <v>97</v>
      </c>
      <c r="O331" s="2" t="s">
        <v>83</v>
      </c>
      <c r="P331" s="2" t="s">
        <v>83</v>
      </c>
      <c r="Q331" s="2" t="s">
        <v>83</v>
      </c>
      <c r="R331" s="2" t="s">
        <v>83</v>
      </c>
      <c r="S331" s="2" t="s">
        <v>83</v>
      </c>
      <c r="T331" s="2" t="s">
        <v>83</v>
      </c>
      <c r="U331" s="2" t="s">
        <v>83</v>
      </c>
      <c r="V331" s="2" t="s">
        <v>83</v>
      </c>
      <c r="W331" s="2" t="s">
        <v>83</v>
      </c>
      <c r="X331" s="2" t="s">
        <v>83</v>
      </c>
      <c r="Y331" s="2" t="s">
        <v>83</v>
      </c>
      <c r="Z331" s="2" t="s">
        <v>83</v>
      </c>
      <c r="AA331" s="2" t="s">
        <v>83</v>
      </c>
      <c r="AB331" s="2" t="s">
        <v>83</v>
      </c>
      <c r="AC331" s="2" t="s">
        <v>83</v>
      </c>
      <c r="AD331" s="2" t="s">
        <v>83</v>
      </c>
      <c r="AE331" s="2" t="s">
        <v>83</v>
      </c>
      <c r="AF331" s="2" t="s">
        <v>83</v>
      </c>
      <c r="AG331" s="2" t="s">
        <v>83</v>
      </c>
      <c r="AH331" s="2" t="s">
        <v>83</v>
      </c>
      <c r="AI331" s="2" t="s">
        <v>83</v>
      </c>
      <c r="AJ331" s="2" t="s">
        <v>83</v>
      </c>
      <c r="AK331" s="2" t="s">
        <v>83</v>
      </c>
      <c r="AL331" s="2" t="s">
        <v>83</v>
      </c>
      <c r="AM331" s="2" t="s">
        <v>83</v>
      </c>
      <c r="AN331" s="2" t="s">
        <v>83</v>
      </c>
      <c r="AO331" s="2" t="s">
        <v>83</v>
      </c>
      <c r="AP331" s="2" t="s">
        <v>83</v>
      </c>
      <c r="AQ331" s="2" t="s">
        <v>83</v>
      </c>
      <c r="AR331" s="2" t="s">
        <v>83</v>
      </c>
      <c r="AS331" s="2" t="s">
        <v>83</v>
      </c>
      <c r="AT331" s="2" t="s">
        <v>83</v>
      </c>
      <c r="AU331" s="2" t="s">
        <v>83</v>
      </c>
      <c r="AV331" s="2" t="s">
        <v>83</v>
      </c>
      <c r="AW331" s="2" t="s">
        <v>83</v>
      </c>
      <c r="AX331" s="2" t="s">
        <v>83</v>
      </c>
      <c r="AY331" s="2" t="s">
        <v>83</v>
      </c>
      <c r="AZ331" s="2" t="s">
        <v>83</v>
      </c>
      <c r="BA331" s="2" t="s">
        <v>83</v>
      </c>
      <c r="BB331" s="2" t="s">
        <v>83</v>
      </c>
      <c r="BC331" s="2" t="s">
        <v>79</v>
      </c>
      <c r="BD331" s="2" t="s">
        <v>79</v>
      </c>
      <c r="BE331" s="2" t="s">
        <v>79</v>
      </c>
      <c r="BF331" s="2" t="s">
        <v>79</v>
      </c>
      <c r="BG331" s="2" t="s">
        <v>79</v>
      </c>
      <c r="BH331" s="2" t="s">
        <v>98</v>
      </c>
      <c r="BI331" s="2" t="s">
        <v>98</v>
      </c>
      <c r="BJ331" s="2" t="s">
        <v>98</v>
      </c>
      <c r="BK331" s="2" t="s">
        <v>98</v>
      </c>
      <c r="BL331" s="2" t="s">
        <v>98</v>
      </c>
      <c r="BM331" s="2" t="s">
        <v>79</v>
      </c>
      <c r="BN331" s="2" t="s">
        <v>79</v>
      </c>
      <c r="BO331" s="2" t="s">
        <v>79</v>
      </c>
      <c r="BP331" s="2" t="s">
        <v>79</v>
      </c>
      <c r="BQ331" s="2" t="s">
        <v>79</v>
      </c>
      <c r="BR331" s="2" t="s">
        <v>79</v>
      </c>
      <c r="BS331" s="2" t="s">
        <v>79</v>
      </c>
      <c r="BT331" s="2" t="s">
        <v>79</v>
      </c>
      <c r="BU331" s="2" t="s">
        <v>79</v>
      </c>
      <c r="BV331" s="2" t="s">
        <v>79</v>
      </c>
      <c r="BW331" s="2" t="s">
        <v>98</v>
      </c>
      <c r="BX331" s="2" t="s">
        <v>98</v>
      </c>
      <c r="BY331" s="2" t="s">
        <v>98</v>
      </c>
      <c r="BZ331" s="2" t="s">
        <v>98</v>
      </c>
      <c r="CA331" s="2" t="s">
        <v>98</v>
      </c>
      <c r="CB331" t="e">
        <f>TTEST(AS331:AW331,AI331:AM331,2,2)</f>
        <v>#DIV/0!</v>
      </c>
      <c r="CC331" t="e">
        <f>TTEST(AD331:AH331,AI331:AM331,2,2)</f>
        <v>#DIV/0!</v>
      </c>
      <c r="CD331" t="e">
        <f>TTEST(AN331:AR331,AI331:AM331,2,2)</f>
        <v>#DIV/0!</v>
      </c>
      <c r="CE331" t="e">
        <f>TTEST(AX331:BB331,AI331:AM331,2,2)</f>
        <v>#DIV/0!</v>
      </c>
      <c r="CF331">
        <v>307</v>
      </c>
      <c r="CG331">
        <v>321</v>
      </c>
      <c r="CH331">
        <v>325</v>
      </c>
      <c r="CI331">
        <v>328</v>
      </c>
      <c r="CJ331">
        <f>0.05*CF331/464</f>
        <v>3.3081896551724138E-2</v>
      </c>
      <c r="CK331">
        <f>0.05*CG331/464</f>
        <v>3.4590517241379314E-2</v>
      </c>
      <c r="CL331">
        <f>0.05*CH331/464</f>
        <v>3.5021551724137928E-2</v>
      </c>
      <c r="CM331">
        <f>0.05*CI331/464</f>
        <v>3.5344827586206898E-2</v>
      </c>
      <c r="CN331" t="e">
        <f>IF(CB331&lt;CJ331,"yes","no")</f>
        <v>#DIV/0!</v>
      </c>
      <c r="CO331" t="e">
        <f>IF(CC331&lt;CK331,"yes","no")</f>
        <v>#DIV/0!</v>
      </c>
      <c r="CP331" t="e">
        <f>IF(CD331&lt;CL331,"yes","no")</f>
        <v>#DIV/0!</v>
      </c>
      <c r="CQ331" t="e">
        <f>IF(CE331&lt;CM331,"yes","no")</f>
        <v>#DIV/0!</v>
      </c>
      <c r="CR331" t="e">
        <f>TTEST(AS331:AW331,AD331:AH331,2,2)</f>
        <v>#DIV/0!</v>
      </c>
      <c r="CS331" t="e">
        <f>TTEST(AS331:AW331,AN331:AR331,2,2)</f>
        <v>#DIV/0!</v>
      </c>
      <c r="CT331" t="e">
        <f>TTEST(AS331:AW331,AX331:BB331,2,2)</f>
        <v>#DIV/0!</v>
      </c>
      <c r="CU331">
        <v>325</v>
      </c>
      <c r="CV331">
        <v>328</v>
      </c>
      <c r="CW331">
        <v>330</v>
      </c>
      <c r="CX331">
        <f t="shared" si="15"/>
        <v>3.5021551724137928E-2</v>
      </c>
      <c r="CY331">
        <f t="shared" si="16"/>
        <v>3.5344827586206898E-2</v>
      </c>
      <c r="CZ331">
        <f t="shared" si="17"/>
        <v>3.5560344827586209E-2</v>
      </c>
      <c r="DA331" t="e">
        <f>IF(CR331&lt;CX331,"yes","no")</f>
        <v>#DIV/0!</v>
      </c>
      <c r="DB331" t="e">
        <f>IF(CS331&lt;CY331,"yes","no")</f>
        <v>#DIV/0!</v>
      </c>
      <c r="DC331" t="e">
        <f>IF(CT331&lt;CZ331,"yes","no")</f>
        <v>#DIV/0!</v>
      </c>
    </row>
    <row r="332" spans="1:107" x14ac:dyDescent="0.2">
      <c r="A332" s="2" t="b">
        <v>0</v>
      </c>
      <c r="B332" s="2" t="s">
        <v>79</v>
      </c>
      <c r="C332" s="2" t="s">
        <v>80</v>
      </c>
      <c r="D332" s="2" t="s">
        <v>108</v>
      </c>
      <c r="E332" s="2" t="s">
        <v>109</v>
      </c>
      <c r="F332" s="2">
        <v>43</v>
      </c>
      <c r="G332" s="2">
        <v>2</v>
      </c>
      <c r="H332" s="2">
        <v>163.6</v>
      </c>
      <c r="I332" s="2">
        <v>6.01</v>
      </c>
      <c r="J332" s="2" t="s">
        <v>83</v>
      </c>
      <c r="K332" s="2" t="s">
        <v>84</v>
      </c>
      <c r="L332" s="2" t="s">
        <v>85</v>
      </c>
      <c r="M332" s="2" t="s">
        <v>110</v>
      </c>
      <c r="N332" s="2" t="s">
        <v>111</v>
      </c>
      <c r="O332" s="2" t="s">
        <v>83</v>
      </c>
      <c r="P332" s="2" t="s">
        <v>83</v>
      </c>
      <c r="Q332" s="2" t="s">
        <v>83</v>
      </c>
      <c r="R332" s="2" t="s">
        <v>83</v>
      </c>
      <c r="S332" s="2" t="s">
        <v>83</v>
      </c>
      <c r="T332" s="2" t="s">
        <v>83</v>
      </c>
      <c r="U332" s="2" t="s">
        <v>83</v>
      </c>
      <c r="V332" s="2" t="s">
        <v>83</v>
      </c>
      <c r="W332" s="2" t="s">
        <v>83</v>
      </c>
      <c r="X332" s="2" t="s">
        <v>83</v>
      </c>
      <c r="Y332" s="2" t="s">
        <v>83</v>
      </c>
      <c r="Z332" s="2" t="s">
        <v>83</v>
      </c>
      <c r="AA332" s="2" t="s">
        <v>83</v>
      </c>
      <c r="AB332" s="2" t="s">
        <v>83</v>
      </c>
      <c r="AC332" s="2" t="s">
        <v>83</v>
      </c>
      <c r="AD332" s="2" t="s">
        <v>83</v>
      </c>
      <c r="AE332" s="2" t="s">
        <v>83</v>
      </c>
      <c r="AF332" s="2" t="s">
        <v>83</v>
      </c>
      <c r="AG332" s="2" t="s">
        <v>83</v>
      </c>
      <c r="AH332" s="2" t="s">
        <v>83</v>
      </c>
      <c r="AI332" s="2" t="s">
        <v>83</v>
      </c>
      <c r="AJ332" s="2" t="s">
        <v>83</v>
      </c>
      <c r="AK332" s="2" t="s">
        <v>83</v>
      </c>
      <c r="AL332" s="2" t="s">
        <v>83</v>
      </c>
      <c r="AM332" s="2" t="s">
        <v>83</v>
      </c>
      <c r="AN332" s="2" t="s">
        <v>83</v>
      </c>
      <c r="AO332" s="2" t="s">
        <v>83</v>
      </c>
      <c r="AP332" s="2" t="s">
        <v>83</v>
      </c>
      <c r="AQ332" s="2" t="s">
        <v>83</v>
      </c>
      <c r="AR332" s="2" t="s">
        <v>83</v>
      </c>
      <c r="AS332" s="2" t="s">
        <v>83</v>
      </c>
      <c r="AT332" s="2" t="s">
        <v>83</v>
      </c>
      <c r="AU332" s="2" t="s">
        <v>83</v>
      </c>
      <c r="AV332" s="2" t="s">
        <v>83</v>
      </c>
      <c r="AW332" s="2" t="s">
        <v>83</v>
      </c>
      <c r="AX332" s="2" t="s">
        <v>83</v>
      </c>
      <c r="AY332" s="2" t="s">
        <v>83</v>
      </c>
      <c r="AZ332" s="2" t="s">
        <v>83</v>
      </c>
      <c r="BA332" s="2" t="s">
        <v>83</v>
      </c>
      <c r="BB332" s="2" t="s">
        <v>83</v>
      </c>
      <c r="BC332" s="2" t="s">
        <v>98</v>
      </c>
      <c r="BD332" s="2" t="s">
        <v>98</v>
      </c>
      <c r="BE332" s="2" t="s">
        <v>98</v>
      </c>
      <c r="BF332" s="2" t="s">
        <v>79</v>
      </c>
      <c r="BG332" s="2" t="s">
        <v>98</v>
      </c>
      <c r="BH332" s="2" t="s">
        <v>98</v>
      </c>
      <c r="BI332" s="2" t="s">
        <v>98</v>
      </c>
      <c r="BJ332" s="2" t="s">
        <v>98</v>
      </c>
      <c r="BK332" s="2" t="s">
        <v>98</v>
      </c>
      <c r="BL332" s="2" t="s">
        <v>98</v>
      </c>
      <c r="BM332" s="2" t="s">
        <v>98</v>
      </c>
      <c r="BN332" s="2" t="s">
        <v>98</v>
      </c>
      <c r="BO332" s="2" t="s">
        <v>98</v>
      </c>
      <c r="BP332" s="2" t="s">
        <v>98</v>
      </c>
      <c r="BQ332" s="2" t="s">
        <v>98</v>
      </c>
      <c r="BR332" s="2" t="s">
        <v>98</v>
      </c>
      <c r="BS332" s="2" t="s">
        <v>98</v>
      </c>
      <c r="BT332" s="2" t="s">
        <v>98</v>
      </c>
      <c r="BU332" s="2" t="s">
        <v>98</v>
      </c>
      <c r="BV332" s="2" t="s">
        <v>98</v>
      </c>
      <c r="BW332" s="2" t="s">
        <v>98</v>
      </c>
      <c r="BX332" s="2" t="s">
        <v>98</v>
      </c>
      <c r="BY332" s="2" t="s">
        <v>98</v>
      </c>
      <c r="BZ332" s="2" t="s">
        <v>98</v>
      </c>
      <c r="CA332" s="2" t="s">
        <v>98</v>
      </c>
      <c r="CB332" t="e">
        <f>TTEST(AS332:AW332,AI332:AM332,2,2)</f>
        <v>#DIV/0!</v>
      </c>
      <c r="CC332" t="e">
        <f>TTEST(AD332:AH332,AI332:AM332,2,2)</f>
        <v>#DIV/0!</v>
      </c>
      <c r="CD332" t="e">
        <f>TTEST(AN332:AR332,AI332:AM332,2,2)</f>
        <v>#DIV/0!</v>
      </c>
      <c r="CE332" t="e">
        <f>TTEST(AX332:BB332,AI332:AM332,2,2)</f>
        <v>#DIV/0!</v>
      </c>
      <c r="CF332">
        <v>308</v>
      </c>
      <c r="CG332">
        <v>322</v>
      </c>
      <c r="CH332">
        <v>326</v>
      </c>
      <c r="CI332">
        <v>329</v>
      </c>
      <c r="CJ332">
        <f>0.05*CF332/464</f>
        <v>3.3189655172413797E-2</v>
      </c>
      <c r="CK332">
        <f>0.05*CG332/464</f>
        <v>3.4698275862068965E-2</v>
      </c>
      <c r="CL332">
        <f>0.05*CH332/464</f>
        <v>3.5129310344827587E-2</v>
      </c>
      <c r="CM332">
        <f>0.05*CI332/464</f>
        <v>3.545258620689655E-2</v>
      </c>
      <c r="CN332" t="e">
        <f>IF(CB332&lt;CJ332,"yes","no")</f>
        <v>#DIV/0!</v>
      </c>
      <c r="CO332" t="e">
        <f>IF(CC332&lt;CK332,"yes","no")</f>
        <v>#DIV/0!</v>
      </c>
      <c r="CP332" t="e">
        <f>IF(CD332&lt;CL332,"yes","no")</f>
        <v>#DIV/0!</v>
      </c>
      <c r="CQ332" t="e">
        <f>IF(CE332&lt;CM332,"yes","no")</f>
        <v>#DIV/0!</v>
      </c>
      <c r="CR332" t="e">
        <f>TTEST(AS332:AW332,AD332:AH332,2,2)</f>
        <v>#DIV/0!</v>
      </c>
      <c r="CS332" t="e">
        <f>TTEST(AS332:AW332,AN332:AR332,2,2)</f>
        <v>#DIV/0!</v>
      </c>
      <c r="CT332" t="e">
        <f>TTEST(AS332:AW332,AX332:BB332,2,2)</f>
        <v>#DIV/0!</v>
      </c>
      <c r="CU332">
        <v>326</v>
      </c>
      <c r="CV332">
        <v>329</v>
      </c>
      <c r="CW332">
        <v>331</v>
      </c>
      <c r="CX332">
        <f t="shared" si="15"/>
        <v>3.5129310344827587E-2</v>
      </c>
      <c r="CY332">
        <f t="shared" si="16"/>
        <v>3.545258620689655E-2</v>
      </c>
      <c r="CZ332">
        <f t="shared" si="17"/>
        <v>3.566810344827586E-2</v>
      </c>
      <c r="DA332" t="e">
        <f>IF(CR332&lt;CX332,"yes","no")</f>
        <v>#DIV/0!</v>
      </c>
      <c r="DB332" t="e">
        <f>IF(CS332&lt;CY332,"yes","no")</f>
        <v>#DIV/0!</v>
      </c>
      <c r="DC332" t="e">
        <f>IF(CT332&lt;CZ332,"yes","no")</f>
        <v>#DIV/0!</v>
      </c>
    </row>
    <row r="333" spans="1:107" x14ac:dyDescent="0.2">
      <c r="A333" s="2" t="b">
        <v>0</v>
      </c>
      <c r="B333" s="2" t="s">
        <v>79</v>
      </c>
      <c r="C333" s="2" t="s">
        <v>80</v>
      </c>
      <c r="D333" s="2" t="s">
        <v>157</v>
      </c>
      <c r="E333" s="2" t="s">
        <v>158</v>
      </c>
      <c r="F333" s="2">
        <v>19</v>
      </c>
      <c r="G333" s="2">
        <v>1</v>
      </c>
      <c r="H333" s="2">
        <v>97.8</v>
      </c>
      <c r="I333" s="2">
        <v>6.64</v>
      </c>
      <c r="J333" s="2" t="s">
        <v>83</v>
      </c>
      <c r="K333" s="2" t="s">
        <v>84</v>
      </c>
      <c r="L333" s="2" t="s">
        <v>102</v>
      </c>
      <c r="M333" s="2" t="s">
        <v>124</v>
      </c>
      <c r="N333" s="2" t="s">
        <v>157</v>
      </c>
      <c r="O333" s="2">
        <v>0.84199999999999997</v>
      </c>
      <c r="P333" s="2">
        <v>0.01</v>
      </c>
      <c r="Q333" s="2">
        <v>0.01</v>
      </c>
      <c r="R333" s="2">
        <v>100</v>
      </c>
      <c r="S333" s="2">
        <v>100</v>
      </c>
      <c r="T333" s="2" t="s">
        <v>83</v>
      </c>
      <c r="U333" s="2" t="s">
        <v>83</v>
      </c>
      <c r="V333" s="2">
        <v>0.01</v>
      </c>
      <c r="W333" s="2">
        <v>0.01</v>
      </c>
      <c r="X333" s="2" t="s">
        <v>83</v>
      </c>
      <c r="Y333" s="2">
        <v>338.5</v>
      </c>
      <c r="Z333" s="2" t="s">
        <v>83</v>
      </c>
      <c r="AA333" s="2">
        <v>161.5</v>
      </c>
      <c r="AB333" s="2" t="s">
        <v>83</v>
      </c>
      <c r="AC333" s="2" t="s">
        <v>83</v>
      </c>
      <c r="AD333" s="2">
        <v>730825.3125</v>
      </c>
      <c r="AE333" s="2">
        <v>727297.625</v>
      </c>
      <c r="AF333" s="2">
        <v>794676.75</v>
      </c>
      <c r="AG333" s="2">
        <v>160394.875</v>
      </c>
      <c r="AH333" s="2">
        <v>143588.671875</v>
      </c>
      <c r="AI333" s="2" t="s">
        <v>83</v>
      </c>
      <c r="AJ333" s="2" t="s">
        <v>83</v>
      </c>
      <c r="AK333" s="2" t="s">
        <v>83</v>
      </c>
      <c r="AL333" s="2" t="s">
        <v>83</v>
      </c>
      <c r="AM333" s="2" t="s">
        <v>83</v>
      </c>
      <c r="AN333" s="2">
        <v>11387.9404296875</v>
      </c>
      <c r="AO333" s="2">
        <v>4458.28369140625</v>
      </c>
      <c r="AP333" s="2">
        <v>7449.57470703125</v>
      </c>
      <c r="AQ333" s="2" t="s">
        <v>83</v>
      </c>
      <c r="AR333" s="2">
        <v>5832.64404296875</v>
      </c>
      <c r="AS333" s="2" t="s">
        <v>83</v>
      </c>
      <c r="AT333" s="2" t="s">
        <v>83</v>
      </c>
      <c r="AU333" s="2" t="s">
        <v>83</v>
      </c>
      <c r="AV333" s="2" t="s">
        <v>83</v>
      </c>
      <c r="AW333" s="2" t="s">
        <v>83</v>
      </c>
      <c r="AX333" s="2" t="s">
        <v>83</v>
      </c>
      <c r="AY333" s="2" t="s">
        <v>83</v>
      </c>
      <c r="AZ333" s="2" t="s">
        <v>83</v>
      </c>
      <c r="BA333" s="2" t="s">
        <v>83</v>
      </c>
      <c r="BB333" s="2" t="s">
        <v>83</v>
      </c>
      <c r="BC333" s="2" t="s">
        <v>79</v>
      </c>
      <c r="BD333" s="2" t="s">
        <v>79</v>
      </c>
      <c r="BE333" s="2" t="s">
        <v>79</v>
      </c>
      <c r="BF333" s="2" t="s">
        <v>79</v>
      </c>
      <c r="BG333" s="2" t="s">
        <v>79</v>
      </c>
      <c r="BH333" s="2" t="s">
        <v>98</v>
      </c>
      <c r="BI333" s="2" t="s">
        <v>98</v>
      </c>
      <c r="BJ333" s="2" t="s">
        <v>98</v>
      </c>
      <c r="BK333" s="2" t="s">
        <v>98</v>
      </c>
      <c r="BL333" s="2" t="s">
        <v>98</v>
      </c>
      <c r="BM333" s="2" t="s">
        <v>91</v>
      </c>
      <c r="BN333" s="2" t="s">
        <v>91</v>
      </c>
      <c r="BO333" s="2" t="s">
        <v>91</v>
      </c>
      <c r="BP333" s="2" t="s">
        <v>98</v>
      </c>
      <c r="BQ333" s="2" t="s">
        <v>91</v>
      </c>
      <c r="BR333" s="2" t="s">
        <v>98</v>
      </c>
      <c r="BS333" s="2" t="s">
        <v>98</v>
      </c>
      <c r="BT333" s="2" t="s">
        <v>98</v>
      </c>
      <c r="BU333" s="2" t="s">
        <v>98</v>
      </c>
      <c r="BV333" s="2" t="s">
        <v>98</v>
      </c>
      <c r="BW333" s="2" t="s">
        <v>98</v>
      </c>
      <c r="BX333" s="2" t="s">
        <v>98</v>
      </c>
      <c r="BY333" s="2" t="s">
        <v>98</v>
      </c>
      <c r="BZ333" s="2" t="s">
        <v>98</v>
      </c>
      <c r="CA333" s="2" t="s">
        <v>98</v>
      </c>
      <c r="CB333" t="e">
        <f>TTEST(AS333:AW333,AI333:AM333,2,2)</f>
        <v>#DIV/0!</v>
      </c>
      <c r="CC333" t="e">
        <f>TTEST(AD333:AH333,AI333:AM333,2,2)</f>
        <v>#DIV/0!</v>
      </c>
      <c r="CD333" t="e">
        <f>TTEST(AN333:AR333,AI333:AM333,2,2)</f>
        <v>#DIV/0!</v>
      </c>
      <c r="CE333" t="e">
        <f>TTEST(AX333:BB333,AI333:AM333,2,2)</f>
        <v>#DIV/0!</v>
      </c>
      <c r="CF333">
        <v>309</v>
      </c>
      <c r="CG333">
        <v>323</v>
      </c>
      <c r="CH333">
        <v>327</v>
      </c>
      <c r="CI333">
        <v>330</v>
      </c>
      <c r="CJ333">
        <f>0.05*CF333/464</f>
        <v>3.3297413793103449E-2</v>
      </c>
      <c r="CK333">
        <f>0.05*CG333/464</f>
        <v>3.4806034482758624E-2</v>
      </c>
      <c r="CL333">
        <f>0.05*CH333/464</f>
        <v>3.5237068965517246E-2</v>
      </c>
      <c r="CM333">
        <f>0.05*CI333/464</f>
        <v>3.5560344827586209E-2</v>
      </c>
      <c r="CN333" t="e">
        <f>IF(CB333&lt;CJ333,"yes","no")</f>
        <v>#DIV/0!</v>
      </c>
      <c r="CO333" t="e">
        <f>IF(CC333&lt;CK333,"yes","no")</f>
        <v>#DIV/0!</v>
      </c>
      <c r="CP333" t="e">
        <f>IF(CD333&lt;CL333,"yes","no")</f>
        <v>#DIV/0!</v>
      </c>
      <c r="CQ333" t="e">
        <f>IF(CE333&lt;CM333,"yes","no")</f>
        <v>#DIV/0!</v>
      </c>
      <c r="CR333" t="e">
        <f>TTEST(AS333:AW333,AD333:AH333,2,2)</f>
        <v>#DIV/0!</v>
      </c>
      <c r="CS333" t="e">
        <f>TTEST(AS333:AW333,AN333:AR333,2,2)</f>
        <v>#DIV/0!</v>
      </c>
      <c r="CT333" t="e">
        <f>TTEST(AS333:AW333,AX333:BB333,2,2)</f>
        <v>#DIV/0!</v>
      </c>
      <c r="CU333">
        <v>327</v>
      </c>
      <c r="CV333">
        <v>330</v>
      </c>
      <c r="CW333">
        <v>332</v>
      </c>
      <c r="CX333">
        <f t="shared" si="15"/>
        <v>3.5237068965517246E-2</v>
      </c>
      <c r="CY333">
        <f t="shared" si="16"/>
        <v>3.5560344827586209E-2</v>
      </c>
      <c r="CZ333">
        <f t="shared" si="17"/>
        <v>3.5775862068965519E-2</v>
      </c>
      <c r="DA333" t="e">
        <f>IF(CR333&lt;CX333,"yes","no")</f>
        <v>#DIV/0!</v>
      </c>
      <c r="DB333" t="e">
        <f>IF(CS333&lt;CY333,"yes","no")</f>
        <v>#DIV/0!</v>
      </c>
      <c r="DC333" t="e">
        <f>IF(CT333&lt;CZ333,"yes","no")</f>
        <v>#DIV/0!</v>
      </c>
    </row>
    <row r="334" spans="1:107" x14ac:dyDescent="0.2">
      <c r="A334" s="2" t="b">
        <v>0</v>
      </c>
      <c r="B334" s="2" t="s">
        <v>79</v>
      </c>
      <c r="C334" s="2" t="s">
        <v>80</v>
      </c>
      <c r="D334" s="2" t="s">
        <v>161</v>
      </c>
      <c r="E334" s="2" t="s">
        <v>162</v>
      </c>
      <c r="F334" s="2">
        <v>38</v>
      </c>
      <c r="G334" s="2">
        <v>1</v>
      </c>
      <c r="H334" s="2">
        <v>226.2</v>
      </c>
      <c r="I334" s="2">
        <v>5.6</v>
      </c>
      <c r="J334" s="2" t="s">
        <v>163</v>
      </c>
      <c r="K334" s="2" t="s">
        <v>164</v>
      </c>
      <c r="L334" s="2" t="s">
        <v>165</v>
      </c>
      <c r="M334" s="2" t="s">
        <v>83</v>
      </c>
      <c r="N334" s="2" t="s">
        <v>161</v>
      </c>
      <c r="O334" s="2" t="s">
        <v>83</v>
      </c>
      <c r="P334" s="2" t="s">
        <v>83</v>
      </c>
      <c r="Q334" s="2" t="s">
        <v>83</v>
      </c>
      <c r="R334" s="2" t="s">
        <v>83</v>
      </c>
      <c r="S334" s="2" t="s">
        <v>83</v>
      </c>
      <c r="T334" s="2" t="s">
        <v>83</v>
      </c>
      <c r="U334" s="2" t="s">
        <v>83</v>
      </c>
      <c r="V334" s="2" t="s">
        <v>83</v>
      </c>
      <c r="W334" s="2" t="s">
        <v>83</v>
      </c>
      <c r="X334" s="2" t="s">
        <v>83</v>
      </c>
      <c r="Y334" s="2" t="s">
        <v>83</v>
      </c>
      <c r="Z334" s="2" t="s">
        <v>83</v>
      </c>
      <c r="AA334" s="2" t="s">
        <v>83</v>
      </c>
      <c r="AB334" s="2" t="s">
        <v>83</v>
      </c>
      <c r="AC334" s="2" t="s">
        <v>83</v>
      </c>
      <c r="AD334" s="2" t="s">
        <v>83</v>
      </c>
      <c r="AE334" s="2" t="s">
        <v>83</v>
      </c>
      <c r="AF334" s="2" t="s">
        <v>83</v>
      </c>
      <c r="AG334" s="2" t="s">
        <v>83</v>
      </c>
      <c r="AH334" s="2" t="s">
        <v>83</v>
      </c>
      <c r="AI334" s="2" t="s">
        <v>83</v>
      </c>
      <c r="AJ334" s="2" t="s">
        <v>83</v>
      </c>
      <c r="AK334" s="2" t="s">
        <v>83</v>
      </c>
      <c r="AL334" s="2" t="s">
        <v>83</v>
      </c>
      <c r="AM334" s="2" t="s">
        <v>83</v>
      </c>
      <c r="AN334" s="2" t="s">
        <v>83</v>
      </c>
      <c r="AO334" s="2" t="s">
        <v>83</v>
      </c>
      <c r="AP334" s="2" t="s">
        <v>83</v>
      </c>
      <c r="AQ334" s="2" t="s">
        <v>83</v>
      </c>
      <c r="AR334" s="2" t="s">
        <v>83</v>
      </c>
      <c r="AS334" s="2" t="s">
        <v>83</v>
      </c>
      <c r="AT334" s="2" t="s">
        <v>83</v>
      </c>
      <c r="AU334" s="2" t="s">
        <v>83</v>
      </c>
      <c r="AV334" s="2" t="s">
        <v>83</v>
      </c>
      <c r="AW334" s="2" t="s">
        <v>83</v>
      </c>
      <c r="AX334" s="2" t="s">
        <v>83</v>
      </c>
      <c r="AY334" s="2" t="s">
        <v>83</v>
      </c>
      <c r="AZ334" s="2" t="s">
        <v>83</v>
      </c>
      <c r="BA334" s="2" t="s">
        <v>83</v>
      </c>
      <c r="BB334" s="2" t="s">
        <v>83</v>
      </c>
      <c r="BC334" s="2" t="s">
        <v>98</v>
      </c>
      <c r="BD334" s="2" t="s">
        <v>98</v>
      </c>
      <c r="BE334" s="2" t="s">
        <v>98</v>
      </c>
      <c r="BF334" s="2" t="s">
        <v>98</v>
      </c>
      <c r="BG334" s="2" t="s">
        <v>98</v>
      </c>
      <c r="BH334" s="2" t="s">
        <v>98</v>
      </c>
      <c r="BI334" s="2" t="s">
        <v>98</v>
      </c>
      <c r="BJ334" s="2" t="s">
        <v>98</v>
      </c>
      <c r="BK334" s="2" t="s">
        <v>98</v>
      </c>
      <c r="BL334" s="2" t="s">
        <v>98</v>
      </c>
      <c r="BM334" s="2" t="s">
        <v>79</v>
      </c>
      <c r="BN334" s="2" t="s">
        <v>79</v>
      </c>
      <c r="BO334" s="2" t="s">
        <v>98</v>
      </c>
      <c r="BP334" s="2" t="s">
        <v>98</v>
      </c>
      <c r="BQ334" s="2" t="s">
        <v>98</v>
      </c>
      <c r="BR334" s="2" t="s">
        <v>79</v>
      </c>
      <c r="BS334" s="2" t="s">
        <v>79</v>
      </c>
      <c r="BT334" s="2" t="s">
        <v>98</v>
      </c>
      <c r="BU334" s="2" t="s">
        <v>79</v>
      </c>
      <c r="BV334" s="2" t="s">
        <v>79</v>
      </c>
      <c r="BW334" s="2" t="s">
        <v>98</v>
      </c>
      <c r="BX334" s="2" t="s">
        <v>98</v>
      </c>
      <c r="BY334" s="2" t="s">
        <v>98</v>
      </c>
      <c r="BZ334" s="2" t="s">
        <v>98</v>
      </c>
      <c r="CA334" s="2" t="s">
        <v>98</v>
      </c>
      <c r="CB334" t="e">
        <f>TTEST(AS334:AW334,AI334:AM334,2,2)</f>
        <v>#DIV/0!</v>
      </c>
      <c r="CC334" t="e">
        <f>TTEST(AD334:AH334,AI334:AM334,2,2)</f>
        <v>#DIV/0!</v>
      </c>
      <c r="CD334" t="e">
        <f>TTEST(AN334:AR334,AI334:AM334,2,2)</f>
        <v>#DIV/0!</v>
      </c>
      <c r="CE334" t="e">
        <f>TTEST(AX334:BB334,AI334:AM334,2,2)</f>
        <v>#DIV/0!</v>
      </c>
      <c r="CF334">
        <v>310</v>
      </c>
      <c r="CG334">
        <v>324</v>
      </c>
      <c r="CH334">
        <v>328</v>
      </c>
      <c r="CI334">
        <v>331</v>
      </c>
      <c r="CJ334">
        <f>0.05*CF334/464</f>
        <v>3.3405172413793101E-2</v>
      </c>
      <c r="CK334">
        <f>0.05*CG334/464</f>
        <v>3.4913793103448276E-2</v>
      </c>
      <c r="CL334">
        <f>0.05*CH334/464</f>
        <v>3.5344827586206898E-2</v>
      </c>
      <c r="CM334">
        <f>0.05*CI334/464</f>
        <v>3.566810344827586E-2</v>
      </c>
      <c r="CN334" t="e">
        <f>IF(CB334&lt;CJ334,"yes","no")</f>
        <v>#DIV/0!</v>
      </c>
      <c r="CO334" t="e">
        <f>IF(CC334&lt;CK334,"yes","no")</f>
        <v>#DIV/0!</v>
      </c>
      <c r="CP334" t="e">
        <f>IF(CD334&lt;CL334,"yes","no")</f>
        <v>#DIV/0!</v>
      </c>
      <c r="CQ334" t="e">
        <f>IF(CE334&lt;CM334,"yes","no")</f>
        <v>#DIV/0!</v>
      </c>
      <c r="CR334" t="e">
        <f>TTEST(AS334:AW334,AD334:AH334,2,2)</f>
        <v>#DIV/0!</v>
      </c>
      <c r="CS334" t="e">
        <f>TTEST(AS334:AW334,AN334:AR334,2,2)</f>
        <v>#DIV/0!</v>
      </c>
      <c r="CT334" t="e">
        <f>TTEST(AS334:AW334,AX334:BB334,2,2)</f>
        <v>#DIV/0!</v>
      </c>
      <c r="CU334">
        <v>328</v>
      </c>
      <c r="CV334">
        <v>331</v>
      </c>
      <c r="CW334">
        <v>333</v>
      </c>
      <c r="CX334">
        <f t="shared" si="15"/>
        <v>3.5344827586206898E-2</v>
      </c>
      <c r="CY334">
        <f t="shared" si="16"/>
        <v>3.566810344827586E-2</v>
      </c>
      <c r="CZ334">
        <f t="shared" si="17"/>
        <v>3.5883620689655178E-2</v>
      </c>
      <c r="DA334" t="e">
        <f>IF(CR334&lt;CX334,"yes","no")</f>
        <v>#DIV/0!</v>
      </c>
      <c r="DB334" t="e">
        <f>IF(CS334&lt;CY334,"yes","no")</f>
        <v>#DIV/0!</v>
      </c>
      <c r="DC334" t="e">
        <f>IF(CT334&lt;CZ334,"yes","no")</f>
        <v>#DIV/0!</v>
      </c>
    </row>
    <row r="335" spans="1:107" x14ac:dyDescent="0.2">
      <c r="A335" s="2" t="b">
        <v>0</v>
      </c>
      <c r="B335" s="2" t="s">
        <v>79</v>
      </c>
      <c r="C335" s="2" t="s">
        <v>80</v>
      </c>
      <c r="D335" s="2" t="s">
        <v>341</v>
      </c>
      <c r="E335" s="2" t="s">
        <v>342</v>
      </c>
      <c r="F335" s="2">
        <v>7</v>
      </c>
      <c r="G335" s="2">
        <v>1</v>
      </c>
      <c r="H335" s="2">
        <v>39.9</v>
      </c>
      <c r="I335" s="2">
        <v>5.36</v>
      </c>
      <c r="J335" s="2" t="s">
        <v>83</v>
      </c>
      <c r="K335" s="2" t="s">
        <v>83</v>
      </c>
      <c r="L335" s="2" t="s">
        <v>83</v>
      </c>
      <c r="M335" s="2" t="s">
        <v>343</v>
      </c>
      <c r="N335" s="2" t="s">
        <v>341</v>
      </c>
      <c r="O335" s="2" t="s">
        <v>83</v>
      </c>
      <c r="P335" s="2" t="s">
        <v>83</v>
      </c>
      <c r="Q335" s="2" t="s">
        <v>83</v>
      </c>
      <c r="R335" s="2" t="s">
        <v>83</v>
      </c>
      <c r="S335" s="2" t="s">
        <v>83</v>
      </c>
      <c r="T335" s="2" t="s">
        <v>83</v>
      </c>
      <c r="U335" s="2" t="s">
        <v>83</v>
      </c>
      <c r="V335" s="2" t="s">
        <v>83</v>
      </c>
      <c r="W335" s="2" t="s">
        <v>83</v>
      </c>
      <c r="X335" s="2" t="s">
        <v>83</v>
      </c>
      <c r="Y335" s="2" t="s">
        <v>83</v>
      </c>
      <c r="Z335" s="2" t="s">
        <v>83</v>
      </c>
      <c r="AA335" s="2" t="s">
        <v>83</v>
      </c>
      <c r="AB335" s="2" t="s">
        <v>83</v>
      </c>
      <c r="AC335" s="2" t="s">
        <v>83</v>
      </c>
      <c r="AD335" s="2" t="s">
        <v>83</v>
      </c>
      <c r="AE335" s="2" t="s">
        <v>83</v>
      </c>
      <c r="AF335" s="2" t="s">
        <v>83</v>
      </c>
      <c r="AG335" s="2" t="s">
        <v>83</v>
      </c>
      <c r="AH335" s="2" t="s">
        <v>83</v>
      </c>
      <c r="AI335" s="2" t="s">
        <v>83</v>
      </c>
      <c r="AJ335" s="2" t="s">
        <v>83</v>
      </c>
      <c r="AK335" s="2" t="s">
        <v>83</v>
      </c>
      <c r="AL335" s="2" t="s">
        <v>83</v>
      </c>
      <c r="AM335" s="2" t="s">
        <v>83</v>
      </c>
      <c r="AN335" s="2" t="s">
        <v>83</v>
      </c>
      <c r="AO335" s="2" t="s">
        <v>83</v>
      </c>
      <c r="AP335" s="2" t="s">
        <v>83</v>
      </c>
      <c r="AQ335" s="2" t="s">
        <v>83</v>
      </c>
      <c r="AR335" s="2" t="s">
        <v>83</v>
      </c>
      <c r="AS335" s="2" t="s">
        <v>83</v>
      </c>
      <c r="AT335" s="2" t="s">
        <v>83</v>
      </c>
      <c r="AU335" s="2" t="s">
        <v>83</v>
      </c>
      <c r="AV335" s="2" t="s">
        <v>83</v>
      </c>
      <c r="AW335" s="2" t="s">
        <v>83</v>
      </c>
      <c r="AX335" s="2" t="s">
        <v>83</v>
      </c>
      <c r="AY335" s="2" t="s">
        <v>83</v>
      </c>
      <c r="AZ335" s="2" t="s">
        <v>83</v>
      </c>
      <c r="BA335" s="2" t="s">
        <v>83</v>
      </c>
      <c r="BB335" s="2" t="s">
        <v>83</v>
      </c>
      <c r="BC335" s="2" t="s">
        <v>79</v>
      </c>
      <c r="BD335" s="2" t="s">
        <v>79</v>
      </c>
      <c r="BE335" s="2" t="s">
        <v>79</v>
      </c>
      <c r="BF335" s="2" t="s">
        <v>98</v>
      </c>
      <c r="BG335" s="2" t="s">
        <v>98</v>
      </c>
      <c r="BH335" s="2" t="s">
        <v>98</v>
      </c>
      <c r="BI335" s="2" t="s">
        <v>98</v>
      </c>
      <c r="BJ335" s="2" t="s">
        <v>98</v>
      </c>
      <c r="BK335" s="2" t="s">
        <v>79</v>
      </c>
      <c r="BL335" s="2" t="s">
        <v>98</v>
      </c>
      <c r="BM335" s="2" t="s">
        <v>79</v>
      </c>
      <c r="BN335" s="2" t="s">
        <v>79</v>
      </c>
      <c r="BO335" s="2" t="s">
        <v>98</v>
      </c>
      <c r="BP335" s="2" t="s">
        <v>79</v>
      </c>
      <c r="BQ335" s="2" t="s">
        <v>98</v>
      </c>
      <c r="BR335" s="2" t="s">
        <v>98</v>
      </c>
      <c r="BS335" s="2" t="s">
        <v>98</v>
      </c>
      <c r="BT335" s="2" t="s">
        <v>98</v>
      </c>
      <c r="BU335" s="2" t="s">
        <v>79</v>
      </c>
      <c r="BV335" s="2" t="s">
        <v>79</v>
      </c>
      <c r="BW335" s="2" t="s">
        <v>98</v>
      </c>
      <c r="BX335" s="2" t="s">
        <v>98</v>
      </c>
      <c r="BY335" s="2" t="s">
        <v>79</v>
      </c>
      <c r="BZ335" s="2" t="s">
        <v>98</v>
      </c>
      <c r="CA335" s="2" t="s">
        <v>98</v>
      </c>
      <c r="CB335" t="e">
        <f>TTEST(AS335:AW335,AI335:AM335,2,2)</f>
        <v>#DIV/0!</v>
      </c>
      <c r="CC335" t="e">
        <f>TTEST(AD335:AH335,AI335:AM335,2,2)</f>
        <v>#DIV/0!</v>
      </c>
      <c r="CD335" t="e">
        <f>TTEST(AN335:AR335,AI335:AM335,2,2)</f>
        <v>#DIV/0!</v>
      </c>
      <c r="CE335" t="e">
        <f>TTEST(AX335:BB335,AI335:AM335,2,2)</f>
        <v>#DIV/0!</v>
      </c>
      <c r="CF335">
        <v>311</v>
      </c>
      <c r="CG335">
        <v>325</v>
      </c>
      <c r="CH335">
        <v>329</v>
      </c>
      <c r="CI335">
        <v>332</v>
      </c>
      <c r="CJ335">
        <f>0.05*CF335/464</f>
        <v>3.351293103448276E-2</v>
      </c>
      <c r="CK335">
        <f>0.05*CG335/464</f>
        <v>3.5021551724137928E-2</v>
      </c>
      <c r="CL335">
        <f>0.05*CH335/464</f>
        <v>3.545258620689655E-2</v>
      </c>
      <c r="CM335">
        <f>0.05*CI335/464</f>
        <v>3.5775862068965519E-2</v>
      </c>
      <c r="CN335" t="e">
        <f>IF(CB335&lt;CJ335,"yes","no")</f>
        <v>#DIV/0!</v>
      </c>
      <c r="CO335" t="e">
        <f>IF(CC335&lt;CK335,"yes","no")</f>
        <v>#DIV/0!</v>
      </c>
      <c r="CP335" t="e">
        <f>IF(CD335&lt;CL335,"yes","no")</f>
        <v>#DIV/0!</v>
      </c>
      <c r="CQ335" t="e">
        <f>IF(CE335&lt;CM335,"yes","no")</f>
        <v>#DIV/0!</v>
      </c>
      <c r="CR335" t="e">
        <f>TTEST(AS335:AW335,AD335:AH335,2,2)</f>
        <v>#DIV/0!</v>
      </c>
      <c r="CS335" t="e">
        <f>TTEST(AS335:AW335,AN335:AR335,2,2)</f>
        <v>#DIV/0!</v>
      </c>
      <c r="CT335" t="e">
        <f>TTEST(AS335:AW335,AX335:BB335,2,2)</f>
        <v>#DIV/0!</v>
      </c>
      <c r="CU335">
        <v>329</v>
      </c>
      <c r="CV335">
        <v>332</v>
      </c>
      <c r="CW335">
        <v>334</v>
      </c>
      <c r="CX335">
        <f t="shared" si="15"/>
        <v>3.545258620689655E-2</v>
      </c>
      <c r="CY335">
        <f t="shared" si="16"/>
        <v>3.5775862068965519E-2</v>
      </c>
      <c r="CZ335">
        <f t="shared" si="17"/>
        <v>3.5991379310344823E-2</v>
      </c>
      <c r="DA335" t="e">
        <f>IF(CR335&lt;CX335,"yes","no")</f>
        <v>#DIV/0!</v>
      </c>
      <c r="DB335" t="e">
        <f>IF(CS335&lt;CY335,"yes","no")</f>
        <v>#DIV/0!</v>
      </c>
      <c r="DC335" t="e">
        <f>IF(CT335&lt;CZ335,"yes","no")</f>
        <v>#DIV/0!</v>
      </c>
    </row>
    <row r="336" spans="1:107" x14ac:dyDescent="0.2">
      <c r="A336" s="2" t="b">
        <v>0</v>
      </c>
      <c r="B336" s="2" t="s">
        <v>79</v>
      </c>
      <c r="C336" s="2" t="s">
        <v>80</v>
      </c>
      <c r="D336" s="2" t="s">
        <v>427</v>
      </c>
      <c r="E336" s="2" t="s">
        <v>428</v>
      </c>
      <c r="F336" s="2">
        <v>7</v>
      </c>
      <c r="G336" s="2">
        <v>1</v>
      </c>
      <c r="H336" s="2">
        <v>47.7</v>
      </c>
      <c r="I336" s="2">
        <v>4.91</v>
      </c>
      <c r="J336" s="2" t="s">
        <v>168</v>
      </c>
      <c r="K336" s="2" t="s">
        <v>247</v>
      </c>
      <c r="L336" s="2" t="s">
        <v>119</v>
      </c>
      <c r="M336" s="2" t="s">
        <v>429</v>
      </c>
      <c r="N336" s="2" t="s">
        <v>430</v>
      </c>
      <c r="O336" s="2" t="s">
        <v>83</v>
      </c>
      <c r="P336" s="2" t="s">
        <v>83</v>
      </c>
      <c r="Q336" s="2" t="s">
        <v>83</v>
      </c>
      <c r="R336" s="2" t="s">
        <v>83</v>
      </c>
      <c r="S336" s="2" t="s">
        <v>83</v>
      </c>
      <c r="T336" s="2" t="s">
        <v>83</v>
      </c>
      <c r="U336" s="2" t="s">
        <v>83</v>
      </c>
      <c r="V336" s="2" t="s">
        <v>83</v>
      </c>
      <c r="W336" s="2" t="s">
        <v>83</v>
      </c>
      <c r="X336" s="2" t="s">
        <v>83</v>
      </c>
      <c r="Y336" s="2" t="s">
        <v>83</v>
      </c>
      <c r="Z336" s="2" t="s">
        <v>83</v>
      </c>
      <c r="AA336" s="2" t="s">
        <v>83</v>
      </c>
      <c r="AB336" s="2" t="s">
        <v>83</v>
      </c>
      <c r="AC336" s="2" t="s">
        <v>83</v>
      </c>
      <c r="AD336" s="2" t="s">
        <v>83</v>
      </c>
      <c r="AE336" s="2" t="s">
        <v>83</v>
      </c>
      <c r="AF336" s="2" t="s">
        <v>83</v>
      </c>
      <c r="AG336" s="2" t="s">
        <v>83</v>
      </c>
      <c r="AH336" s="2" t="s">
        <v>83</v>
      </c>
      <c r="AI336" s="2" t="s">
        <v>83</v>
      </c>
      <c r="AJ336" s="2" t="s">
        <v>83</v>
      </c>
      <c r="AK336" s="2" t="s">
        <v>83</v>
      </c>
      <c r="AL336" s="2" t="s">
        <v>83</v>
      </c>
      <c r="AM336" s="2" t="s">
        <v>83</v>
      </c>
      <c r="AN336" s="2" t="s">
        <v>83</v>
      </c>
      <c r="AO336" s="2" t="s">
        <v>83</v>
      </c>
      <c r="AP336" s="2" t="s">
        <v>83</v>
      </c>
      <c r="AQ336" s="2" t="s">
        <v>83</v>
      </c>
      <c r="AR336" s="2" t="s">
        <v>83</v>
      </c>
      <c r="AS336" s="2" t="s">
        <v>83</v>
      </c>
      <c r="AT336" s="2" t="s">
        <v>83</v>
      </c>
      <c r="AU336" s="2" t="s">
        <v>83</v>
      </c>
      <c r="AV336" s="2" t="s">
        <v>83</v>
      </c>
      <c r="AW336" s="2" t="s">
        <v>83</v>
      </c>
      <c r="AX336" s="2" t="s">
        <v>83</v>
      </c>
      <c r="AY336" s="2" t="s">
        <v>83</v>
      </c>
      <c r="AZ336" s="2" t="s">
        <v>83</v>
      </c>
      <c r="BA336" s="2" t="s">
        <v>83</v>
      </c>
      <c r="BB336" s="2" t="s">
        <v>83</v>
      </c>
      <c r="BC336" s="2" t="s">
        <v>98</v>
      </c>
      <c r="BD336" s="2" t="s">
        <v>98</v>
      </c>
      <c r="BE336" s="2" t="s">
        <v>79</v>
      </c>
      <c r="BF336" s="2" t="s">
        <v>98</v>
      </c>
      <c r="BG336" s="2" t="s">
        <v>98</v>
      </c>
      <c r="BH336" s="2" t="s">
        <v>98</v>
      </c>
      <c r="BI336" s="2" t="s">
        <v>98</v>
      </c>
      <c r="BJ336" s="2" t="s">
        <v>98</v>
      </c>
      <c r="BK336" s="2" t="s">
        <v>98</v>
      </c>
      <c r="BL336" s="2" t="s">
        <v>98</v>
      </c>
      <c r="BM336" s="2" t="s">
        <v>98</v>
      </c>
      <c r="BN336" s="2" t="s">
        <v>98</v>
      </c>
      <c r="BO336" s="2" t="s">
        <v>98</v>
      </c>
      <c r="BP336" s="2" t="s">
        <v>98</v>
      </c>
      <c r="BQ336" s="2" t="s">
        <v>98</v>
      </c>
      <c r="BR336" s="2" t="s">
        <v>98</v>
      </c>
      <c r="BS336" s="2" t="s">
        <v>98</v>
      </c>
      <c r="BT336" s="2" t="s">
        <v>98</v>
      </c>
      <c r="BU336" s="2" t="s">
        <v>98</v>
      </c>
      <c r="BV336" s="2" t="s">
        <v>98</v>
      </c>
      <c r="BW336" s="2" t="s">
        <v>98</v>
      </c>
      <c r="BX336" s="2" t="s">
        <v>98</v>
      </c>
      <c r="BY336" s="2" t="s">
        <v>98</v>
      </c>
      <c r="BZ336" s="2" t="s">
        <v>98</v>
      </c>
      <c r="CA336" s="2" t="s">
        <v>98</v>
      </c>
      <c r="CB336" t="e">
        <f>TTEST(AS336:AW336,AI336:AM336,2,2)</f>
        <v>#DIV/0!</v>
      </c>
      <c r="CC336" t="e">
        <f>TTEST(AD336:AH336,AI336:AM336,2,2)</f>
        <v>#DIV/0!</v>
      </c>
      <c r="CD336" t="e">
        <f>TTEST(AN336:AR336,AI336:AM336,2,2)</f>
        <v>#DIV/0!</v>
      </c>
      <c r="CE336" t="e">
        <f>TTEST(AX336:BB336,AI336:AM336,2,2)</f>
        <v>#DIV/0!</v>
      </c>
      <c r="CF336">
        <v>312</v>
      </c>
      <c r="CG336">
        <v>326</v>
      </c>
      <c r="CH336">
        <v>330</v>
      </c>
      <c r="CI336">
        <v>333</v>
      </c>
      <c r="CJ336">
        <f>0.05*CF336/464</f>
        <v>3.3620689655172419E-2</v>
      </c>
      <c r="CK336">
        <f>0.05*CG336/464</f>
        <v>3.5129310344827587E-2</v>
      </c>
      <c r="CL336">
        <f>0.05*CH336/464</f>
        <v>3.5560344827586209E-2</v>
      </c>
      <c r="CM336">
        <f>0.05*CI336/464</f>
        <v>3.5883620689655178E-2</v>
      </c>
      <c r="CN336" t="e">
        <f>IF(CB336&lt;CJ336,"yes","no")</f>
        <v>#DIV/0!</v>
      </c>
      <c r="CO336" t="e">
        <f>IF(CC336&lt;CK336,"yes","no")</f>
        <v>#DIV/0!</v>
      </c>
      <c r="CP336" t="e">
        <f>IF(CD336&lt;CL336,"yes","no")</f>
        <v>#DIV/0!</v>
      </c>
      <c r="CQ336" t="e">
        <f>IF(CE336&lt;CM336,"yes","no")</f>
        <v>#DIV/0!</v>
      </c>
      <c r="CR336" t="e">
        <f>TTEST(AS336:AW336,AD336:AH336,2,2)</f>
        <v>#DIV/0!</v>
      </c>
      <c r="CS336" t="e">
        <f>TTEST(AS336:AW336,AN336:AR336,2,2)</f>
        <v>#DIV/0!</v>
      </c>
      <c r="CT336" t="e">
        <f>TTEST(AS336:AW336,AX336:BB336,2,2)</f>
        <v>#DIV/0!</v>
      </c>
      <c r="CU336">
        <v>330</v>
      </c>
      <c r="CV336">
        <v>333</v>
      </c>
      <c r="CW336">
        <v>335</v>
      </c>
      <c r="CX336">
        <f t="shared" si="15"/>
        <v>3.5560344827586209E-2</v>
      </c>
      <c r="CY336">
        <f t="shared" si="16"/>
        <v>3.5883620689655178E-2</v>
      </c>
      <c r="CZ336">
        <f t="shared" si="17"/>
        <v>3.6099137931034482E-2</v>
      </c>
      <c r="DA336" t="e">
        <f>IF(CR336&lt;CX336,"yes","no")</f>
        <v>#DIV/0!</v>
      </c>
      <c r="DB336" t="e">
        <f>IF(CS336&lt;CY336,"yes","no")</f>
        <v>#DIV/0!</v>
      </c>
      <c r="DC336" t="e">
        <f>IF(CT336&lt;CZ336,"yes","no")</f>
        <v>#DIV/0!</v>
      </c>
    </row>
    <row r="337" spans="1:107" x14ac:dyDescent="0.2">
      <c r="A337" s="2" t="b">
        <v>0</v>
      </c>
      <c r="B337" s="2" t="s">
        <v>79</v>
      </c>
      <c r="C337" s="2" t="s">
        <v>80</v>
      </c>
      <c r="D337" s="2" t="s">
        <v>464</v>
      </c>
      <c r="E337" s="2" t="s">
        <v>465</v>
      </c>
      <c r="F337" s="2">
        <v>7</v>
      </c>
      <c r="G337" s="2">
        <v>1</v>
      </c>
      <c r="H337" s="2">
        <v>82.6</v>
      </c>
      <c r="I337" s="2">
        <v>5.62</v>
      </c>
      <c r="J337" s="2" t="s">
        <v>466</v>
      </c>
      <c r="K337" s="2" t="s">
        <v>95</v>
      </c>
      <c r="L337" s="2" t="s">
        <v>119</v>
      </c>
      <c r="M337" s="2" t="s">
        <v>83</v>
      </c>
      <c r="N337" s="2" t="s">
        <v>467</v>
      </c>
      <c r="O337" s="2" t="s">
        <v>83</v>
      </c>
      <c r="P337" s="2" t="s">
        <v>83</v>
      </c>
      <c r="Q337" s="2" t="s">
        <v>83</v>
      </c>
      <c r="R337" s="2" t="s">
        <v>83</v>
      </c>
      <c r="S337" s="2" t="s">
        <v>83</v>
      </c>
      <c r="T337" s="2" t="s">
        <v>83</v>
      </c>
      <c r="U337" s="2" t="s">
        <v>83</v>
      </c>
      <c r="V337" s="2" t="s">
        <v>83</v>
      </c>
      <c r="W337" s="2" t="s">
        <v>83</v>
      </c>
      <c r="X337" s="2" t="s">
        <v>83</v>
      </c>
      <c r="Y337" s="2" t="s">
        <v>83</v>
      </c>
      <c r="Z337" s="2" t="s">
        <v>83</v>
      </c>
      <c r="AA337" s="2" t="s">
        <v>83</v>
      </c>
      <c r="AB337" s="2" t="s">
        <v>83</v>
      </c>
      <c r="AC337" s="2" t="s">
        <v>83</v>
      </c>
      <c r="AD337" s="2" t="s">
        <v>83</v>
      </c>
      <c r="AE337" s="2" t="s">
        <v>83</v>
      </c>
      <c r="AF337" s="2" t="s">
        <v>83</v>
      </c>
      <c r="AG337" s="2" t="s">
        <v>83</v>
      </c>
      <c r="AH337" s="2" t="s">
        <v>83</v>
      </c>
      <c r="AI337" s="2" t="s">
        <v>83</v>
      </c>
      <c r="AJ337" s="2" t="s">
        <v>83</v>
      </c>
      <c r="AK337" s="2" t="s">
        <v>83</v>
      </c>
      <c r="AL337" s="2" t="s">
        <v>83</v>
      </c>
      <c r="AM337" s="2" t="s">
        <v>83</v>
      </c>
      <c r="AN337" s="2" t="s">
        <v>83</v>
      </c>
      <c r="AO337" s="2" t="s">
        <v>83</v>
      </c>
      <c r="AP337" s="2" t="s">
        <v>83</v>
      </c>
      <c r="AQ337" s="2" t="s">
        <v>83</v>
      </c>
      <c r="AR337" s="2" t="s">
        <v>83</v>
      </c>
      <c r="AS337" s="2" t="s">
        <v>83</v>
      </c>
      <c r="AT337" s="2" t="s">
        <v>83</v>
      </c>
      <c r="AU337" s="2" t="s">
        <v>83</v>
      </c>
      <c r="AV337" s="2" t="s">
        <v>83</v>
      </c>
      <c r="AW337" s="2" t="s">
        <v>83</v>
      </c>
      <c r="AX337" s="2" t="s">
        <v>83</v>
      </c>
      <c r="AY337" s="2" t="s">
        <v>83</v>
      </c>
      <c r="AZ337" s="2" t="s">
        <v>83</v>
      </c>
      <c r="BA337" s="2" t="s">
        <v>83</v>
      </c>
      <c r="BB337" s="2" t="s">
        <v>83</v>
      </c>
      <c r="BC337" s="2" t="s">
        <v>79</v>
      </c>
      <c r="BD337" s="2" t="s">
        <v>98</v>
      </c>
      <c r="BE337" s="2" t="s">
        <v>79</v>
      </c>
      <c r="BF337" s="2" t="s">
        <v>98</v>
      </c>
      <c r="BG337" s="2" t="s">
        <v>98</v>
      </c>
      <c r="BH337" s="2" t="s">
        <v>98</v>
      </c>
      <c r="BI337" s="2" t="s">
        <v>98</v>
      </c>
      <c r="BJ337" s="2" t="s">
        <v>98</v>
      </c>
      <c r="BK337" s="2" t="s">
        <v>98</v>
      </c>
      <c r="BL337" s="2" t="s">
        <v>98</v>
      </c>
      <c r="BM337" s="2" t="s">
        <v>98</v>
      </c>
      <c r="BN337" s="2" t="s">
        <v>98</v>
      </c>
      <c r="BO337" s="2" t="s">
        <v>98</v>
      </c>
      <c r="BP337" s="2" t="s">
        <v>98</v>
      </c>
      <c r="BQ337" s="2" t="s">
        <v>98</v>
      </c>
      <c r="BR337" s="2" t="s">
        <v>98</v>
      </c>
      <c r="BS337" s="2" t="s">
        <v>98</v>
      </c>
      <c r="BT337" s="2" t="s">
        <v>98</v>
      </c>
      <c r="BU337" s="2" t="s">
        <v>98</v>
      </c>
      <c r="BV337" s="2" t="s">
        <v>98</v>
      </c>
      <c r="BW337" s="2" t="s">
        <v>98</v>
      </c>
      <c r="BX337" s="2" t="s">
        <v>98</v>
      </c>
      <c r="BY337" s="2" t="s">
        <v>98</v>
      </c>
      <c r="BZ337" s="2" t="s">
        <v>98</v>
      </c>
      <c r="CA337" s="2" t="s">
        <v>98</v>
      </c>
      <c r="CB337" t="e">
        <f>TTEST(AS337:AW337,AI337:AM337,2,2)</f>
        <v>#DIV/0!</v>
      </c>
      <c r="CC337" t="e">
        <f>TTEST(AD337:AH337,AI337:AM337,2,2)</f>
        <v>#DIV/0!</v>
      </c>
      <c r="CD337" t="e">
        <f>TTEST(AN337:AR337,AI337:AM337,2,2)</f>
        <v>#DIV/0!</v>
      </c>
      <c r="CE337" t="e">
        <f>TTEST(AX337:BB337,AI337:AM337,2,2)</f>
        <v>#DIV/0!</v>
      </c>
      <c r="CF337">
        <v>313</v>
      </c>
      <c r="CG337">
        <v>327</v>
      </c>
      <c r="CH337">
        <v>331</v>
      </c>
      <c r="CI337">
        <v>334</v>
      </c>
      <c r="CJ337">
        <f>0.05*CF337/464</f>
        <v>3.372844827586207E-2</v>
      </c>
      <c r="CK337">
        <f>0.05*CG337/464</f>
        <v>3.5237068965517246E-2</v>
      </c>
      <c r="CL337">
        <f>0.05*CH337/464</f>
        <v>3.566810344827586E-2</v>
      </c>
      <c r="CM337">
        <f>0.05*CI337/464</f>
        <v>3.5991379310344823E-2</v>
      </c>
      <c r="CN337" t="e">
        <f>IF(CB337&lt;CJ337,"yes","no")</f>
        <v>#DIV/0!</v>
      </c>
      <c r="CO337" t="e">
        <f>IF(CC337&lt;CK337,"yes","no")</f>
        <v>#DIV/0!</v>
      </c>
      <c r="CP337" t="e">
        <f>IF(CD337&lt;CL337,"yes","no")</f>
        <v>#DIV/0!</v>
      </c>
      <c r="CQ337" t="e">
        <f>IF(CE337&lt;CM337,"yes","no")</f>
        <v>#DIV/0!</v>
      </c>
      <c r="CR337" t="e">
        <f>TTEST(AS337:AW337,AD337:AH337,2,2)</f>
        <v>#DIV/0!</v>
      </c>
      <c r="CS337" t="e">
        <f>TTEST(AS337:AW337,AN337:AR337,2,2)</f>
        <v>#DIV/0!</v>
      </c>
      <c r="CT337" t="e">
        <f>TTEST(AS337:AW337,AX337:BB337,2,2)</f>
        <v>#DIV/0!</v>
      </c>
      <c r="CU337">
        <v>331</v>
      </c>
      <c r="CV337">
        <v>334</v>
      </c>
      <c r="CW337">
        <v>336</v>
      </c>
      <c r="CX337">
        <f t="shared" si="15"/>
        <v>3.566810344827586E-2</v>
      </c>
      <c r="CY337">
        <f t="shared" si="16"/>
        <v>3.5991379310344823E-2</v>
      </c>
      <c r="CZ337">
        <f t="shared" si="17"/>
        <v>3.6206896551724141E-2</v>
      </c>
      <c r="DA337" t="e">
        <f>IF(CR337&lt;CX337,"yes","no")</f>
        <v>#DIV/0!</v>
      </c>
      <c r="DB337" t="e">
        <f>IF(CS337&lt;CY337,"yes","no")</f>
        <v>#DIV/0!</v>
      </c>
      <c r="DC337" t="e">
        <f>IF(CT337&lt;CZ337,"yes","no")</f>
        <v>#DIV/0!</v>
      </c>
    </row>
    <row r="338" spans="1:107" x14ac:dyDescent="0.2">
      <c r="A338" s="2" t="b">
        <v>0</v>
      </c>
      <c r="B338" s="2" t="s">
        <v>79</v>
      </c>
      <c r="C338" s="2" t="s">
        <v>80</v>
      </c>
      <c r="D338" s="2" t="s">
        <v>479</v>
      </c>
      <c r="E338" s="2" t="s">
        <v>480</v>
      </c>
      <c r="F338" s="2">
        <v>5</v>
      </c>
      <c r="G338" s="2">
        <v>3</v>
      </c>
      <c r="H338" s="2">
        <v>41.9</v>
      </c>
      <c r="I338" s="2">
        <v>5.49</v>
      </c>
      <c r="J338" s="2" t="s">
        <v>481</v>
      </c>
      <c r="K338" s="2" t="s">
        <v>482</v>
      </c>
      <c r="L338" s="2" t="s">
        <v>146</v>
      </c>
      <c r="M338" s="2" t="s">
        <v>83</v>
      </c>
      <c r="N338" s="2" t="s">
        <v>483</v>
      </c>
      <c r="O338" s="2" t="s">
        <v>83</v>
      </c>
      <c r="P338" s="2" t="s">
        <v>83</v>
      </c>
      <c r="Q338" s="2" t="s">
        <v>83</v>
      </c>
      <c r="R338" s="2" t="s">
        <v>83</v>
      </c>
      <c r="S338" s="2" t="s">
        <v>83</v>
      </c>
      <c r="T338" s="2" t="s">
        <v>83</v>
      </c>
      <c r="U338" s="2" t="s">
        <v>83</v>
      </c>
      <c r="V338" s="2" t="s">
        <v>83</v>
      </c>
      <c r="W338" s="2" t="s">
        <v>83</v>
      </c>
      <c r="X338" s="2" t="s">
        <v>83</v>
      </c>
      <c r="Y338" s="2" t="s">
        <v>83</v>
      </c>
      <c r="Z338" s="2" t="s">
        <v>83</v>
      </c>
      <c r="AA338" s="2" t="s">
        <v>83</v>
      </c>
      <c r="AB338" s="2" t="s">
        <v>83</v>
      </c>
      <c r="AC338" s="2" t="s">
        <v>83</v>
      </c>
      <c r="AD338" s="2" t="s">
        <v>83</v>
      </c>
      <c r="AE338" s="2" t="s">
        <v>83</v>
      </c>
      <c r="AF338" s="2" t="s">
        <v>83</v>
      </c>
      <c r="AG338" s="2" t="s">
        <v>83</v>
      </c>
      <c r="AH338" s="2" t="s">
        <v>83</v>
      </c>
      <c r="AI338" s="2" t="s">
        <v>83</v>
      </c>
      <c r="AJ338" s="2" t="s">
        <v>83</v>
      </c>
      <c r="AK338" s="2" t="s">
        <v>83</v>
      </c>
      <c r="AL338" s="2" t="s">
        <v>83</v>
      </c>
      <c r="AM338" s="2" t="s">
        <v>83</v>
      </c>
      <c r="AN338" s="2" t="s">
        <v>83</v>
      </c>
      <c r="AO338" s="2" t="s">
        <v>83</v>
      </c>
      <c r="AP338" s="2" t="s">
        <v>83</v>
      </c>
      <c r="AQ338" s="2" t="s">
        <v>83</v>
      </c>
      <c r="AR338" s="2" t="s">
        <v>83</v>
      </c>
      <c r="AS338" s="2" t="s">
        <v>83</v>
      </c>
      <c r="AT338" s="2" t="s">
        <v>83</v>
      </c>
      <c r="AU338" s="2" t="s">
        <v>83</v>
      </c>
      <c r="AV338" s="2" t="s">
        <v>83</v>
      </c>
      <c r="AW338" s="2" t="s">
        <v>83</v>
      </c>
      <c r="AX338" s="2" t="s">
        <v>83</v>
      </c>
      <c r="AY338" s="2" t="s">
        <v>83</v>
      </c>
      <c r="AZ338" s="2" t="s">
        <v>83</v>
      </c>
      <c r="BA338" s="2" t="s">
        <v>83</v>
      </c>
      <c r="BB338" s="2" t="s">
        <v>83</v>
      </c>
      <c r="BC338" s="2" t="s">
        <v>79</v>
      </c>
      <c r="BD338" s="2" t="s">
        <v>79</v>
      </c>
      <c r="BE338" s="2" t="s">
        <v>79</v>
      </c>
      <c r="BF338" s="2" t="s">
        <v>79</v>
      </c>
      <c r="BG338" s="2" t="s">
        <v>79</v>
      </c>
      <c r="BH338" s="2" t="s">
        <v>91</v>
      </c>
      <c r="BI338" s="2" t="s">
        <v>91</v>
      </c>
      <c r="BJ338" s="2" t="s">
        <v>79</v>
      </c>
      <c r="BK338" s="2" t="s">
        <v>79</v>
      </c>
      <c r="BL338" s="2" t="s">
        <v>79</v>
      </c>
      <c r="BM338" s="2" t="s">
        <v>79</v>
      </c>
      <c r="BN338" s="2" t="s">
        <v>79</v>
      </c>
      <c r="BO338" s="2" t="s">
        <v>79</v>
      </c>
      <c r="BP338" s="2" t="s">
        <v>79</v>
      </c>
      <c r="BQ338" s="2" t="s">
        <v>91</v>
      </c>
      <c r="BR338" s="2" t="s">
        <v>79</v>
      </c>
      <c r="BS338" s="2" t="s">
        <v>79</v>
      </c>
      <c r="BT338" s="2" t="s">
        <v>79</v>
      </c>
      <c r="BU338" s="2" t="s">
        <v>79</v>
      </c>
      <c r="BV338" s="2" t="s">
        <v>79</v>
      </c>
      <c r="BW338" s="2" t="s">
        <v>91</v>
      </c>
      <c r="BX338" s="2" t="s">
        <v>91</v>
      </c>
      <c r="BY338" s="2" t="s">
        <v>91</v>
      </c>
      <c r="BZ338" s="2" t="s">
        <v>91</v>
      </c>
      <c r="CA338" s="2" t="s">
        <v>79</v>
      </c>
      <c r="CB338" t="e">
        <f>TTEST(AS338:AW338,AI338:AM338,2,2)</f>
        <v>#DIV/0!</v>
      </c>
      <c r="CC338" t="e">
        <f>TTEST(AD338:AH338,AI338:AM338,2,2)</f>
        <v>#DIV/0!</v>
      </c>
      <c r="CD338" t="e">
        <f>TTEST(AN338:AR338,AI338:AM338,2,2)</f>
        <v>#DIV/0!</v>
      </c>
      <c r="CE338" t="e">
        <f>TTEST(AX338:BB338,AI338:AM338,2,2)</f>
        <v>#DIV/0!</v>
      </c>
      <c r="CF338">
        <v>314</v>
      </c>
      <c r="CG338">
        <v>328</v>
      </c>
      <c r="CH338">
        <v>332</v>
      </c>
      <c r="CI338">
        <v>335</v>
      </c>
      <c r="CJ338">
        <f>0.05*CF338/464</f>
        <v>3.3836206896551729E-2</v>
      </c>
      <c r="CK338">
        <f>0.05*CG338/464</f>
        <v>3.5344827586206898E-2</v>
      </c>
      <c r="CL338">
        <f>0.05*CH338/464</f>
        <v>3.5775862068965519E-2</v>
      </c>
      <c r="CM338">
        <f>0.05*CI338/464</f>
        <v>3.6099137931034482E-2</v>
      </c>
      <c r="CN338" t="e">
        <f>IF(CB338&lt;CJ338,"yes","no")</f>
        <v>#DIV/0!</v>
      </c>
      <c r="CO338" t="e">
        <f>IF(CC338&lt;CK338,"yes","no")</f>
        <v>#DIV/0!</v>
      </c>
      <c r="CP338" t="e">
        <f>IF(CD338&lt;CL338,"yes","no")</f>
        <v>#DIV/0!</v>
      </c>
      <c r="CQ338" t="e">
        <f>IF(CE338&lt;CM338,"yes","no")</f>
        <v>#DIV/0!</v>
      </c>
      <c r="CR338" t="e">
        <f>TTEST(AS338:AW338,AD338:AH338,2,2)</f>
        <v>#DIV/0!</v>
      </c>
      <c r="CS338" t="e">
        <f>TTEST(AS338:AW338,AN338:AR338,2,2)</f>
        <v>#DIV/0!</v>
      </c>
      <c r="CT338" t="e">
        <f>TTEST(AS338:AW338,AX338:BB338,2,2)</f>
        <v>#DIV/0!</v>
      </c>
      <c r="CU338">
        <v>332</v>
      </c>
      <c r="CV338">
        <v>335</v>
      </c>
      <c r="CW338">
        <v>337</v>
      </c>
      <c r="CX338">
        <f t="shared" si="15"/>
        <v>3.5775862068965519E-2</v>
      </c>
      <c r="CY338">
        <f t="shared" si="16"/>
        <v>3.6099137931034482E-2</v>
      </c>
      <c r="CZ338">
        <f t="shared" si="17"/>
        <v>3.6314655172413793E-2</v>
      </c>
      <c r="DA338" t="e">
        <f>IF(CR338&lt;CX338,"yes","no")</f>
        <v>#DIV/0!</v>
      </c>
      <c r="DB338" t="e">
        <f>IF(CS338&lt;CY338,"yes","no")</f>
        <v>#DIV/0!</v>
      </c>
      <c r="DC338" t="e">
        <f>IF(CT338&lt;CZ338,"yes","no")</f>
        <v>#DIV/0!</v>
      </c>
    </row>
    <row r="339" spans="1:107" x14ac:dyDescent="0.2">
      <c r="A339" s="2" t="b">
        <v>0</v>
      </c>
      <c r="B339" s="2" t="s">
        <v>79</v>
      </c>
      <c r="C339" s="2" t="s">
        <v>80</v>
      </c>
      <c r="D339" s="2" t="s">
        <v>484</v>
      </c>
      <c r="E339" s="2" t="s">
        <v>485</v>
      </c>
      <c r="F339" s="2">
        <v>8</v>
      </c>
      <c r="G339" s="2">
        <v>1</v>
      </c>
      <c r="H339" s="2">
        <v>44.6</v>
      </c>
      <c r="I339" s="2">
        <v>5.31</v>
      </c>
      <c r="J339" s="2" t="s">
        <v>486</v>
      </c>
      <c r="K339" s="2" t="s">
        <v>145</v>
      </c>
      <c r="L339" s="2" t="s">
        <v>119</v>
      </c>
      <c r="M339" s="2" t="s">
        <v>487</v>
      </c>
      <c r="N339" s="2" t="s">
        <v>488</v>
      </c>
      <c r="O339" s="2" t="s">
        <v>83</v>
      </c>
      <c r="P339" s="2" t="s">
        <v>83</v>
      </c>
      <c r="Q339" s="2" t="s">
        <v>83</v>
      </c>
      <c r="R339" s="2" t="s">
        <v>83</v>
      </c>
      <c r="S339" s="2" t="s">
        <v>83</v>
      </c>
      <c r="T339" s="2" t="s">
        <v>83</v>
      </c>
      <c r="U339" s="2" t="s">
        <v>83</v>
      </c>
      <c r="V339" s="2" t="s">
        <v>83</v>
      </c>
      <c r="W339" s="2" t="s">
        <v>83</v>
      </c>
      <c r="X339" s="2" t="s">
        <v>83</v>
      </c>
      <c r="Y339" s="2" t="s">
        <v>83</v>
      </c>
      <c r="Z339" s="2" t="s">
        <v>83</v>
      </c>
      <c r="AA339" s="2" t="s">
        <v>83</v>
      </c>
      <c r="AB339" s="2" t="s">
        <v>83</v>
      </c>
      <c r="AC339" s="2" t="s">
        <v>83</v>
      </c>
      <c r="AD339" s="2" t="s">
        <v>83</v>
      </c>
      <c r="AE339" s="2" t="s">
        <v>83</v>
      </c>
      <c r="AF339" s="2" t="s">
        <v>83</v>
      </c>
      <c r="AG339" s="2" t="s">
        <v>83</v>
      </c>
      <c r="AH339" s="2" t="s">
        <v>83</v>
      </c>
      <c r="AI339" s="2" t="s">
        <v>83</v>
      </c>
      <c r="AJ339" s="2" t="s">
        <v>83</v>
      </c>
      <c r="AK339" s="2" t="s">
        <v>83</v>
      </c>
      <c r="AL339" s="2" t="s">
        <v>83</v>
      </c>
      <c r="AM339" s="2" t="s">
        <v>83</v>
      </c>
      <c r="AN339" s="2" t="s">
        <v>83</v>
      </c>
      <c r="AO339" s="2" t="s">
        <v>83</v>
      </c>
      <c r="AP339" s="2" t="s">
        <v>83</v>
      </c>
      <c r="AQ339" s="2" t="s">
        <v>83</v>
      </c>
      <c r="AR339" s="2" t="s">
        <v>83</v>
      </c>
      <c r="AS339" s="2" t="s">
        <v>83</v>
      </c>
      <c r="AT339" s="2" t="s">
        <v>83</v>
      </c>
      <c r="AU339" s="2" t="s">
        <v>83</v>
      </c>
      <c r="AV339" s="2" t="s">
        <v>83</v>
      </c>
      <c r="AW339" s="2" t="s">
        <v>83</v>
      </c>
      <c r="AX339" s="2" t="s">
        <v>83</v>
      </c>
      <c r="AY339" s="2" t="s">
        <v>83</v>
      </c>
      <c r="AZ339" s="2" t="s">
        <v>83</v>
      </c>
      <c r="BA339" s="2" t="s">
        <v>83</v>
      </c>
      <c r="BB339" s="2" t="s">
        <v>83</v>
      </c>
      <c r="BC339" s="2" t="s">
        <v>79</v>
      </c>
      <c r="BD339" s="2" t="s">
        <v>79</v>
      </c>
      <c r="BE339" s="2" t="s">
        <v>79</v>
      </c>
      <c r="BF339" s="2" t="s">
        <v>79</v>
      </c>
      <c r="BG339" s="2" t="s">
        <v>79</v>
      </c>
      <c r="BH339" s="2" t="s">
        <v>79</v>
      </c>
      <c r="BI339" s="2" t="s">
        <v>79</v>
      </c>
      <c r="BJ339" s="2" t="s">
        <v>79</v>
      </c>
      <c r="BK339" s="2" t="s">
        <v>79</v>
      </c>
      <c r="BL339" s="2" t="s">
        <v>79</v>
      </c>
      <c r="BM339" s="2" t="s">
        <v>79</v>
      </c>
      <c r="BN339" s="2" t="s">
        <v>79</v>
      </c>
      <c r="BO339" s="2" t="s">
        <v>79</v>
      </c>
      <c r="BP339" s="2" t="s">
        <v>79</v>
      </c>
      <c r="BQ339" s="2" t="s">
        <v>79</v>
      </c>
      <c r="BR339" s="2" t="s">
        <v>79</v>
      </c>
      <c r="BS339" s="2" t="s">
        <v>79</v>
      </c>
      <c r="BT339" s="2" t="s">
        <v>79</v>
      </c>
      <c r="BU339" s="2" t="s">
        <v>79</v>
      </c>
      <c r="BV339" s="2" t="s">
        <v>79</v>
      </c>
      <c r="BW339" s="2" t="s">
        <v>98</v>
      </c>
      <c r="BX339" s="2" t="s">
        <v>79</v>
      </c>
      <c r="BY339" s="2" t="s">
        <v>79</v>
      </c>
      <c r="BZ339" s="2" t="s">
        <v>79</v>
      </c>
      <c r="CA339" s="2" t="s">
        <v>79</v>
      </c>
      <c r="CB339" t="e">
        <f>TTEST(AS339:AW339,AI339:AM339,2,2)</f>
        <v>#DIV/0!</v>
      </c>
      <c r="CC339" t="e">
        <f>TTEST(AD339:AH339,AI339:AM339,2,2)</f>
        <v>#DIV/0!</v>
      </c>
      <c r="CD339" t="e">
        <f>TTEST(AN339:AR339,AI339:AM339,2,2)</f>
        <v>#DIV/0!</v>
      </c>
      <c r="CE339" t="e">
        <f>TTEST(AX339:BB339,AI339:AM339,2,2)</f>
        <v>#DIV/0!</v>
      </c>
      <c r="CF339">
        <v>315</v>
      </c>
      <c r="CG339">
        <v>329</v>
      </c>
      <c r="CH339">
        <v>333</v>
      </c>
      <c r="CI339">
        <v>336</v>
      </c>
      <c r="CJ339">
        <f>0.05*CF339/464</f>
        <v>3.3943965517241381E-2</v>
      </c>
      <c r="CK339">
        <f>0.05*CG339/464</f>
        <v>3.545258620689655E-2</v>
      </c>
      <c r="CL339">
        <f>0.05*CH339/464</f>
        <v>3.5883620689655178E-2</v>
      </c>
      <c r="CM339">
        <f>0.05*CI339/464</f>
        <v>3.6206896551724141E-2</v>
      </c>
      <c r="CN339" t="e">
        <f>IF(CB339&lt;CJ339,"yes","no")</f>
        <v>#DIV/0!</v>
      </c>
      <c r="CO339" t="e">
        <f>IF(CC339&lt;CK339,"yes","no")</f>
        <v>#DIV/0!</v>
      </c>
      <c r="CP339" t="e">
        <f>IF(CD339&lt;CL339,"yes","no")</f>
        <v>#DIV/0!</v>
      </c>
      <c r="CQ339" t="e">
        <f>IF(CE339&lt;CM339,"yes","no")</f>
        <v>#DIV/0!</v>
      </c>
      <c r="CR339" t="e">
        <f>TTEST(AS339:AW339,AD339:AH339,2,2)</f>
        <v>#DIV/0!</v>
      </c>
      <c r="CS339" t="e">
        <f>TTEST(AS339:AW339,AN339:AR339,2,2)</f>
        <v>#DIV/0!</v>
      </c>
      <c r="CT339" t="e">
        <f>TTEST(AS339:AW339,AX339:BB339,2,2)</f>
        <v>#DIV/0!</v>
      </c>
      <c r="CU339">
        <v>333</v>
      </c>
      <c r="CV339">
        <v>336</v>
      </c>
      <c r="CW339">
        <v>338</v>
      </c>
      <c r="CX339">
        <f t="shared" si="15"/>
        <v>3.5883620689655178E-2</v>
      </c>
      <c r="CY339">
        <f t="shared" si="16"/>
        <v>3.6206896551724141E-2</v>
      </c>
      <c r="CZ339">
        <f t="shared" si="17"/>
        <v>3.6422413793103452E-2</v>
      </c>
      <c r="DA339" t="e">
        <f>IF(CR339&lt;CX339,"yes","no")</f>
        <v>#DIV/0!</v>
      </c>
      <c r="DB339" t="e">
        <f>IF(CS339&lt;CY339,"yes","no")</f>
        <v>#DIV/0!</v>
      </c>
      <c r="DC339" t="e">
        <f>IF(CT339&lt;CZ339,"yes","no")</f>
        <v>#DIV/0!</v>
      </c>
    </row>
    <row r="340" spans="1:107" x14ac:dyDescent="0.2">
      <c r="A340" s="2" t="b">
        <v>0</v>
      </c>
      <c r="B340" s="2" t="s">
        <v>79</v>
      </c>
      <c r="C340" s="2" t="s">
        <v>80</v>
      </c>
      <c r="D340" s="2" t="s">
        <v>516</v>
      </c>
      <c r="E340" s="2" t="s">
        <v>517</v>
      </c>
      <c r="F340" s="2">
        <v>9</v>
      </c>
      <c r="G340" s="2">
        <v>1</v>
      </c>
      <c r="H340" s="2">
        <v>77</v>
      </c>
      <c r="I340" s="2">
        <v>4.7699999999999996</v>
      </c>
      <c r="J340" s="2" t="s">
        <v>518</v>
      </c>
      <c r="K340" s="2" t="s">
        <v>84</v>
      </c>
      <c r="L340" s="2" t="s">
        <v>119</v>
      </c>
      <c r="M340" s="2" t="s">
        <v>519</v>
      </c>
      <c r="N340" s="2" t="s">
        <v>520</v>
      </c>
      <c r="O340" s="2" t="s">
        <v>83</v>
      </c>
      <c r="P340" s="2" t="s">
        <v>83</v>
      </c>
      <c r="Q340" s="2" t="s">
        <v>83</v>
      </c>
      <c r="R340" s="2" t="s">
        <v>83</v>
      </c>
      <c r="S340" s="2" t="s">
        <v>83</v>
      </c>
      <c r="T340" s="2" t="s">
        <v>83</v>
      </c>
      <c r="U340" s="2" t="s">
        <v>83</v>
      </c>
      <c r="V340" s="2" t="s">
        <v>83</v>
      </c>
      <c r="W340" s="2" t="s">
        <v>83</v>
      </c>
      <c r="X340" s="2" t="s">
        <v>83</v>
      </c>
      <c r="Y340" s="2" t="s">
        <v>83</v>
      </c>
      <c r="Z340" s="2" t="s">
        <v>83</v>
      </c>
      <c r="AA340" s="2" t="s">
        <v>83</v>
      </c>
      <c r="AB340" s="2" t="s">
        <v>83</v>
      </c>
      <c r="AC340" s="2" t="s">
        <v>83</v>
      </c>
      <c r="AD340" s="2" t="s">
        <v>83</v>
      </c>
      <c r="AE340" s="2" t="s">
        <v>83</v>
      </c>
      <c r="AF340" s="2" t="s">
        <v>83</v>
      </c>
      <c r="AG340" s="2" t="s">
        <v>83</v>
      </c>
      <c r="AH340" s="2" t="s">
        <v>83</v>
      </c>
      <c r="AI340" s="2" t="s">
        <v>83</v>
      </c>
      <c r="AJ340" s="2" t="s">
        <v>83</v>
      </c>
      <c r="AK340" s="2" t="s">
        <v>83</v>
      </c>
      <c r="AL340" s="2" t="s">
        <v>83</v>
      </c>
      <c r="AM340" s="2" t="s">
        <v>83</v>
      </c>
      <c r="AN340" s="2" t="s">
        <v>83</v>
      </c>
      <c r="AO340" s="2" t="s">
        <v>83</v>
      </c>
      <c r="AP340" s="2" t="s">
        <v>83</v>
      </c>
      <c r="AQ340" s="2" t="s">
        <v>83</v>
      </c>
      <c r="AR340" s="2" t="s">
        <v>83</v>
      </c>
      <c r="AS340" s="2" t="s">
        <v>83</v>
      </c>
      <c r="AT340" s="2" t="s">
        <v>83</v>
      </c>
      <c r="AU340" s="2" t="s">
        <v>83</v>
      </c>
      <c r="AV340" s="2" t="s">
        <v>83</v>
      </c>
      <c r="AW340" s="2" t="s">
        <v>83</v>
      </c>
      <c r="AX340" s="2" t="s">
        <v>83</v>
      </c>
      <c r="AY340" s="2" t="s">
        <v>83</v>
      </c>
      <c r="AZ340" s="2" t="s">
        <v>83</v>
      </c>
      <c r="BA340" s="2" t="s">
        <v>83</v>
      </c>
      <c r="BB340" s="2" t="s">
        <v>83</v>
      </c>
      <c r="BC340" s="2" t="s">
        <v>79</v>
      </c>
      <c r="BD340" s="2" t="s">
        <v>79</v>
      </c>
      <c r="BE340" s="2" t="s">
        <v>79</v>
      </c>
      <c r="BF340" s="2" t="s">
        <v>79</v>
      </c>
      <c r="BG340" s="2" t="s">
        <v>79</v>
      </c>
      <c r="BH340" s="2" t="s">
        <v>98</v>
      </c>
      <c r="BI340" s="2" t="s">
        <v>98</v>
      </c>
      <c r="BJ340" s="2" t="s">
        <v>98</v>
      </c>
      <c r="BK340" s="2" t="s">
        <v>98</v>
      </c>
      <c r="BL340" s="2" t="s">
        <v>98</v>
      </c>
      <c r="BM340" s="2" t="s">
        <v>98</v>
      </c>
      <c r="BN340" s="2" t="s">
        <v>98</v>
      </c>
      <c r="BO340" s="2" t="s">
        <v>98</v>
      </c>
      <c r="BP340" s="2" t="s">
        <v>98</v>
      </c>
      <c r="BQ340" s="2" t="s">
        <v>98</v>
      </c>
      <c r="BR340" s="2" t="s">
        <v>98</v>
      </c>
      <c r="BS340" s="2" t="s">
        <v>98</v>
      </c>
      <c r="BT340" s="2" t="s">
        <v>98</v>
      </c>
      <c r="BU340" s="2" t="s">
        <v>98</v>
      </c>
      <c r="BV340" s="2" t="s">
        <v>98</v>
      </c>
      <c r="BW340" s="2" t="s">
        <v>98</v>
      </c>
      <c r="BX340" s="2" t="s">
        <v>98</v>
      </c>
      <c r="BY340" s="2" t="s">
        <v>98</v>
      </c>
      <c r="BZ340" s="2" t="s">
        <v>98</v>
      </c>
      <c r="CA340" s="2" t="s">
        <v>98</v>
      </c>
      <c r="CB340" t="e">
        <f>TTEST(AS340:AW340,AI340:AM340,2,2)</f>
        <v>#DIV/0!</v>
      </c>
      <c r="CC340" t="e">
        <f>TTEST(AD340:AH340,AI340:AM340,2,2)</f>
        <v>#DIV/0!</v>
      </c>
      <c r="CD340" t="e">
        <f>TTEST(AN340:AR340,AI340:AM340,2,2)</f>
        <v>#DIV/0!</v>
      </c>
      <c r="CE340" t="e">
        <f>TTEST(AX340:BB340,AI340:AM340,2,2)</f>
        <v>#DIV/0!</v>
      </c>
      <c r="CF340">
        <v>316</v>
      </c>
      <c r="CG340">
        <v>330</v>
      </c>
      <c r="CH340">
        <v>334</v>
      </c>
      <c r="CI340">
        <v>337</v>
      </c>
      <c r="CJ340">
        <f>0.05*CF340/464</f>
        <v>3.4051724137931033E-2</v>
      </c>
      <c r="CK340">
        <f>0.05*CG340/464</f>
        <v>3.5560344827586209E-2</v>
      </c>
      <c r="CL340">
        <f>0.05*CH340/464</f>
        <v>3.5991379310344823E-2</v>
      </c>
      <c r="CM340">
        <f>0.05*CI340/464</f>
        <v>3.6314655172413793E-2</v>
      </c>
      <c r="CN340" t="e">
        <f>IF(CB340&lt;CJ340,"yes","no")</f>
        <v>#DIV/0!</v>
      </c>
      <c r="CO340" t="e">
        <f>IF(CC340&lt;CK340,"yes","no")</f>
        <v>#DIV/0!</v>
      </c>
      <c r="CP340" t="e">
        <f>IF(CD340&lt;CL340,"yes","no")</f>
        <v>#DIV/0!</v>
      </c>
      <c r="CQ340" t="e">
        <f>IF(CE340&lt;CM340,"yes","no")</f>
        <v>#DIV/0!</v>
      </c>
      <c r="CR340" t="e">
        <f>TTEST(AS340:AW340,AD340:AH340,2,2)</f>
        <v>#DIV/0!</v>
      </c>
      <c r="CS340" t="e">
        <f>TTEST(AS340:AW340,AN340:AR340,2,2)</f>
        <v>#DIV/0!</v>
      </c>
      <c r="CT340" t="e">
        <f>TTEST(AS340:AW340,AX340:BB340,2,2)</f>
        <v>#DIV/0!</v>
      </c>
      <c r="CU340">
        <v>334</v>
      </c>
      <c r="CV340">
        <v>337</v>
      </c>
      <c r="CW340">
        <v>339</v>
      </c>
      <c r="CX340">
        <f t="shared" si="15"/>
        <v>3.5991379310344823E-2</v>
      </c>
      <c r="CY340">
        <f t="shared" si="16"/>
        <v>3.6314655172413793E-2</v>
      </c>
      <c r="CZ340">
        <f t="shared" si="17"/>
        <v>3.6530172413793104E-2</v>
      </c>
      <c r="DA340" t="e">
        <f>IF(CR340&lt;CX340,"yes","no")</f>
        <v>#DIV/0!</v>
      </c>
      <c r="DB340" t="e">
        <f>IF(CS340&lt;CY340,"yes","no")</f>
        <v>#DIV/0!</v>
      </c>
      <c r="DC340" t="e">
        <f>IF(CT340&lt;CZ340,"yes","no")</f>
        <v>#DIV/0!</v>
      </c>
    </row>
    <row r="341" spans="1:107" x14ac:dyDescent="0.2">
      <c r="A341" s="2" t="b">
        <v>0</v>
      </c>
      <c r="B341" s="2" t="s">
        <v>79</v>
      </c>
      <c r="C341" s="2" t="s">
        <v>80</v>
      </c>
      <c r="D341" s="2" t="s">
        <v>592</v>
      </c>
      <c r="E341" s="2" t="s">
        <v>593</v>
      </c>
      <c r="F341" s="2">
        <v>4</v>
      </c>
      <c r="G341" s="2">
        <v>1</v>
      </c>
      <c r="H341" s="2">
        <v>16</v>
      </c>
      <c r="I341" s="2">
        <v>7.3</v>
      </c>
      <c r="J341" s="2" t="s">
        <v>150</v>
      </c>
      <c r="K341" s="2" t="s">
        <v>363</v>
      </c>
      <c r="L341" s="2" t="s">
        <v>119</v>
      </c>
      <c r="M341" s="2" t="s">
        <v>83</v>
      </c>
      <c r="N341" s="2" t="s">
        <v>592</v>
      </c>
      <c r="O341" s="2" t="s">
        <v>83</v>
      </c>
      <c r="P341" s="2" t="s">
        <v>83</v>
      </c>
      <c r="Q341" s="2" t="s">
        <v>83</v>
      </c>
      <c r="R341" s="2" t="s">
        <v>83</v>
      </c>
      <c r="S341" s="2" t="s">
        <v>83</v>
      </c>
      <c r="T341" s="2" t="s">
        <v>83</v>
      </c>
      <c r="U341" s="2" t="s">
        <v>83</v>
      </c>
      <c r="V341" s="2" t="s">
        <v>83</v>
      </c>
      <c r="W341" s="2" t="s">
        <v>83</v>
      </c>
      <c r="X341" s="2" t="s">
        <v>83</v>
      </c>
      <c r="Y341" s="2" t="s">
        <v>83</v>
      </c>
      <c r="Z341" s="2" t="s">
        <v>83</v>
      </c>
      <c r="AA341" s="2" t="s">
        <v>83</v>
      </c>
      <c r="AB341" s="2" t="s">
        <v>83</v>
      </c>
      <c r="AC341" s="2" t="s">
        <v>83</v>
      </c>
      <c r="AD341" s="2" t="s">
        <v>83</v>
      </c>
      <c r="AE341" s="2" t="s">
        <v>83</v>
      </c>
      <c r="AF341" s="2" t="s">
        <v>83</v>
      </c>
      <c r="AG341" s="2" t="s">
        <v>83</v>
      </c>
      <c r="AH341" s="2" t="s">
        <v>83</v>
      </c>
      <c r="AI341" s="2" t="s">
        <v>83</v>
      </c>
      <c r="AJ341" s="2" t="s">
        <v>83</v>
      </c>
      <c r="AK341" s="2" t="s">
        <v>83</v>
      </c>
      <c r="AL341" s="2" t="s">
        <v>83</v>
      </c>
      <c r="AM341" s="2" t="s">
        <v>83</v>
      </c>
      <c r="AN341" s="2" t="s">
        <v>83</v>
      </c>
      <c r="AO341" s="2" t="s">
        <v>83</v>
      </c>
      <c r="AP341" s="2" t="s">
        <v>83</v>
      </c>
      <c r="AQ341" s="2" t="s">
        <v>83</v>
      </c>
      <c r="AR341" s="2" t="s">
        <v>83</v>
      </c>
      <c r="AS341" s="2" t="s">
        <v>83</v>
      </c>
      <c r="AT341" s="2" t="s">
        <v>83</v>
      </c>
      <c r="AU341" s="2" t="s">
        <v>83</v>
      </c>
      <c r="AV341" s="2" t="s">
        <v>83</v>
      </c>
      <c r="AW341" s="2" t="s">
        <v>83</v>
      </c>
      <c r="AX341" s="2" t="s">
        <v>83</v>
      </c>
      <c r="AY341" s="2" t="s">
        <v>83</v>
      </c>
      <c r="AZ341" s="2" t="s">
        <v>83</v>
      </c>
      <c r="BA341" s="2" t="s">
        <v>83</v>
      </c>
      <c r="BB341" s="2" t="s">
        <v>83</v>
      </c>
      <c r="BC341" s="2" t="s">
        <v>98</v>
      </c>
      <c r="BD341" s="2" t="s">
        <v>98</v>
      </c>
      <c r="BE341" s="2" t="s">
        <v>98</v>
      </c>
      <c r="BF341" s="2" t="s">
        <v>79</v>
      </c>
      <c r="BG341" s="2" t="s">
        <v>98</v>
      </c>
      <c r="BH341" s="2" t="s">
        <v>98</v>
      </c>
      <c r="BI341" s="2" t="s">
        <v>98</v>
      </c>
      <c r="BJ341" s="2" t="s">
        <v>98</v>
      </c>
      <c r="BK341" s="2" t="s">
        <v>98</v>
      </c>
      <c r="BL341" s="2" t="s">
        <v>98</v>
      </c>
      <c r="BM341" s="2" t="s">
        <v>98</v>
      </c>
      <c r="BN341" s="2" t="s">
        <v>98</v>
      </c>
      <c r="BO341" s="2" t="s">
        <v>98</v>
      </c>
      <c r="BP341" s="2" t="s">
        <v>98</v>
      </c>
      <c r="BQ341" s="2" t="s">
        <v>98</v>
      </c>
      <c r="BR341" s="2" t="s">
        <v>98</v>
      </c>
      <c r="BS341" s="2" t="s">
        <v>98</v>
      </c>
      <c r="BT341" s="2" t="s">
        <v>98</v>
      </c>
      <c r="BU341" s="2" t="s">
        <v>98</v>
      </c>
      <c r="BV341" s="2" t="s">
        <v>98</v>
      </c>
      <c r="BW341" s="2" t="s">
        <v>98</v>
      </c>
      <c r="BX341" s="2" t="s">
        <v>98</v>
      </c>
      <c r="BY341" s="2" t="s">
        <v>98</v>
      </c>
      <c r="BZ341" s="2" t="s">
        <v>98</v>
      </c>
      <c r="CA341" s="2" t="s">
        <v>98</v>
      </c>
      <c r="CB341" t="e">
        <f>TTEST(AS341:AW341,AI341:AM341,2,2)</f>
        <v>#DIV/0!</v>
      </c>
      <c r="CC341" t="e">
        <f>TTEST(AD341:AH341,AI341:AM341,2,2)</f>
        <v>#DIV/0!</v>
      </c>
      <c r="CD341" t="e">
        <f>TTEST(AN341:AR341,AI341:AM341,2,2)</f>
        <v>#DIV/0!</v>
      </c>
      <c r="CE341" t="e">
        <f>TTEST(AX341:BB341,AI341:AM341,2,2)</f>
        <v>#DIV/0!</v>
      </c>
      <c r="CF341">
        <v>317</v>
      </c>
      <c r="CG341">
        <v>331</v>
      </c>
      <c r="CH341">
        <v>335</v>
      </c>
      <c r="CI341">
        <v>338</v>
      </c>
      <c r="CJ341">
        <f>0.05*CF341/464</f>
        <v>3.4159482758620692E-2</v>
      </c>
      <c r="CK341">
        <f>0.05*CG341/464</f>
        <v>3.566810344827586E-2</v>
      </c>
      <c r="CL341">
        <f>0.05*CH341/464</f>
        <v>3.6099137931034482E-2</v>
      </c>
      <c r="CM341">
        <f>0.05*CI341/464</f>
        <v>3.6422413793103452E-2</v>
      </c>
      <c r="CN341" t="e">
        <f>IF(CB341&lt;CJ341,"yes","no")</f>
        <v>#DIV/0!</v>
      </c>
      <c r="CO341" t="e">
        <f>IF(CC341&lt;CK341,"yes","no")</f>
        <v>#DIV/0!</v>
      </c>
      <c r="CP341" t="e">
        <f>IF(CD341&lt;CL341,"yes","no")</f>
        <v>#DIV/0!</v>
      </c>
      <c r="CQ341" t="e">
        <f>IF(CE341&lt;CM341,"yes","no")</f>
        <v>#DIV/0!</v>
      </c>
      <c r="CR341" t="e">
        <f>TTEST(AS341:AW341,AD341:AH341,2,2)</f>
        <v>#DIV/0!</v>
      </c>
      <c r="CS341" t="e">
        <f>TTEST(AS341:AW341,AN341:AR341,2,2)</f>
        <v>#DIV/0!</v>
      </c>
      <c r="CT341" t="e">
        <f>TTEST(AS341:AW341,AX341:BB341,2,2)</f>
        <v>#DIV/0!</v>
      </c>
      <c r="CU341">
        <v>335</v>
      </c>
      <c r="CV341">
        <v>338</v>
      </c>
      <c r="CW341">
        <v>340</v>
      </c>
      <c r="CX341">
        <f t="shared" si="15"/>
        <v>3.6099137931034482E-2</v>
      </c>
      <c r="CY341">
        <f t="shared" si="16"/>
        <v>3.6422413793103452E-2</v>
      </c>
      <c r="CZ341">
        <f t="shared" si="17"/>
        <v>3.6637931034482756E-2</v>
      </c>
      <c r="DA341" t="e">
        <f>IF(CR341&lt;CX341,"yes","no")</f>
        <v>#DIV/0!</v>
      </c>
      <c r="DB341" t="e">
        <f>IF(CS341&lt;CY341,"yes","no")</f>
        <v>#DIV/0!</v>
      </c>
      <c r="DC341" t="e">
        <f>IF(CT341&lt;CZ341,"yes","no")</f>
        <v>#DIV/0!</v>
      </c>
    </row>
    <row r="342" spans="1:107" x14ac:dyDescent="0.2">
      <c r="A342" s="2" t="b">
        <v>0</v>
      </c>
      <c r="B342" s="2" t="s">
        <v>79</v>
      </c>
      <c r="C342" s="2" t="s">
        <v>80</v>
      </c>
      <c r="D342" s="2" t="s">
        <v>597</v>
      </c>
      <c r="E342" s="2" t="s">
        <v>598</v>
      </c>
      <c r="F342" s="2">
        <v>5</v>
      </c>
      <c r="G342" s="2">
        <v>5</v>
      </c>
      <c r="H342" s="2">
        <v>56.1</v>
      </c>
      <c r="I342" s="2">
        <v>7.02</v>
      </c>
      <c r="J342" s="2" t="s">
        <v>277</v>
      </c>
      <c r="K342" s="2" t="s">
        <v>450</v>
      </c>
      <c r="L342" s="2" t="s">
        <v>119</v>
      </c>
      <c r="M342" s="2" t="s">
        <v>599</v>
      </c>
      <c r="N342" s="2" t="s">
        <v>597</v>
      </c>
      <c r="O342" s="2">
        <v>3.0830000000000002</v>
      </c>
      <c r="P342" s="2">
        <v>0.01</v>
      </c>
      <c r="Q342" s="2">
        <v>2.2949999999999999</v>
      </c>
      <c r="R342" s="2">
        <v>100</v>
      </c>
      <c r="S342" s="2">
        <v>100</v>
      </c>
      <c r="T342" s="2" t="s">
        <v>83</v>
      </c>
      <c r="U342" s="2">
        <v>100</v>
      </c>
      <c r="V342" s="2">
        <v>0.01</v>
      </c>
      <c r="W342" s="2" t="s">
        <v>83</v>
      </c>
      <c r="X342" s="2">
        <v>100</v>
      </c>
      <c r="Y342" s="2">
        <v>383.4</v>
      </c>
      <c r="Z342" s="2" t="s">
        <v>83</v>
      </c>
      <c r="AA342" s="2">
        <v>42.6</v>
      </c>
      <c r="AB342" s="2" t="s">
        <v>83</v>
      </c>
      <c r="AC342" s="2">
        <v>73.900000000000006</v>
      </c>
      <c r="AD342" s="2">
        <v>774791.626953125</v>
      </c>
      <c r="AE342" s="2">
        <v>537355.18359375</v>
      </c>
      <c r="AF342" s="2">
        <v>517762.44921875</v>
      </c>
      <c r="AG342" s="2">
        <v>576790.33984375</v>
      </c>
      <c r="AH342" s="2">
        <v>496172.310546875</v>
      </c>
      <c r="AI342" s="2" t="s">
        <v>83</v>
      </c>
      <c r="AJ342" s="2" t="s">
        <v>83</v>
      </c>
      <c r="AK342" s="2" t="s">
        <v>83</v>
      </c>
      <c r="AL342" s="2" t="s">
        <v>83</v>
      </c>
      <c r="AM342" s="2" t="s">
        <v>83</v>
      </c>
      <c r="AN342" s="2" t="s">
        <v>83</v>
      </c>
      <c r="AO342" s="2" t="s">
        <v>83</v>
      </c>
      <c r="AP342" s="2" t="s">
        <v>83</v>
      </c>
      <c r="AQ342" s="2">
        <v>1423.74475097656</v>
      </c>
      <c r="AR342" s="2" t="s">
        <v>83</v>
      </c>
      <c r="AS342" s="2" t="s">
        <v>83</v>
      </c>
      <c r="AT342" s="2" t="s">
        <v>83</v>
      </c>
      <c r="AU342" s="2" t="s">
        <v>83</v>
      </c>
      <c r="AV342" s="2" t="s">
        <v>83</v>
      </c>
      <c r="AW342" s="2" t="s">
        <v>83</v>
      </c>
      <c r="AX342" s="2" t="s">
        <v>83</v>
      </c>
      <c r="AY342" s="2">
        <v>7332.5166015625</v>
      </c>
      <c r="AZ342" s="2">
        <v>9139.3359375</v>
      </c>
      <c r="BA342" s="2" t="s">
        <v>83</v>
      </c>
      <c r="BB342" s="2" t="s">
        <v>83</v>
      </c>
      <c r="BC342" s="2" t="s">
        <v>79</v>
      </c>
      <c r="BD342" s="2" t="s">
        <v>79</v>
      </c>
      <c r="BE342" s="2" t="s">
        <v>79</v>
      </c>
      <c r="BF342" s="2" t="s">
        <v>79</v>
      </c>
      <c r="BG342" s="2" t="s">
        <v>79</v>
      </c>
      <c r="BH342" s="2" t="s">
        <v>98</v>
      </c>
      <c r="BI342" s="2" t="s">
        <v>98</v>
      </c>
      <c r="BJ342" s="2" t="s">
        <v>98</v>
      </c>
      <c r="BK342" s="2" t="s">
        <v>98</v>
      </c>
      <c r="BL342" s="2" t="s">
        <v>98</v>
      </c>
      <c r="BM342" s="2" t="s">
        <v>98</v>
      </c>
      <c r="BN342" s="2" t="s">
        <v>98</v>
      </c>
      <c r="BO342" s="2" t="s">
        <v>98</v>
      </c>
      <c r="BP342" s="2" t="s">
        <v>91</v>
      </c>
      <c r="BQ342" s="2" t="s">
        <v>98</v>
      </c>
      <c r="BR342" s="2" t="s">
        <v>98</v>
      </c>
      <c r="BS342" s="2" t="s">
        <v>98</v>
      </c>
      <c r="BT342" s="2" t="s">
        <v>98</v>
      </c>
      <c r="BU342" s="2" t="s">
        <v>98</v>
      </c>
      <c r="BV342" s="2" t="s">
        <v>98</v>
      </c>
      <c r="BW342" s="2" t="s">
        <v>98</v>
      </c>
      <c r="BX342" s="2" t="s">
        <v>91</v>
      </c>
      <c r="BY342" s="2" t="s">
        <v>91</v>
      </c>
      <c r="BZ342" s="2" t="s">
        <v>98</v>
      </c>
      <c r="CA342" s="2" t="s">
        <v>98</v>
      </c>
      <c r="CB342" t="e">
        <f>TTEST(AS342:AW342,AI342:AM342,2,2)</f>
        <v>#DIV/0!</v>
      </c>
      <c r="CC342" t="e">
        <f>TTEST(AD342:AH342,AI342:AM342,2,2)</f>
        <v>#DIV/0!</v>
      </c>
      <c r="CD342" t="e">
        <f>TTEST(AN342:AR342,AI342:AM342,2,2)</f>
        <v>#DIV/0!</v>
      </c>
      <c r="CE342" t="e">
        <f>TTEST(AX342:BB342,AI342:AM342,2,2)</f>
        <v>#DIV/0!</v>
      </c>
      <c r="CF342">
        <v>318</v>
      </c>
      <c r="CG342">
        <v>332</v>
      </c>
      <c r="CH342">
        <v>336</v>
      </c>
      <c r="CI342">
        <v>339</v>
      </c>
      <c r="CJ342">
        <f>0.05*CF342/464</f>
        <v>3.4267241379310344E-2</v>
      </c>
      <c r="CK342">
        <f>0.05*CG342/464</f>
        <v>3.5775862068965519E-2</v>
      </c>
      <c r="CL342">
        <f>0.05*CH342/464</f>
        <v>3.6206896551724141E-2</v>
      </c>
      <c r="CM342">
        <f>0.05*CI342/464</f>
        <v>3.6530172413793104E-2</v>
      </c>
      <c r="CN342" t="e">
        <f>IF(CB342&lt;CJ342,"yes","no")</f>
        <v>#DIV/0!</v>
      </c>
      <c r="CO342" t="e">
        <f>IF(CC342&lt;CK342,"yes","no")</f>
        <v>#DIV/0!</v>
      </c>
      <c r="CP342" t="e">
        <f>IF(CD342&lt;CL342,"yes","no")</f>
        <v>#DIV/0!</v>
      </c>
      <c r="CQ342" t="e">
        <f>IF(CE342&lt;CM342,"yes","no")</f>
        <v>#DIV/0!</v>
      </c>
      <c r="CR342" t="e">
        <f>TTEST(AS342:AW342,AD342:AH342,2,2)</f>
        <v>#DIV/0!</v>
      </c>
      <c r="CS342" t="e">
        <f>TTEST(AS342:AW342,AN342:AR342,2,2)</f>
        <v>#DIV/0!</v>
      </c>
      <c r="CT342" t="e">
        <f>TTEST(AS342:AW342,AX342:BB342,2,2)</f>
        <v>#DIV/0!</v>
      </c>
      <c r="CU342">
        <v>336</v>
      </c>
      <c r="CV342">
        <v>339</v>
      </c>
      <c r="CW342">
        <v>341</v>
      </c>
      <c r="CX342">
        <f t="shared" si="15"/>
        <v>3.6206896551724141E-2</v>
      </c>
      <c r="CY342">
        <f t="shared" si="16"/>
        <v>3.6530172413793104E-2</v>
      </c>
      <c r="CZ342">
        <f t="shared" si="17"/>
        <v>3.6745689655172414E-2</v>
      </c>
      <c r="DA342" t="e">
        <f>IF(CR342&lt;CX342,"yes","no")</f>
        <v>#DIV/0!</v>
      </c>
      <c r="DB342" t="e">
        <f>IF(CS342&lt;CY342,"yes","no")</f>
        <v>#DIV/0!</v>
      </c>
      <c r="DC342" t="e">
        <f>IF(CT342&lt;CZ342,"yes","no")</f>
        <v>#DIV/0!</v>
      </c>
    </row>
    <row r="343" spans="1:107" x14ac:dyDescent="0.2">
      <c r="A343" s="2" t="b">
        <v>0</v>
      </c>
      <c r="B343" s="2" t="s">
        <v>79</v>
      </c>
      <c r="C343" s="2" t="s">
        <v>80</v>
      </c>
      <c r="D343" s="2" t="s">
        <v>609</v>
      </c>
      <c r="E343" s="2" t="s">
        <v>610</v>
      </c>
      <c r="F343" s="2">
        <v>2</v>
      </c>
      <c r="G343" s="2">
        <v>1</v>
      </c>
      <c r="H343" s="2">
        <v>65.3</v>
      </c>
      <c r="I343" s="2">
        <v>7.93</v>
      </c>
      <c r="J343" s="2" t="s">
        <v>228</v>
      </c>
      <c r="K343" s="2" t="s">
        <v>247</v>
      </c>
      <c r="L343" s="2" t="s">
        <v>303</v>
      </c>
      <c r="M343" s="2" t="s">
        <v>611</v>
      </c>
      <c r="N343" s="2" t="s">
        <v>609</v>
      </c>
      <c r="O343" s="2" t="s">
        <v>83</v>
      </c>
      <c r="P343" s="2" t="s">
        <v>83</v>
      </c>
      <c r="Q343" s="2" t="s">
        <v>83</v>
      </c>
      <c r="R343" s="2" t="s">
        <v>83</v>
      </c>
      <c r="S343" s="2" t="s">
        <v>83</v>
      </c>
      <c r="T343" s="2" t="s">
        <v>83</v>
      </c>
      <c r="U343" s="2" t="s">
        <v>83</v>
      </c>
      <c r="V343" s="2" t="s">
        <v>83</v>
      </c>
      <c r="W343" s="2" t="s">
        <v>83</v>
      </c>
      <c r="X343" s="2" t="s">
        <v>83</v>
      </c>
      <c r="Y343" s="2" t="s">
        <v>83</v>
      </c>
      <c r="Z343" s="2" t="s">
        <v>83</v>
      </c>
      <c r="AA343" s="2" t="s">
        <v>83</v>
      </c>
      <c r="AB343" s="2" t="s">
        <v>83</v>
      </c>
      <c r="AC343" s="2" t="s">
        <v>83</v>
      </c>
      <c r="AD343" s="2" t="s">
        <v>83</v>
      </c>
      <c r="AE343" s="2" t="s">
        <v>83</v>
      </c>
      <c r="AF343" s="2" t="s">
        <v>83</v>
      </c>
      <c r="AG343" s="2" t="s">
        <v>83</v>
      </c>
      <c r="AH343" s="2" t="s">
        <v>83</v>
      </c>
      <c r="AI343" s="2" t="s">
        <v>83</v>
      </c>
      <c r="AJ343" s="2" t="s">
        <v>83</v>
      </c>
      <c r="AK343" s="2" t="s">
        <v>83</v>
      </c>
      <c r="AL343" s="2" t="s">
        <v>83</v>
      </c>
      <c r="AM343" s="2" t="s">
        <v>83</v>
      </c>
      <c r="AN343" s="2" t="s">
        <v>83</v>
      </c>
      <c r="AO343" s="2" t="s">
        <v>83</v>
      </c>
      <c r="AP343" s="2" t="s">
        <v>83</v>
      </c>
      <c r="AQ343" s="2" t="s">
        <v>83</v>
      </c>
      <c r="AR343" s="2" t="s">
        <v>83</v>
      </c>
      <c r="AS343" s="2" t="s">
        <v>83</v>
      </c>
      <c r="AT343" s="2" t="s">
        <v>83</v>
      </c>
      <c r="AU343" s="2" t="s">
        <v>83</v>
      </c>
      <c r="AV343" s="2" t="s">
        <v>83</v>
      </c>
      <c r="AW343" s="2" t="s">
        <v>83</v>
      </c>
      <c r="AX343" s="2" t="s">
        <v>83</v>
      </c>
      <c r="AY343" s="2" t="s">
        <v>83</v>
      </c>
      <c r="AZ343" s="2" t="s">
        <v>83</v>
      </c>
      <c r="BA343" s="2" t="s">
        <v>83</v>
      </c>
      <c r="BB343" s="2" t="s">
        <v>83</v>
      </c>
      <c r="BC343" s="2" t="s">
        <v>98</v>
      </c>
      <c r="BD343" s="2" t="s">
        <v>79</v>
      </c>
      <c r="BE343" s="2" t="s">
        <v>98</v>
      </c>
      <c r="BF343" s="2" t="s">
        <v>98</v>
      </c>
      <c r="BG343" s="2" t="s">
        <v>98</v>
      </c>
      <c r="BH343" s="2" t="s">
        <v>98</v>
      </c>
      <c r="BI343" s="2" t="s">
        <v>79</v>
      </c>
      <c r="BJ343" s="2" t="s">
        <v>98</v>
      </c>
      <c r="BK343" s="2" t="s">
        <v>79</v>
      </c>
      <c r="BL343" s="2" t="s">
        <v>98</v>
      </c>
      <c r="BM343" s="2" t="s">
        <v>98</v>
      </c>
      <c r="BN343" s="2" t="s">
        <v>98</v>
      </c>
      <c r="BO343" s="2" t="s">
        <v>79</v>
      </c>
      <c r="BP343" s="2" t="s">
        <v>79</v>
      </c>
      <c r="BQ343" s="2" t="s">
        <v>79</v>
      </c>
      <c r="BR343" s="2" t="s">
        <v>98</v>
      </c>
      <c r="BS343" s="2" t="s">
        <v>98</v>
      </c>
      <c r="BT343" s="2" t="s">
        <v>79</v>
      </c>
      <c r="BU343" s="2" t="s">
        <v>79</v>
      </c>
      <c r="BV343" s="2" t="s">
        <v>98</v>
      </c>
      <c r="BW343" s="2" t="s">
        <v>98</v>
      </c>
      <c r="BX343" s="2" t="s">
        <v>79</v>
      </c>
      <c r="BY343" s="2" t="s">
        <v>98</v>
      </c>
      <c r="BZ343" s="2" t="s">
        <v>98</v>
      </c>
      <c r="CA343" s="2" t="s">
        <v>98</v>
      </c>
      <c r="CB343" t="e">
        <f>TTEST(AS343:AW343,AI343:AM343,2,2)</f>
        <v>#DIV/0!</v>
      </c>
      <c r="CC343" t="e">
        <f>TTEST(AD343:AH343,AI343:AM343,2,2)</f>
        <v>#DIV/0!</v>
      </c>
      <c r="CD343" t="e">
        <f>TTEST(AN343:AR343,AI343:AM343,2,2)</f>
        <v>#DIV/0!</v>
      </c>
      <c r="CE343" t="e">
        <f>TTEST(AX343:BB343,AI343:AM343,2,2)</f>
        <v>#DIV/0!</v>
      </c>
      <c r="CF343">
        <v>319</v>
      </c>
      <c r="CG343">
        <v>333</v>
      </c>
      <c r="CH343">
        <v>337</v>
      </c>
      <c r="CI343">
        <v>340</v>
      </c>
      <c r="CJ343">
        <f>0.05*CF343/464</f>
        <v>3.4375000000000003E-2</v>
      </c>
      <c r="CK343">
        <f>0.05*CG343/464</f>
        <v>3.5883620689655178E-2</v>
      </c>
      <c r="CL343">
        <f>0.05*CH343/464</f>
        <v>3.6314655172413793E-2</v>
      </c>
      <c r="CM343">
        <f>0.05*CI343/464</f>
        <v>3.6637931034482756E-2</v>
      </c>
      <c r="CN343" t="e">
        <f>IF(CB343&lt;CJ343,"yes","no")</f>
        <v>#DIV/0!</v>
      </c>
      <c r="CO343" t="e">
        <f>IF(CC343&lt;CK343,"yes","no")</f>
        <v>#DIV/0!</v>
      </c>
      <c r="CP343" t="e">
        <f>IF(CD343&lt;CL343,"yes","no")</f>
        <v>#DIV/0!</v>
      </c>
      <c r="CQ343" t="e">
        <f>IF(CE343&lt;CM343,"yes","no")</f>
        <v>#DIV/0!</v>
      </c>
      <c r="CR343" t="e">
        <f>TTEST(AS343:AW343,AD343:AH343,2,2)</f>
        <v>#DIV/0!</v>
      </c>
      <c r="CS343" t="e">
        <f>TTEST(AS343:AW343,AN343:AR343,2,2)</f>
        <v>#DIV/0!</v>
      </c>
      <c r="CT343" t="e">
        <f>TTEST(AS343:AW343,AX343:BB343,2,2)</f>
        <v>#DIV/0!</v>
      </c>
      <c r="CU343">
        <v>337</v>
      </c>
      <c r="CV343">
        <v>340</v>
      </c>
      <c r="CW343">
        <v>342</v>
      </c>
      <c r="CX343">
        <f t="shared" si="15"/>
        <v>3.6314655172413793E-2</v>
      </c>
      <c r="CY343">
        <f t="shared" si="16"/>
        <v>3.6637931034482756E-2</v>
      </c>
      <c r="CZ343">
        <f t="shared" si="17"/>
        <v>3.6853448275862073E-2</v>
      </c>
      <c r="DA343" t="e">
        <f>IF(CR343&lt;CX343,"yes","no")</f>
        <v>#DIV/0!</v>
      </c>
      <c r="DB343" t="e">
        <f>IF(CS343&lt;CY343,"yes","no")</f>
        <v>#DIV/0!</v>
      </c>
      <c r="DC343" t="e">
        <f>IF(CT343&lt;CZ343,"yes","no")</f>
        <v>#DIV/0!</v>
      </c>
    </row>
    <row r="344" spans="1:107" x14ac:dyDescent="0.2">
      <c r="A344" s="2" t="b">
        <v>0</v>
      </c>
      <c r="B344" s="2" t="s">
        <v>79</v>
      </c>
      <c r="C344" s="2" t="s">
        <v>80</v>
      </c>
      <c r="D344" s="2" t="s">
        <v>755</v>
      </c>
      <c r="E344" s="2" t="s">
        <v>756</v>
      </c>
      <c r="F344" s="2">
        <v>5</v>
      </c>
      <c r="G344" s="2">
        <v>5</v>
      </c>
      <c r="H344" s="2">
        <v>47.8</v>
      </c>
      <c r="I344" s="2">
        <v>7.74</v>
      </c>
      <c r="J344" s="2" t="s">
        <v>135</v>
      </c>
      <c r="K344" s="2" t="s">
        <v>514</v>
      </c>
      <c r="L344" s="2" t="s">
        <v>119</v>
      </c>
      <c r="M344" s="2" t="s">
        <v>83</v>
      </c>
      <c r="N344" s="2" t="s">
        <v>757</v>
      </c>
      <c r="O344" s="2">
        <v>1.623</v>
      </c>
      <c r="P344" s="2">
        <v>0.01</v>
      </c>
      <c r="Q344" s="2">
        <v>1.7410000000000001</v>
      </c>
      <c r="R344" s="2">
        <v>100</v>
      </c>
      <c r="S344" s="2">
        <v>100</v>
      </c>
      <c r="T344" s="2" t="s">
        <v>83</v>
      </c>
      <c r="U344" s="2">
        <v>100</v>
      </c>
      <c r="V344" s="2">
        <v>0.01</v>
      </c>
      <c r="W344" s="2">
        <v>1.1830000000000001</v>
      </c>
      <c r="X344" s="2">
        <v>100</v>
      </c>
      <c r="Y344" s="2">
        <v>112.3</v>
      </c>
      <c r="Z344" s="2" t="s">
        <v>83</v>
      </c>
      <c r="AA344" s="2">
        <v>194.8</v>
      </c>
      <c r="AB344" s="2" t="s">
        <v>83</v>
      </c>
      <c r="AC344" s="2">
        <v>192.9</v>
      </c>
      <c r="AD344" s="2">
        <v>306287.37890625</v>
      </c>
      <c r="AE344" s="2" t="s">
        <v>83</v>
      </c>
      <c r="AF344" s="2">
        <v>265410.3984375</v>
      </c>
      <c r="AG344" s="2">
        <v>1825710.1875</v>
      </c>
      <c r="AH344" s="2" t="s">
        <v>83</v>
      </c>
      <c r="AI344" s="2" t="s">
        <v>83</v>
      </c>
      <c r="AJ344" s="2" t="s">
        <v>83</v>
      </c>
      <c r="AK344" s="2" t="s">
        <v>83</v>
      </c>
      <c r="AL344" s="2" t="s">
        <v>83</v>
      </c>
      <c r="AM344" s="2" t="s">
        <v>83</v>
      </c>
      <c r="AN344" s="2" t="s">
        <v>83</v>
      </c>
      <c r="AO344" s="2">
        <v>11675.431640625</v>
      </c>
      <c r="AP344" s="2">
        <v>8623.7587890625</v>
      </c>
      <c r="AQ344" s="2">
        <v>6778.9755859375</v>
      </c>
      <c r="AR344" s="2">
        <v>23608.219238281301</v>
      </c>
      <c r="AS344" s="2" t="s">
        <v>83</v>
      </c>
      <c r="AT344" s="2" t="s">
        <v>83</v>
      </c>
      <c r="AU344" s="2" t="s">
        <v>83</v>
      </c>
      <c r="AV344" s="2" t="s">
        <v>83</v>
      </c>
      <c r="AW344" s="2" t="s">
        <v>83</v>
      </c>
      <c r="AX344" s="2">
        <v>34449.0478515625</v>
      </c>
      <c r="AY344" s="2">
        <v>26792.53515625</v>
      </c>
      <c r="AZ344" s="2">
        <v>29990.45703125</v>
      </c>
      <c r="BA344" s="2">
        <v>20799.841796875</v>
      </c>
      <c r="BB344" s="2">
        <v>30021.1513671875</v>
      </c>
      <c r="BC344" s="2" t="s">
        <v>79</v>
      </c>
      <c r="BD344" s="2" t="s">
        <v>98</v>
      </c>
      <c r="BE344" s="2" t="s">
        <v>79</v>
      </c>
      <c r="BF344" s="2" t="s">
        <v>79</v>
      </c>
      <c r="BG344" s="2" t="s">
        <v>91</v>
      </c>
      <c r="BH344" s="2" t="s">
        <v>98</v>
      </c>
      <c r="BI344" s="2" t="s">
        <v>98</v>
      </c>
      <c r="BJ344" s="2" t="s">
        <v>98</v>
      </c>
      <c r="BK344" s="2" t="s">
        <v>98</v>
      </c>
      <c r="BL344" s="2" t="s">
        <v>98</v>
      </c>
      <c r="BM344" s="2" t="s">
        <v>98</v>
      </c>
      <c r="BN344" s="2" t="s">
        <v>91</v>
      </c>
      <c r="BO344" s="2" t="s">
        <v>91</v>
      </c>
      <c r="BP344" s="2" t="s">
        <v>91</v>
      </c>
      <c r="BQ344" s="2" t="s">
        <v>91</v>
      </c>
      <c r="BR344" s="2" t="s">
        <v>98</v>
      </c>
      <c r="BS344" s="2" t="s">
        <v>98</v>
      </c>
      <c r="BT344" s="2" t="s">
        <v>98</v>
      </c>
      <c r="BU344" s="2" t="s">
        <v>98</v>
      </c>
      <c r="BV344" s="2" t="s">
        <v>98</v>
      </c>
      <c r="BW344" s="2" t="s">
        <v>91</v>
      </c>
      <c r="BX344" s="2" t="s">
        <v>91</v>
      </c>
      <c r="BY344" s="2" t="s">
        <v>91</v>
      </c>
      <c r="BZ344" s="2" t="s">
        <v>91</v>
      </c>
      <c r="CA344" s="2" t="s">
        <v>91</v>
      </c>
      <c r="CB344" t="e">
        <f>TTEST(AS344:AW344,AI344:AM344,2,2)</f>
        <v>#DIV/0!</v>
      </c>
      <c r="CC344" t="e">
        <f>TTEST(AD344:AH344,AI344:AM344,2,2)</f>
        <v>#DIV/0!</v>
      </c>
      <c r="CD344" t="e">
        <f>TTEST(AN344:AR344,AI344:AM344,2,2)</f>
        <v>#DIV/0!</v>
      </c>
      <c r="CE344" t="e">
        <f>TTEST(AX344:BB344,AI344:AM344,2,2)</f>
        <v>#DIV/0!</v>
      </c>
      <c r="CF344">
        <v>320</v>
      </c>
      <c r="CG344">
        <v>334</v>
      </c>
      <c r="CH344">
        <v>338</v>
      </c>
      <c r="CI344">
        <v>341</v>
      </c>
      <c r="CJ344">
        <f>0.05*CF344/464</f>
        <v>3.4482758620689655E-2</v>
      </c>
      <c r="CK344">
        <f>0.05*CG344/464</f>
        <v>3.5991379310344823E-2</v>
      </c>
      <c r="CL344">
        <f>0.05*CH344/464</f>
        <v>3.6422413793103452E-2</v>
      </c>
      <c r="CM344">
        <f>0.05*CI344/464</f>
        <v>3.6745689655172414E-2</v>
      </c>
      <c r="CN344" t="e">
        <f>IF(CB344&lt;CJ344,"yes","no")</f>
        <v>#DIV/0!</v>
      </c>
      <c r="CO344" t="e">
        <f>IF(CC344&lt;CK344,"yes","no")</f>
        <v>#DIV/0!</v>
      </c>
      <c r="CP344" t="e">
        <f>IF(CD344&lt;CL344,"yes","no")</f>
        <v>#DIV/0!</v>
      </c>
      <c r="CQ344" t="e">
        <f>IF(CE344&lt;CM344,"yes","no")</f>
        <v>#DIV/0!</v>
      </c>
      <c r="CR344" t="e">
        <f>TTEST(AS344:AW344,AD344:AH344,2,2)</f>
        <v>#DIV/0!</v>
      </c>
      <c r="CS344" t="e">
        <f>TTEST(AS344:AW344,AN344:AR344,2,2)</f>
        <v>#DIV/0!</v>
      </c>
      <c r="CT344" t="e">
        <f>TTEST(AS344:AW344,AX344:BB344,2,2)</f>
        <v>#DIV/0!</v>
      </c>
      <c r="CU344">
        <v>338</v>
      </c>
      <c r="CV344">
        <v>341</v>
      </c>
      <c r="CW344">
        <v>343</v>
      </c>
      <c r="CX344">
        <f t="shared" si="15"/>
        <v>3.6422413793103452E-2</v>
      </c>
      <c r="CY344">
        <f t="shared" si="16"/>
        <v>3.6745689655172414E-2</v>
      </c>
      <c r="CZ344">
        <f t="shared" si="17"/>
        <v>3.6961206896551732E-2</v>
      </c>
      <c r="DA344" t="e">
        <f>IF(CR344&lt;CX344,"yes","no")</f>
        <v>#DIV/0!</v>
      </c>
      <c r="DB344" t="e">
        <f>IF(CS344&lt;CY344,"yes","no")</f>
        <v>#DIV/0!</v>
      </c>
      <c r="DC344" t="e">
        <f>IF(CT344&lt;CZ344,"yes","no")</f>
        <v>#DIV/0!</v>
      </c>
    </row>
    <row r="345" spans="1:107" x14ac:dyDescent="0.2">
      <c r="A345" s="2" t="b">
        <v>0</v>
      </c>
      <c r="B345" s="2" t="s">
        <v>79</v>
      </c>
      <c r="C345" s="2" t="s">
        <v>80</v>
      </c>
      <c r="D345" s="2" t="s">
        <v>776</v>
      </c>
      <c r="E345" s="2" t="s">
        <v>777</v>
      </c>
      <c r="F345" s="2">
        <v>3</v>
      </c>
      <c r="G345" s="2">
        <v>1</v>
      </c>
      <c r="H345" s="2">
        <v>11.5</v>
      </c>
      <c r="I345" s="2">
        <v>6.51</v>
      </c>
      <c r="J345" s="2" t="s">
        <v>83</v>
      </c>
      <c r="K345" s="2" t="s">
        <v>83</v>
      </c>
      <c r="L345" s="2" t="s">
        <v>83</v>
      </c>
      <c r="M345" s="2" t="s">
        <v>83</v>
      </c>
      <c r="N345" s="2" t="s">
        <v>776</v>
      </c>
      <c r="O345" s="2" t="s">
        <v>83</v>
      </c>
      <c r="P345" s="2" t="s">
        <v>83</v>
      </c>
      <c r="Q345" s="2" t="s">
        <v>83</v>
      </c>
      <c r="R345" s="2" t="s">
        <v>83</v>
      </c>
      <c r="S345" s="2" t="s">
        <v>83</v>
      </c>
      <c r="T345" s="2" t="s">
        <v>83</v>
      </c>
      <c r="U345" s="2" t="s">
        <v>83</v>
      </c>
      <c r="V345" s="2" t="s">
        <v>83</v>
      </c>
      <c r="W345" s="2" t="s">
        <v>83</v>
      </c>
      <c r="X345" s="2" t="s">
        <v>83</v>
      </c>
      <c r="Y345" s="2" t="s">
        <v>83</v>
      </c>
      <c r="Z345" s="2" t="s">
        <v>83</v>
      </c>
      <c r="AA345" s="2" t="s">
        <v>83</v>
      </c>
      <c r="AB345" s="2" t="s">
        <v>83</v>
      </c>
      <c r="AC345" s="2" t="s">
        <v>83</v>
      </c>
      <c r="AD345" s="2" t="s">
        <v>83</v>
      </c>
      <c r="AE345" s="2" t="s">
        <v>83</v>
      </c>
      <c r="AF345" s="2" t="s">
        <v>83</v>
      </c>
      <c r="AG345" s="2" t="s">
        <v>83</v>
      </c>
      <c r="AH345" s="2" t="s">
        <v>83</v>
      </c>
      <c r="AI345" s="2" t="s">
        <v>83</v>
      </c>
      <c r="AJ345" s="2" t="s">
        <v>83</v>
      </c>
      <c r="AK345" s="2" t="s">
        <v>83</v>
      </c>
      <c r="AL345" s="2" t="s">
        <v>83</v>
      </c>
      <c r="AM345" s="2" t="s">
        <v>83</v>
      </c>
      <c r="AN345" s="2" t="s">
        <v>83</v>
      </c>
      <c r="AO345" s="2" t="s">
        <v>83</v>
      </c>
      <c r="AP345" s="2" t="s">
        <v>83</v>
      </c>
      <c r="AQ345" s="2" t="s">
        <v>83</v>
      </c>
      <c r="AR345" s="2" t="s">
        <v>83</v>
      </c>
      <c r="AS345" s="2" t="s">
        <v>83</v>
      </c>
      <c r="AT345" s="2" t="s">
        <v>83</v>
      </c>
      <c r="AU345" s="2" t="s">
        <v>83</v>
      </c>
      <c r="AV345" s="2" t="s">
        <v>83</v>
      </c>
      <c r="AW345" s="2" t="s">
        <v>83</v>
      </c>
      <c r="AX345" s="2" t="s">
        <v>83</v>
      </c>
      <c r="AY345" s="2" t="s">
        <v>83</v>
      </c>
      <c r="AZ345" s="2" t="s">
        <v>83</v>
      </c>
      <c r="BA345" s="2" t="s">
        <v>83</v>
      </c>
      <c r="BB345" s="2" t="s">
        <v>83</v>
      </c>
      <c r="BC345" s="2" t="s">
        <v>98</v>
      </c>
      <c r="BD345" s="2" t="s">
        <v>98</v>
      </c>
      <c r="BE345" s="2" t="s">
        <v>79</v>
      </c>
      <c r="BF345" s="2" t="s">
        <v>98</v>
      </c>
      <c r="BG345" s="2" t="s">
        <v>79</v>
      </c>
      <c r="BH345" s="2" t="s">
        <v>98</v>
      </c>
      <c r="BI345" s="2" t="s">
        <v>98</v>
      </c>
      <c r="BJ345" s="2" t="s">
        <v>98</v>
      </c>
      <c r="BK345" s="2" t="s">
        <v>98</v>
      </c>
      <c r="BL345" s="2" t="s">
        <v>98</v>
      </c>
      <c r="BM345" s="2" t="s">
        <v>98</v>
      </c>
      <c r="BN345" s="2" t="s">
        <v>98</v>
      </c>
      <c r="BO345" s="2" t="s">
        <v>98</v>
      </c>
      <c r="BP345" s="2" t="s">
        <v>98</v>
      </c>
      <c r="BQ345" s="2" t="s">
        <v>98</v>
      </c>
      <c r="BR345" s="2" t="s">
        <v>98</v>
      </c>
      <c r="BS345" s="2" t="s">
        <v>98</v>
      </c>
      <c r="BT345" s="2" t="s">
        <v>98</v>
      </c>
      <c r="BU345" s="2" t="s">
        <v>98</v>
      </c>
      <c r="BV345" s="2" t="s">
        <v>98</v>
      </c>
      <c r="BW345" s="2" t="s">
        <v>98</v>
      </c>
      <c r="BX345" s="2" t="s">
        <v>98</v>
      </c>
      <c r="BY345" s="2" t="s">
        <v>98</v>
      </c>
      <c r="BZ345" s="2" t="s">
        <v>98</v>
      </c>
      <c r="CA345" s="2" t="s">
        <v>98</v>
      </c>
      <c r="CB345" t="e">
        <f>TTEST(AS345:AW345,AI345:AM345,2,2)</f>
        <v>#DIV/0!</v>
      </c>
      <c r="CC345" t="e">
        <f>TTEST(AD345:AH345,AI345:AM345,2,2)</f>
        <v>#DIV/0!</v>
      </c>
      <c r="CD345" t="e">
        <f>TTEST(AN345:AR345,AI345:AM345,2,2)</f>
        <v>#DIV/0!</v>
      </c>
      <c r="CE345" t="e">
        <f>TTEST(AX345:BB345,AI345:AM345,2,2)</f>
        <v>#DIV/0!</v>
      </c>
      <c r="CF345">
        <v>321</v>
      </c>
      <c r="CG345">
        <v>335</v>
      </c>
      <c r="CH345">
        <v>339</v>
      </c>
      <c r="CI345">
        <v>342</v>
      </c>
      <c r="CJ345">
        <f>0.05*CF345/464</f>
        <v>3.4590517241379314E-2</v>
      </c>
      <c r="CK345">
        <f>0.05*CG345/464</f>
        <v>3.6099137931034482E-2</v>
      </c>
      <c r="CL345">
        <f>0.05*CH345/464</f>
        <v>3.6530172413793104E-2</v>
      </c>
      <c r="CM345">
        <f>0.05*CI345/464</f>
        <v>3.6853448275862073E-2</v>
      </c>
      <c r="CN345" t="e">
        <f>IF(CB345&lt;CJ345,"yes","no")</f>
        <v>#DIV/0!</v>
      </c>
      <c r="CO345" t="e">
        <f>IF(CC345&lt;CK345,"yes","no")</f>
        <v>#DIV/0!</v>
      </c>
      <c r="CP345" t="e">
        <f>IF(CD345&lt;CL345,"yes","no")</f>
        <v>#DIV/0!</v>
      </c>
      <c r="CQ345" t="e">
        <f>IF(CE345&lt;CM345,"yes","no")</f>
        <v>#DIV/0!</v>
      </c>
      <c r="CR345" t="e">
        <f>TTEST(AS345:AW345,AD345:AH345,2,2)</f>
        <v>#DIV/0!</v>
      </c>
      <c r="CS345" t="e">
        <f>TTEST(AS345:AW345,AN345:AR345,2,2)</f>
        <v>#DIV/0!</v>
      </c>
      <c r="CT345" t="e">
        <f>TTEST(AS345:AW345,AX345:BB345,2,2)</f>
        <v>#DIV/0!</v>
      </c>
      <c r="CU345">
        <v>339</v>
      </c>
      <c r="CV345">
        <v>342</v>
      </c>
      <c r="CW345">
        <v>344</v>
      </c>
      <c r="CX345">
        <f t="shared" si="15"/>
        <v>3.6530172413793104E-2</v>
      </c>
      <c r="CY345">
        <f t="shared" si="16"/>
        <v>3.6853448275862073E-2</v>
      </c>
      <c r="CZ345">
        <f t="shared" si="17"/>
        <v>3.7068965517241377E-2</v>
      </c>
      <c r="DA345" t="e">
        <f>IF(CR345&lt;CX345,"yes","no")</f>
        <v>#DIV/0!</v>
      </c>
      <c r="DB345" t="e">
        <f>IF(CS345&lt;CY345,"yes","no")</f>
        <v>#DIV/0!</v>
      </c>
      <c r="DC345" t="e">
        <f>IF(CT345&lt;CZ345,"yes","no")</f>
        <v>#DIV/0!</v>
      </c>
    </row>
    <row r="346" spans="1:107" x14ac:dyDescent="0.2">
      <c r="A346" s="2" t="b">
        <v>0</v>
      </c>
      <c r="B346" s="2" t="s">
        <v>79</v>
      </c>
      <c r="C346" s="2" t="s">
        <v>80</v>
      </c>
      <c r="D346" s="2" t="s">
        <v>790</v>
      </c>
      <c r="E346" s="2" t="s">
        <v>791</v>
      </c>
      <c r="F346" s="2">
        <v>4</v>
      </c>
      <c r="G346" s="2">
        <v>4</v>
      </c>
      <c r="H346" s="2">
        <v>60.1</v>
      </c>
      <c r="I346" s="2">
        <v>7.08</v>
      </c>
      <c r="J346" s="2" t="s">
        <v>792</v>
      </c>
      <c r="K346" s="2" t="s">
        <v>84</v>
      </c>
      <c r="L346" s="2" t="s">
        <v>85</v>
      </c>
      <c r="M346" s="2" t="s">
        <v>793</v>
      </c>
      <c r="N346" s="2" t="s">
        <v>790</v>
      </c>
      <c r="O346" s="2">
        <v>1.794</v>
      </c>
      <c r="P346" s="2">
        <v>0.01</v>
      </c>
      <c r="Q346" s="2">
        <v>100</v>
      </c>
      <c r="R346" s="2">
        <v>100</v>
      </c>
      <c r="S346" s="2">
        <v>100</v>
      </c>
      <c r="T346" s="2" t="s">
        <v>83</v>
      </c>
      <c r="U346" s="2">
        <v>100</v>
      </c>
      <c r="V346" s="2">
        <v>0.01</v>
      </c>
      <c r="W346" s="2" t="s">
        <v>83</v>
      </c>
      <c r="X346" s="2">
        <v>100</v>
      </c>
      <c r="Y346" s="2">
        <v>10.6</v>
      </c>
      <c r="Z346" s="2" t="s">
        <v>83</v>
      </c>
      <c r="AA346" s="2">
        <v>9</v>
      </c>
      <c r="AB346" s="2" t="s">
        <v>83</v>
      </c>
      <c r="AC346" s="2">
        <v>480.3</v>
      </c>
      <c r="AD346" s="2">
        <v>576001.4765625</v>
      </c>
      <c r="AE346" s="2">
        <v>309483.9296875</v>
      </c>
      <c r="AF346" s="2">
        <v>316547.6796875</v>
      </c>
      <c r="AG346" s="2">
        <v>519195.203125</v>
      </c>
      <c r="AH346" s="2">
        <v>418248.6875</v>
      </c>
      <c r="AI346" s="2" t="s">
        <v>83</v>
      </c>
      <c r="AJ346" s="2" t="s">
        <v>83</v>
      </c>
      <c r="AK346" s="2" t="s">
        <v>83</v>
      </c>
      <c r="AL346" s="2" t="s">
        <v>83</v>
      </c>
      <c r="AM346" s="2" t="s">
        <v>83</v>
      </c>
      <c r="AN346" s="2">
        <v>7787.3251953125</v>
      </c>
      <c r="AO346" s="2" t="s">
        <v>83</v>
      </c>
      <c r="AP346" s="2" t="s">
        <v>83</v>
      </c>
      <c r="AQ346" s="2">
        <v>8083.4326171875</v>
      </c>
      <c r="AR346" s="2">
        <v>9452.5390625</v>
      </c>
      <c r="AS346" s="2" t="s">
        <v>83</v>
      </c>
      <c r="AT346" s="2" t="s">
        <v>83</v>
      </c>
      <c r="AU346" s="2" t="s">
        <v>83</v>
      </c>
      <c r="AV346" s="2" t="s">
        <v>83</v>
      </c>
      <c r="AW346" s="2" t="s">
        <v>83</v>
      </c>
      <c r="AX346" s="2" t="s">
        <v>83</v>
      </c>
      <c r="AY346" s="2" t="s">
        <v>83</v>
      </c>
      <c r="AZ346" s="2">
        <v>1129081.875</v>
      </c>
      <c r="BA346" s="2" t="s">
        <v>83</v>
      </c>
      <c r="BB346" s="2" t="s">
        <v>83</v>
      </c>
      <c r="BC346" s="2" t="s">
        <v>79</v>
      </c>
      <c r="BD346" s="2" t="s">
        <v>79</v>
      </c>
      <c r="BE346" s="2" t="s">
        <v>79</v>
      </c>
      <c r="BF346" s="2" t="s">
        <v>79</v>
      </c>
      <c r="BG346" s="2" t="s">
        <v>79</v>
      </c>
      <c r="BH346" s="2" t="s">
        <v>98</v>
      </c>
      <c r="BI346" s="2" t="s">
        <v>98</v>
      </c>
      <c r="BJ346" s="2" t="s">
        <v>98</v>
      </c>
      <c r="BK346" s="2" t="s">
        <v>98</v>
      </c>
      <c r="BL346" s="2" t="s">
        <v>98</v>
      </c>
      <c r="BM346" s="2" t="s">
        <v>91</v>
      </c>
      <c r="BN346" s="2" t="s">
        <v>91</v>
      </c>
      <c r="BO346" s="2" t="s">
        <v>91</v>
      </c>
      <c r="BP346" s="2" t="s">
        <v>91</v>
      </c>
      <c r="BQ346" s="2" t="s">
        <v>91</v>
      </c>
      <c r="BR346" s="2" t="s">
        <v>98</v>
      </c>
      <c r="BS346" s="2" t="s">
        <v>98</v>
      </c>
      <c r="BT346" s="2" t="s">
        <v>98</v>
      </c>
      <c r="BU346" s="2" t="s">
        <v>98</v>
      </c>
      <c r="BV346" s="2" t="s">
        <v>98</v>
      </c>
      <c r="BW346" s="2" t="s">
        <v>98</v>
      </c>
      <c r="BX346" s="2" t="s">
        <v>98</v>
      </c>
      <c r="BY346" s="2" t="s">
        <v>91</v>
      </c>
      <c r="BZ346" s="2" t="s">
        <v>98</v>
      </c>
      <c r="CA346" s="2" t="s">
        <v>98</v>
      </c>
      <c r="CB346" t="e">
        <f>TTEST(AS346:AW346,AI346:AM346,2,2)</f>
        <v>#DIV/0!</v>
      </c>
      <c r="CC346" t="e">
        <f>TTEST(AD346:AH346,AI346:AM346,2,2)</f>
        <v>#DIV/0!</v>
      </c>
      <c r="CD346" t="e">
        <f>TTEST(AN346:AR346,AI346:AM346,2,2)</f>
        <v>#DIV/0!</v>
      </c>
      <c r="CE346" t="e">
        <f>TTEST(AX346:BB346,AI346:AM346,2,2)</f>
        <v>#DIV/0!</v>
      </c>
      <c r="CF346">
        <v>322</v>
      </c>
      <c r="CG346">
        <v>336</v>
      </c>
      <c r="CH346">
        <v>340</v>
      </c>
      <c r="CI346">
        <v>343</v>
      </c>
      <c r="CJ346">
        <f>0.05*CF346/464</f>
        <v>3.4698275862068965E-2</v>
      </c>
      <c r="CK346">
        <f>0.05*CG346/464</f>
        <v>3.6206896551724141E-2</v>
      </c>
      <c r="CL346">
        <f>0.05*CH346/464</f>
        <v>3.6637931034482756E-2</v>
      </c>
      <c r="CM346">
        <f>0.05*CI346/464</f>
        <v>3.6961206896551732E-2</v>
      </c>
      <c r="CN346" t="e">
        <f>IF(CB346&lt;CJ346,"yes","no")</f>
        <v>#DIV/0!</v>
      </c>
      <c r="CO346" t="e">
        <f>IF(CC346&lt;CK346,"yes","no")</f>
        <v>#DIV/0!</v>
      </c>
      <c r="CP346" t="e">
        <f>IF(CD346&lt;CL346,"yes","no")</f>
        <v>#DIV/0!</v>
      </c>
      <c r="CQ346" t="e">
        <f>IF(CE346&lt;CM346,"yes","no")</f>
        <v>#DIV/0!</v>
      </c>
      <c r="CR346" t="e">
        <f>TTEST(AS346:AW346,AD346:AH346,2,2)</f>
        <v>#DIV/0!</v>
      </c>
      <c r="CS346" t="e">
        <f>TTEST(AS346:AW346,AN346:AR346,2,2)</f>
        <v>#DIV/0!</v>
      </c>
      <c r="CT346" t="e">
        <f>TTEST(AS346:AW346,AX346:BB346,2,2)</f>
        <v>#DIV/0!</v>
      </c>
      <c r="CU346">
        <v>340</v>
      </c>
      <c r="CV346">
        <v>343</v>
      </c>
      <c r="CW346">
        <v>345</v>
      </c>
      <c r="CX346">
        <f t="shared" si="15"/>
        <v>3.6637931034482756E-2</v>
      </c>
      <c r="CY346">
        <f t="shared" si="16"/>
        <v>3.6961206896551732E-2</v>
      </c>
      <c r="CZ346">
        <f t="shared" si="17"/>
        <v>3.7176724137931036E-2</v>
      </c>
      <c r="DA346" t="e">
        <f>IF(CR346&lt;CX346,"yes","no")</f>
        <v>#DIV/0!</v>
      </c>
      <c r="DB346" t="e">
        <f>IF(CS346&lt;CY346,"yes","no")</f>
        <v>#DIV/0!</v>
      </c>
      <c r="DC346" t="e">
        <f>IF(CT346&lt;CZ346,"yes","no")</f>
        <v>#DIV/0!</v>
      </c>
    </row>
    <row r="347" spans="1:107" x14ac:dyDescent="0.2">
      <c r="A347" s="2" t="b">
        <v>0</v>
      </c>
      <c r="B347" s="2" t="s">
        <v>79</v>
      </c>
      <c r="C347" s="2" t="s">
        <v>80</v>
      </c>
      <c r="D347" s="2" t="s">
        <v>902</v>
      </c>
      <c r="E347" s="2" t="s">
        <v>903</v>
      </c>
      <c r="F347" s="2">
        <v>2</v>
      </c>
      <c r="G347" s="2">
        <v>1</v>
      </c>
      <c r="H347" s="2">
        <v>12.6</v>
      </c>
      <c r="I347" s="2">
        <v>8.91</v>
      </c>
      <c r="J347" s="2" t="s">
        <v>254</v>
      </c>
      <c r="K347" s="2" t="s">
        <v>319</v>
      </c>
      <c r="L347" s="2" t="s">
        <v>83</v>
      </c>
      <c r="M347" s="2" t="s">
        <v>83</v>
      </c>
      <c r="N347" s="2" t="s">
        <v>902</v>
      </c>
      <c r="O347" s="2" t="s">
        <v>83</v>
      </c>
      <c r="P347" s="2" t="s">
        <v>83</v>
      </c>
      <c r="Q347" s="2" t="s">
        <v>83</v>
      </c>
      <c r="R347" s="2" t="s">
        <v>83</v>
      </c>
      <c r="S347" s="2" t="s">
        <v>83</v>
      </c>
      <c r="T347" s="2" t="s">
        <v>83</v>
      </c>
      <c r="U347" s="2" t="s">
        <v>83</v>
      </c>
      <c r="V347" s="2" t="s">
        <v>83</v>
      </c>
      <c r="W347" s="2" t="s">
        <v>83</v>
      </c>
      <c r="X347" s="2" t="s">
        <v>83</v>
      </c>
      <c r="Y347" s="2" t="s">
        <v>83</v>
      </c>
      <c r="Z347" s="2" t="s">
        <v>83</v>
      </c>
      <c r="AA347" s="2" t="s">
        <v>83</v>
      </c>
      <c r="AB347" s="2" t="s">
        <v>83</v>
      </c>
      <c r="AC347" s="2" t="s">
        <v>83</v>
      </c>
      <c r="AD347" s="2" t="s">
        <v>83</v>
      </c>
      <c r="AE347" s="2" t="s">
        <v>83</v>
      </c>
      <c r="AF347" s="2" t="s">
        <v>83</v>
      </c>
      <c r="AG347" s="2" t="s">
        <v>83</v>
      </c>
      <c r="AH347" s="2" t="s">
        <v>83</v>
      </c>
      <c r="AI347" s="2" t="s">
        <v>83</v>
      </c>
      <c r="AJ347" s="2" t="s">
        <v>83</v>
      </c>
      <c r="AK347" s="2" t="s">
        <v>83</v>
      </c>
      <c r="AL347" s="2" t="s">
        <v>83</v>
      </c>
      <c r="AM347" s="2" t="s">
        <v>83</v>
      </c>
      <c r="AN347" s="2" t="s">
        <v>83</v>
      </c>
      <c r="AO347" s="2" t="s">
        <v>83</v>
      </c>
      <c r="AP347" s="2" t="s">
        <v>83</v>
      </c>
      <c r="AQ347" s="2" t="s">
        <v>83</v>
      </c>
      <c r="AR347" s="2" t="s">
        <v>83</v>
      </c>
      <c r="AS347" s="2" t="s">
        <v>83</v>
      </c>
      <c r="AT347" s="2" t="s">
        <v>83</v>
      </c>
      <c r="AU347" s="2" t="s">
        <v>83</v>
      </c>
      <c r="AV347" s="2" t="s">
        <v>83</v>
      </c>
      <c r="AW347" s="2" t="s">
        <v>83</v>
      </c>
      <c r="AX347" s="2" t="s">
        <v>83</v>
      </c>
      <c r="AY347" s="2" t="s">
        <v>83</v>
      </c>
      <c r="AZ347" s="2" t="s">
        <v>83</v>
      </c>
      <c r="BA347" s="2" t="s">
        <v>83</v>
      </c>
      <c r="BB347" s="2" t="s">
        <v>83</v>
      </c>
      <c r="BC347" s="2" t="s">
        <v>98</v>
      </c>
      <c r="BD347" s="2" t="s">
        <v>98</v>
      </c>
      <c r="BE347" s="2" t="s">
        <v>98</v>
      </c>
      <c r="BF347" s="2" t="s">
        <v>79</v>
      </c>
      <c r="BG347" s="2" t="s">
        <v>98</v>
      </c>
      <c r="BH347" s="2" t="s">
        <v>79</v>
      </c>
      <c r="BI347" s="2" t="s">
        <v>79</v>
      </c>
      <c r="BJ347" s="2" t="s">
        <v>79</v>
      </c>
      <c r="BK347" s="2" t="s">
        <v>79</v>
      </c>
      <c r="BL347" s="2" t="s">
        <v>79</v>
      </c>
      <c r="BM347" s="2" t="s">
        <v>98</v>
      </c>
      <c r="BN347" s="2" t="s">
        <v>98</v>
      </c>
      <c r="BO347" s="2" t="s">
        <v>98</v>
      </c>
      <c r="BP347" s="2" t="s">
        <v>98</v>
      </c>
      <c r="BQ347" s="2" t="s">
        <v>98</v>
      </c>
      <c r="BR347" s="2" t="s">
        <v>79</v>
      </c>
      <c r="BS347" s="2" t="s">
        <v>98</v>
      </c>
      <c r="BT347" s="2" t="s">
        <v>98</v>
      </c>
      <c r="BU347" s="2" t="s">
        <v>98</v>
      </c>
      <c r="BV347" s="2" t="s">
        <v>79</v>
      </c>
      <c r="BW347" s="2" t="s">
        <v>79</v>
      </c>
      <c r="BX347" s="2" t="s">
        <v>98</v>
      </c>
      <c r="BY347" s="2" t="s">
        <v>98</v>
      </c>
      <c r="BZ347" s="2" t="s">
        <v>98</v>
      </c>
      <c r="CA347" s="2" t="s">
        <v>98</v>
      </c>
      <c r="CB347" t="e">
        <f>TTEST(AS347:AW347,AI347:AM347,2,2)</f>
        <v>#DIV/0!</v>
      </c>
      <c r="CC347" t="e">
        <f>TTEST(AD347:AH347,AI347:AM347,2,2)</f>
        <v>#DIV/0!</v>
      </c>
      <c r="CD347" t="e">
        <f>TTEST(AN347:AR347,AI347:AM347,2,2)</f>
        <v>#DIV/0!</v>
      </c>
      <c r="CE347" t="e">
        <f>TTEST(AX347:BB347,AI347:AM347,2,2)</f>
        <v>#DIV/0!</v>
      </c>
      <c r="CF347">
        <v>323</v>
      </c>
      <c r="CG347">
        <v>337</v>
      </c>
      <c r="CH347">
        <v>341</v>
      </c>
      <c r="CI347">
        <v>344</v>
      </c>
      <c r="CJ347">
        <f>0.05*CF347/464</f>
        <v>3.4806034482758624E-2</v>
      </c>
      <c r="CK347">
        <f>0.05*CG347/464</f>
        <v>3.6314655172413793E-2</v>
      </c>
      <c r="CL347">
        <f>0.05*CH347/464</f>
        <v>3.6745689655172414E-2</v>
      </c>
      <c r="CM347">
        <f>0.05*CI347/464</f>
        <v>3.7068965517241377E-2</v>
      </c>
      <c r="CN347" t="e">
        <f>IF(CB347&lt;CJ347,"yes","no")</f>
        <v>#DIV/0!</v>
      </c>
      <c r="CO347" t="e">
        <f>IF(CC347&lt;CK347,"yes","no")</f>
        <v>#DIV/0!</v>
      </c>
      <c r="CP347" t="e">
        <f>IF(CD347&lt;CL347,"yes","no")</f>
        <v>#DIV/0!</v>
      </c>
      <c r="CQ347" t="e">
        <f>IF(CE347&lt;CM347,"yes","no")</f>
        <v>#DIV/0!</v>
      </c>
      <c r="CR347" t="e">
        <f>TTEST(AS347:AW347,AD347:AH347,2,2)</f>
        <v>#DIV/0!</v>
      </c>
      <c r="CS347" t="e">
        <f>TTEST(AS347:AW347,AN347:AR347,2,2)</f>
        <v>#DIV/0!</v>
      </c>
      <c r="CT347" t="e">
        <f>TTEST(AS347:AW347,AX347:BB347,2,2)</f>
        <v>#DIV/0!</v>
      </c>
      <c r="CU347">
        <v>341</v>
      </c>
      <c r="CV347">
        <v>344</v>
      </c>
      <c r="CW347">
        <v>346</v>
      </c>
      <c r="CX347">
        <f t="shared" si="15"/>
        <v>3.6745689655172414E-2</v>
      </c>
      <c r="CY347">
        <f t="shared" si="16"/>
        <v>3.7068965517241377E-2</v>
      </c>
      <c r="CZ347">
        <f t="shared" si="17"/>
        <v>3.7284482758620688E-2</v>
      </c>
      <c r="DA347" t="e">
        <f>IF(CR347&lt;CX347,"yes","no")</f>
        <v>#DIV/0!</v>
      </c>
      <c r="DB347" t="e">
        <f>IF(CS347&lt;CY347,"yes","no")</f>
        <v>#DIV/0!</v>
      </c>
      <c r="DC347" t="e">
        <f>IF(CT347&lt;CZ347,"yes","no")</f>
        <v>#DIV/0!</v>
      </c>
    </row>
    <row r="348" spans="1:107" x14ac:dyDescent="0.2">
      <c r="A348" s="2" t="b">
        <v>0</v>
      </c>
      <c r="B348" s="2" t="s">
        <v>79</v>
      </c>
      <c r="C348" s="2" t="s">
        <v>80</v>
      </c>
      <c r="D348" s="2" t="s">
        <v>925</v>
      </c>
      <c r="E348" s="2" t="s">
        <v>926</v>
      </c>
      <c r="F348" s="2">
        <v>4</v>
      </c>
      <c r="G348" s="2">
        <v>1</v>
      </c>
      <c r="H348" s="2">
        <v>24</v>
      </c>
      <c r="I348" s="2">
        <v>5.33</v>
      </c>
      <c r="J348" s="2" t="s">
        <v>254</v>
      </c>
      <c r="K348" s="2" t="s">
        <v>482</v>
      </c>
      <c r="L348" s="2" t="s">
        <v>218</v>
      </c>
      <c r="M348" s="2" t="s">
        <v>927</v>
      </c>
      <c r="N348" s="2" t="s">
        <v>925</v>
      </c>
      <c r="O348" s="2">
        <v>100</v>
      </c>
      <c r="P348" s="2" t="s">
        <v>83</v>
      </c>
      <c r="Q348" s="2" t="s">
        <v>83</v>
      </c>
      <c r="R348" s="2" t="s">
        <v>83</v>
      </c>
      <c r="S348" s="2">
        <v>100</v>
      </c>
      <c r="T348" s="2" t="s">
        <v>83</v>
      </c>
      <c r="U348" s="2" t="s">
        <v>83</v>
      </c>
      <c r="V348" s="2">
        <v>0.01</v>
      </c>
      <c r="W348" s="2">
        <v>0.01</v>
      </c>
      <c r="X348" s="2" t="s">
        <v>83</v>
      </c>
      <c r="Y348" s="2" t="s">
        <v>83</v>
      </c>
      <c r="Z348" s="2" t="s">
        <v>83</v>
      </c>
      <c r="AA348" s="2">
        <v>500</v>
      </c>
      <c r="AB348" s="2" t="s">
        <v>83</v>
      </c>
      <c r="AC348" s="2" t="s">
        <v>83</v>
      </c>
      <c r="AD348" s="2" t="s">
        <v>83</v>
      </c>
      <c r="AE348" s="2" t="s">
        <v>83</v>
      </c>
      <c r="AF348" s="2" t="s">
        <v>83</v>
      </c>
      <c r="AG348" s="2" t="s">
        <v>83</v>
      </c>
      <c r="AH348" s="2" t="s">
        <v>83</v>
      </c>
      <c r="AI348" s="2" t="s">
        <v>83</v>
      </c>
      <c r="AJ348" s="2" t="s">
        <v>83</v>
      </c>
      <c r="AK348" s="2" t="s">
        <v>83</v>
      </c>
      <c r="AL348" s="2" t="s">
        <v>83</v>
      </c>
      <c r="AM348" s="2" t="s">
        <v>83</v>
      </c>
      <c r="AN348" s="2">
        <v>54614.54296875</v>
      </c>
      <c r="AO348" s="2">
        <v>62449.98828125</v>
      </c>
      <c r="AP348" s="2">
        <v>63752.828125</v>
      </c>
      <c r="AQ348" s="2">
        <v>61256.43359375</v>
      </c>
      <c r="AR348" s="2">
        <v>68298.1484375</v>
      </c>
      <c r="AS348" s="2" t="s">
        <v>83</v>
      </c>
      <c r="AT348" s="2" t="s">
        <v>83</v>
      </c>
      <c r="AU348" s="2" t="s">
        <v>83</v>
      </c>
      <c r="AV348" s="2" t="s">
        <v>83</v>
      </c>
      <c r="AW348" s="2" t="s">
        <v>83</v>
      </c>
      <c r="AX348" s="2" t="s">
        <v>83</v>
      </c>
      <c r="AY348" s="2" t="s">
        <v>83</v>
      </c>
      <c r="AZ348" s="2" t="s">
        <v>83</v>
      </c>
      <c r="BA348" s="2" t="s">
        <v>83</v>
      </c>
      <c r="BB348" s="2" t="s">
        <v>83</v>
      </c>
      <c r="BC348" s="2" t="s">
        <v>98</v>
      </c>
      <c r="BD348" s="2" t="s">
        <v>98</v>
      </c>
      <c r="BE348" s="2" t="s">
        <v>98</v>
      </c>
      <c r="BF348" s="2" t="s">
        <v>98</v>
      </c>
      <c r="BG348" s="2" t="s">
        <v>98</v>
      </c>
      <c r="BH348" s="2" t="s">
        <v>98</v>
      </c>
      <c r="BI348" s="2" t="s">
        <v>98</v>
      </c>
      <c r="BJ348" s="2" t="s">
        <v>98</v>
      </c>
      <c r="BK348" s="2" t="s">
        <v>98</v>
      </c>
      <c r="BL348" s="2" t="s">
        <v>98</v>
      </c>
      <c r="BM348" s="2" t="s">
        <v>79</v>
      </c>
      <c r="BN348" s="2" t="s">
        <v>79</v>
      </c>
      <c r="BO348" s="2" t="s">
        <v>79</v>
      </c>
      <c r="BP348" s="2" t="s">
        <v>79</v>
      </c>
      <c r="BQ348" s="2" t="s">
        <v>79</v>
      </c>
      <c r="BR348" s="2" t="s">
        <v>98</v>
      </c>
      <c r="BS348" s="2" t="s">
        <v>98</v>
      </c>
      <c r="BT348" s="2" t="s">
        <v>98</v>
      </c>
      <c r="BU348" s="2" t="s">
        <v>98</v>
      </c>
      <c r="BV348" s="2" t="s">
        <v>98</v>
      </c>
      <c r="BW348" s="2" t="s">
        <v>98</v>
      </c>
      <c r="BX348" s="2" t="s">
        <v>98</v>
      </c>
      <c r="BY348" s="2" t="s">
        <v>98</v>
      </c>
      <c r="BZ348" s="2" t="s">
        <v>98</v>
      </c>
      <c r="CA348" s="2" t="s">
        <v>98</v>
      </c>
      <c r="CB348" t="e">
        <f>TTEST(AS348:AW348,AI348:AM348,2,2)</f>
        <v>#DIV/0!</v>
      </c>
      <c r="CC348" t="e">
        <f>TTEST(AD348:AH348,AI348:AM348,2,2)</f>
        <v>#DIV/0!</v>
      </c>
      <c r="CD348" t="e">
        <f>TTEST(AN348:AR348,AI348:AM348,2,2)</f>
        <v>#DIV/0!</v>
      </c>
      <c r="CE348" t="e">
        <f>TTEST(AX348:BB348,AI348:AM348,2,2)</f>
        <v>#DIV/0!</v>
      </c>
      <c r="CF348">
        <v>324</v>
      </c>
      <c r="CG348">
        <v>338</v>
      </c>
      <c r="CH348">
        <v>342</v>
      </c>
      <c r="CI348">
        <v>345</v>
      </c>
      <c r="CJ348">
        <f>0.05*CF348/464</f>
        <v>3.4913793103448276E-2</v>
      </c>
      <c r="CK348">
        <f>0.05*CG348/464</f>
        <v>3.6422413793103452E-2</v>
      </c>
      <c r="CL348">
        <f>0.05*CH348/464</f>
        <v>3.6853448275862073E-2</v>
      </c>
      <c r="CM348">
        <f>0.05*CI348/464</f>
        <v>3.7176724137931036E-2</v>
      </c>
      <c r="CN348" t="e">
        <f>IF(CB348&lt;CJ348,"yes","no")</f>
        <v>#DIV/0!</v>
      </c>
      <c r="CO348" t="e">
        <f>IF(CC348&lt;CK348,"yes","no")</f>
        <v>#DIV/0!</v>
      </c>
      <c r="CP348" t="e">
        <f>IF(CD348&lt;CL348,"yes","no")</f>
        <v>#DIV/0!</v>
      </c>
      <c r="CQ348" t="e">
        <f>IF(CE348&lt;CM348,"yes","no")</f>
        <v>#DIV/0!</v>
      </c>
      <c r="CR348" t="e">
        <f>TTEST(AS348:AW348,AD348:AH348,2,2)</f>
        <v>#DIV/0!</v>
      </c>
      <c r="CS348" t="e">
        <f>TTEST(AS348:AW348,AN348:AR348,2,2)</f>
        <v>#DIV/0!</v>
      </c>
      <c r="CT348" t="e">
        <f>TTEST(AS348:AW348,AX348:BB348,2,2)</f>
        <v>#DIV/0!</v>
      </c>
      <c r="CU348">
        <v>342</v>
      </c>
      <c r="CV348">
        <v>345</v>
      </c>
      <c r="CW348">
        <v>347</v>
      </c>
      <c r="CX348">
        <f t="shared" si="15"/>
        <v>3.6853448275862073E-2</v>
      </c>
      <c r="CY348">
        <f t="shared" si="16"/>
        <v>3.7176724137931036E-2</v>
      </c>
      <c r="CZ348">
        <f t="shared" si="17"/>
        <v>3.7392241379310347E-2</v>
      </c>
      <c r="DA348" t="e">
        <f>IF(CR348&lt;CX348,"yes","no")</f>
        <v>#DIV/0!</v>
      </c>
      <c r="DB348" t="e">
        <f>IF(CS348&lt;CY348,"yes","no")</f>
        <v>#DIV/0!</v>
      </c>
      <c r="DC348" t="e">
        <f>IF(CT348&lt;CZ348,"yes","no")</f>
        <v>#DIV/0!</v>
      </c>
    </row>
    <row r="349" spans="1:107" x14ac:dyDescent="0.2">
      <c r="A349" s="2" t="b">
        <v>0</v>
      </c>
      <c r="B349" s="2" t="s">
        <v>79</v>
      </c>
      <c r="C349" s="2" t="s">
        <v>80</v>
      </c>
      <c r="D349" s="2" t="s">
        <v>994</v>
      </c>
      <c r="E349" s="2" t="s">
        <v>995</v>
      </c>
      <c r="F349" s="2">
        <v>2</v>
      </c>
      <c r="G349" s="2">
        <v>2</v>
      </c>
      <c r="H349" s="2">
        <v>51.9</v>
      </c>
      <c r="I349" s="2">
        <v>8.44</v>
      </c>
      <c r="J349" s="2" t="s">
        <v>588</v>
      </c>
      <c r="K349" s="2" t="s">
        <v>83</v>
      </c>
      <c r="L349" s="2" t="s">
        <v>119</v>
      </c>
      <c r="M349" s="2" t="s">
        <v>83</v>
      </c>
      <c r="N349" s="2" t="s">
        <v>996</v>
      </c>
      <c r="O349" s="2">
        <v>0.01</v>
      </c>
      <c r="P349" s="2">
        <v>0.01</v>
      </c>
      <c r="Q349" s="2">
        <v>0.01</v>
      </c>
      <c r="R349" s="2">
        <v>100</v>
      </c>
      <c r="S349" s="2" t="s">
        <v>83</v>
      </c>
      <c r="T349" s="2" t="s">
        <v>83</v>
      </c>
      <c r="U349" s="2" t="s">
        <v>83</v>
      </c>
      <c r="V349" s="2" t="s">
        <v>83</v>
      </c>
      <c r="W349" s="2" t="s">
        <v>83</v>
      </c>
      <c r="X349" s="2" t="s">
        <v>83</v>
      </c>
      <c r="Y349" s="2">
        <v>500</v>
      </c>
      <c r="Z349" s="2" t="s">
        <v>83</v>
      </c>
      <c r="AA349" s="2" t="s">
        <v>83</v>
      </c>
      <c r="AB349" s="2" t="s">
        <v>83</v>
      </c>
      <c r="AC349" s="2" t="s">
        <v>83</v>
      </c>
      <c r="AD349" s="2">
        <v>382366.234375</v>
      </c>
      <c r="AE349" s="2">
        <v>343679.015625</v>
      </c>
      <c r="AF349" s="2">
        <v>316524.0703125</v>
      </c>
      <c r="AG349" s="2">
        <v>287786.265625</v>
      </c>
      <c r="AH349" s="2">
        <v>249456.8515625</v>
      </c>
      <c r="AI349" s="2" t="s">
        <v>83</v>
      </c>
      <c r="AJ349" s="2" t="s">
        <v>83</v>
      </c>
      <c r="AK349" s="2" t="s">
        <v>83</v>
      </c>
      <c r="AL349" s="2" t="s">
        <v>83</v>
      </c>
      <c r="AM349" s="2" t="s">
        <v>83</v>
      </c>
      <c r="AN349" s="2" t="s">
        <v>83</v>
      </c>
      <c r="AO349" s="2" t="s">
        <v>83</v>
      </c>
      <c r="AP349" s="2" t="s">
        <v>83</v>
      </c>
      <c r="AQ349" s="2" t="s">
        <v>83</v>
      </c>
      <c r="AR349" s="2" t="s">
        <v>83</v>
      </c>
      <c r="AS349" s="2" t="s">
        <v>83</v>
      </c>
      <c r="AT349" s="2" t="s">
        <v>83</v>
      </c>
      <c r="AU349" s="2" t="s">
        <v>83</v>
      </c>
      <c r="AV349" s="2" t="s">
        <v>83</v>
      </c>
      <c r="AW349" s="2" t="s">
        <v>83</v>
      </c>
      <c r="AX349" s="2" t="s">
        <v>83</v>
      </c>
      <c r="AY349" s="2" t="s">
        <v>83</v>
      </c>
      <c r="AZ349" s="2" t="s">
        <v>83</v>
      </c>
      <c r="BA349" s="2" t="s">
        <v>83</v>
      </c>
      <c r="BB349" s="2" t="s">
        <v>83</v>
      </c>
      <c r="BC349" s="2" t="s">
        <v>79</v>
      </c>
      <c r="BD349" s="2" t="s">
        <v>79</v>
      </c>
      <c r="BE349" s="2" t="s">
        <v>79</v>
      </c>
      <c r="BF349" s="2" t="s">
        <v>79</v>
      </c>
      <c r="BG349" s="2" t="s">
        <v>79</v>
      </c>
      <c r="BH349" s="2" t="s">
        <v>98</v>
      </c>
      <c r="BI349" s="2" t="s">
        <v>98</v>
      </c>
      <c r="BJ349" s="2" t="s">
        <v>98</v>
      </c>
      <c r="BK349" s="2" t="s">
        <v>98</v>
      </c>
      <c r="BL349" s="2" t="s">
        <v>98</v>
      </c>
      <c r="BM349" s="2" t="s">
        <v>98</v>
      </c>
      <c r="BN349" s="2" t="s">
        <v>98</v>
      </c>
      <c r="BO349" s="2" t="s">
        <v>98</v>
      </c>
      <c r="BP349" s="2" t="s">
        <v>98</v>
      </c>
      <c r="BQ349" s="2" t="s">
        <v>98</v>
      </c>
      <c r="BR349" s="2" t="s">
        <v>98</v>
      </c>
      <c r="BS349" s="2" t="s">
        <v>98</v>
      </c>
      <c r="BT349" s="2" t="s">
        <v>98</v>
      </c>
      <c r="BU349" s="2" t="s">
        <v>98</v>
      </c>
      <c r="BV349" s="2" t="s">
        <v>98</v>
      </c>
      <c r="BW349" s="2" t="s">
        <v>98</v>
      </c>
      <c r="BX349" s="2" t="s">
        <v>98</v>
      </c>
      <c r="BY349" s="2" t="s">
        <v>98</v>
      </c>
      <c r="BZ349" s="2" t="s">
        <v>98</v>
      </c>
      <c r="CA349" s="2" t="s">
        <v>98</v>
      </c>
      <c r="CB349" t="e">
        <f>TTEST(AS349:AW349,AI349:AM349,2,2)</f>
        <v>#DIV/0!</v>
      </c>
      <c r="CC349" t="e">
        <f>TTEST(AD349:AH349,AI349:AM349,2,2)</f>
        <v>#DIV/0!</v>
      </c>
      <c r="CD349" t="e">
        <f>TTEST(AN349:AR349,AI349:AM349,2,2)</f>
        <v>#DIV/0!</v>
      </c>
      <c r="CE349" t="e">
        <f>TTEST(AX349:BB349,AI349:AM349,2,2)</f>
        <v>#DIV/0!</v>
      </c>
      <c r="CF349">
        <v>325</v>
      </c>
      <c r="CG349">
        <v>339</v>
      </c>
      <c r="CH349">
        <v>343</v>
      </c>
      <c r="CI349">
        <v>346</v>
      </c>
      <c r="CJ349">
        <f>0.05*CF349/464</f>
        <v>3.5021551724137928E-2</v>
      </c>
      <c r="CK349">
        <f>0.05*CG349/464</f>
        <v>3.6530172413793104E-2</v>
      </c>
      <c r="CL349">
        <f>0.05*CH349/464</f>
        <v>3.6961206896551732E-2</v>
      </c>
      <c r="CM349">
        <f>0.05*CI349/464</f>
        <v>3.7284482758620688E-2</v>
      </c>
      <c r="CN349" t="e">
        <f>IF(CB349&lt;CJ349,"yes","no")</f>
        <v>#DIV/0!</v>
      </c>
      <c r="CO349" t="e">
        <f>IF(CC349&lt;CK349,"yes","no")</f>
        <v>#DIV/0!</v>
      </c>
      <c r="CP349" t="e">
        <f>IF(CD349&lt;CL349,"yes","no")</f>
        <v>#DIV/0!</v>
      </c>
      <c r="CQ349" t="e">
        <f>IF(CE349&lt;CM349,"yes","no")</f>
        <v>#DIV/0!</v>
      </c>
      <c r="CR349" t="e">
        <f>TTEST(AS349:AW349,AD349:AH349,2,2)</f>
        <v>#DIV/0!</v>
      </c>
      <c r="CS349" t="e">
        <f>TTEST(AS349:AW349,AN349:AR349,2,2)</f>
        <v>#DIV/0!</v>
      </c>
      <c r="CT349" t="e">
        <f>TTEST(AS349:AW349,AX349:BB349,2,2)</f>
        <v>#DIV/0!</v>
      </c>
      <c r="CU349">
        <v>343</v>
      </c>
      <c r="CV349">
        <v>346</v>
      </c>
      <c r="CW349">
        <v>348</v>
      </c>
      <c r="CX349">
        <f t="shared" si="15"/>
        <v>3.6961206896551732E-2</v>
      </c>
      <c r="CY349">
        <f t="shared" si="16"/>
        <v>3.7284482758620688E-2</v>
      </c>
      <c r="CZ349">
        <f t="shared" si="17"/>
        <v>3.7500000000000006E-2</v>
      </c>
      <c r="DA349" t="e">
        <f>IF(CR349&lt;CX349,"yes","no")</f>
        <v>#DIV/0!</v>
      </c>
      <c r="DB349" t="e">
        <f>IF(CS349&lt;CY349,"yes","no")</f>
        <v>#DIV/0!</v>
      </c>
      <c r="DC349" t="e">
        <f>IF(CT349&lt;CZ349,"yes","no")</f>
        <v>#DIV/0!</v>
      </c>
    </row>
    <row r="350" spans="1:107" x14ac:dyDescent="0.2">
      <c r="A350" s="2" t="b">
        <v>0</v>
      </c>
      <c r="B350" s="2" t="s">
        <v>79</v>
      </c>
      <c r="C350" s="2" t="s">
        <v>80</v>
      </c>
      <c r="D350" s="2" t="s">
        <v>1012</v>
      </c>
      <c r="E350" s="2" t="s">
        <v>1013</v>
      </c>
      <c r="F350" s="2">
        <v>2</v>
      </c>
      <c r="G350" s="2">
        <v>2</v>
      </c>
      <c r="H350" s="2">
        <v>51.1</v>
      </c>
      <c r="I350" s="2">
        <v>7.77</v>
      </c>
      <c r="J350" s="2" t="s">
        <v>135</v>
      </c>
      <c r="K350" s="2" t="s">
        <v>1014</v>
      </c>
      <c r="L350" s="2" t="s">
        <v>119</v>
      </c>
      <c r="M350" s="2" t="s">
        <v>1015</v>
      </c>
      <c r="N350" s="2" t="s">
        <v>1012</v>
      </c>
      <c r="O350" s="2">
        <v>2.0699999999999998</v>
      </c>
      <c r="P350" s="2">
        <v>0.01</v>
      </c>
      <c r="Q350" s="2">
        <v>0.01</v>
      </c>
      <c r="R350" s="2">
        <v>100</v>
      </c>
      <c r="S350" s="2">
        <v>100</v>
      </c>
      <c r="T350" s="2" t="s">
        <v>83</v>
      </c>
      <c r="U350" s="2" t="s">
        <v>83</v>
      </c>
      <c r="V350" s="2">
        <v>0.01</v>
      </c>
      <c r="W350" s="2">
        <v>0.01</v>
      </c>
      <c r="X350" s="2" t="s">
        <v>83</v>
      </c>
      <c r="Y350" s="2">
        <v>27.3</v>
      </c>
      <c r="Z350" s="2" t="s">
        <v>83</v>
      </c>
      <c r="AA350" s="2">
        <v>472.7</v>
      </c>
      <c r="AB350" s="2" t="s">
        <v>83</v>
      </c>
      <c r="AC350" s="2" t="s">
        <v>83</v>
      </c>
      <c r="AD350" s="2">
        <v>55105.7421875</v>
      </c>
      <c r="AE350" s="2" t="s">
        <v>83</v>
      </c>
      <c r="AF350" s="2">
        <v>23735.52734375</v>
      </c>
      <c r="AG350" s="2">
        <v>679359.953125</v>
      </c>
      <c r="AH350" s="2" t="s">
        <v>83</v>
      </c>
      <c r="AI350" s="2" t="s">
        <v>83</v>
      </c>
      <c r="AJ350" s="2" t="s">
        <v>83</v>
      </c>
      <c r="AK350" s="2" t="s">
        <v>83</v>
      </c>
      <c r="AL350" s="2" t="s">
        <v>83</v>
      </c>
      <c r="AM350" s="2" t="s">
        <v>83</v>
      </c>
      <c r="AN350" s="2" t="s">
        <v>83</v>
      </c>
      <c r="AO350" s="2">
        <v>12665.9287109375</v>
      </c>
      <c r="AP350" s="2" t="s">
        <v>83</v>
      </c>
      <c r="AQ350" s="2">
        <v>14914.755859375</v>
      </c>
      <c r="AR350" s="2">
        <v>26386.61328125</v>
      </c>
      <c r="AS350" s="2" t="s">
        <v>83</v>
      </c>
      <c r="AT350" s="2" t="s">
        <v>83</v>
      </c>
      <c r="AU350" s="2" t="s">
        <v>83</v>
      </c>
      <c r="AV350" s="2" t="s">
        <v>83</v>
      </c>
      <c r="AW350" s="2" t="s">
        <v>83</v>
      </c>
      <c r="AX350" s="2" t="s">
        <v>83</v>
      </c>
      <c r="AY350" s="2" t="s">
        <v>83</v>
      </c>
      <c r="AZ350" s="2" t="s">
        <v>83</v>
      </c>
      <c r="BA350" s="2" t="s">
        <v>83</v>
      </c>
      <c r="BB350" s="2" t="s">
        <v>83</v>
      </c>
      <c r="BC350" s="2" t="s">
        <v>79</v>
      </c>
      <c r="BD350" s="2" t="s">
        <v>98</v>
      </c>
      <c r="BE350" s="2" t="s">
        <v>91</v>
      </c>
      <c r="BF350" s="2" t="s">
        <v>79</v>
      </c>
      <c r="BG350" s="2" t="s">
        <v>98</v>
      </c>
      <c r="BH350" s="2" t="s">
        <v>98</v>
      </c>
      <c r="BI350" s="2" t="s">
        <v>98</v>
      </c>
      <c r="BJ350" s="2" t="s">
        <v>98</v>
      </c>
      <c r="BK350" s="2" t="s">
        <v>98</v>
      </c>
      <c r="BL350" s="2" t="s">
        <v>98</v>
      </c>
      <c r="BM350" s="2" t="s">
        <v>98</v>
      </c>
      <c r="BN350" s="2" t="s">
        <v>91</v>
      </c>
      <c r="BO350" s="2" t="s">
        <v>98</v>
      </c>
      <c r="BP350" s="2" t="s">
        <v>91</v>
      </c>
      <c r="BQ350" s="2" t="s">
        <v>91</v>
      </c>
      <c r="BR350" s="2" t="s">
        <v>98</v>
      </c>
      <c r="BS350" s="2" t="s">
        <v>98</v>
      </c>
      <c r="BT350" s="2" t="s">
        <v>98</v>
      </c>
      <c r="BU350" s="2" t="s">
        <v>98</v>
      </c>
      <c r="BV350" s="2" t="s">
        <v>98</v>
      </c>
      <c r="BW350" s="2" t="s">
        <v>98</v>
      </c>
      <c r="BX350" s="2" t="s">
        <v>98</v>
      </c>
      <c r="BY350" s="2" t="s">
        <v>98</v>
      </c>
      <c r="BZ350" s="2" t="s">
        <v>98</v>
      </c>
      <c r="CA350" s="2" t="s">
        <v>98</v>
      </c>
      <c r="CB350" t="e">
        <f>TTEST(AS350:AW350,AI350:AM350,2,2)</f>
        <v>#DIV/0!</v>
      </c>
      <c r="CC350" t="e">
        <f>TTEST(AD350:AH350,AI350:AM350,2,2)</f>
        <v>#DIV/0!</v>
      </c>
      <c r="CD350" t="e">
        <f>TTEST(AN350:AR350,AI350:AM350,2,2)</f>
        <v>#DIV/0!</v>
      </c>
      <c r="CE350" t="e">
        <f>TTEST(AX350:BB350,AI350:AM350,2,2)</f>
        <v>#DIV/0!</v>
      </c>
      <c r="CF350">
        <v>326</v>
      </c>
      <c r="CG350">
        <v>340</v>
      </c>
      <c r="CH350">
        <v>344</v>
      </c>
      <c r="CI350">
        <v>347</v>
      </c>
      <c r="CJ350">
        <f>0.05*CF350/464</f>
        <v>3.5129310344827587E-2</v>
      </c>
      <c r="CK350">
        <f>0.05*CG350/464</f>
        <v>3.6637931034482756E-2</v>
      </c>
      <c r="CL350">
        <f>0.05*CH350/464</f>
        <v>3.7068965517241377E-2</v>
      </c>
      <c r="CM350">
        <f>0.05*CI350/464</f>
        <v>3.7392241379310347E-2</v>
      </c>
      <c r="CN350" t="e">
        <f>IF(CB350&lt;CJ350,"yes","no")</f>
        <v>#DIV/0!</v>
      </c>
      <c r="CO350" t="e">
        <f>IF(CC350&lt;CK350,"yes","no")</f>
        <v>#DIV/0!</v>
      </c>
      <c r="CP350" t="e">
        <f>IF(CD350&lt;CL350,"yes","no")</f>
        <v>#DIV/0!</v>
      </c>
      <c r="CQ350" t="e">
        <f>IF(CE350&lt;CM350,"yes","no")</f>
        <v>#DIV/0!</v>
      </c>
      <c r="CR350" t="e">
        <f>TTEST(AS350:AW350,AD350:AH350,2,2)</f>
        <v>#DIV/0!</v>
      </c>
      <c r="CS350" t="e">
        <f>TTEST(AS350:AW350,AN350:AR350,2,2)</f>
        <v>#DIV/0!</v>
      </c>
      <c r="CT350" t="e">
        <f>TTEST(AS350:AW350,AX350:BB350,2,2)</f>
        <v>#DIV/0!</v>
      </c>
      <c r="CU350">
        <v>344</v>
      </c>
      <c r="CV350">
        <v>347</v>
      </c>
      <c r="CW350">
        <v>349</v>
      </c>
      <c r="CX350">
        <f t="shared" si="15"/>
        <v>3.7068965517241377E-2</v>
      </c>
      <c r="CY350">
        <f t="shared" si="16"/>
        <v>3.7392241379310347E-2</v>
      </c>
      <c r="CZ350">
        <f t="shared" si="17"/>
        <v>3.7607758620689651E-2</v>
      </c>
      <c r="DA350" t="e">
        <f>IF(CR350&lt;CX350,"yes","no")</f>
        <v>#DIV/0!</v>
      </c>
      <c r="DB350" t="e">
        <f>IF(CS350&lt;CY350,"yes","no")</f>
        <v>#DIV/0!</v>
      </c>
      <c r="DC350" t="e">
        <f>IF(CT350&lt;CZ350,"yes","no")</f>
        <v>#DIV/0!</v>
      </c>
    </row>
    <row r="351" spans="1:107" x14ac:dyDescent="0.2">
      <c r="A351" s="2" t="b">
        <v>0</v>
      </c>
      <c r="B351" s="2" t="s">
        <v>79</v>
      </c>
      <c r="C351" s="2" t="s">
        <v>80</v>
      </c>
      <c r="D351" s="2" t="s">
        <v>1040</v>
      </c>
      <c r="E351" s="2" t="s">
        <v>946</v>
      </c>
      <c r="F351" s="2">
        <v>1</v>
      </c>
      <c r="G351" s="2">
        <v>1</v>
      </c>
      <c r="H351" s="2">
        <v>18</v>
      </c>
      <c r="I351" s="2">
        <v>5.72</v>
      </c>
      <c r="J351" s="2" t="s">
        <v>83</v>
      </c>
      <c r="K351" s="2" t="s">
        <v>83</v>
      </c>
      <c r="L351" s="2" t="s">
        <v>83</v>
      </c>
      <c r="M351" s="2" t="s">
        <v>83</v>
      </c>
      <c r="N351" s="2" t="s">
        <v>1040</v>
      </c>
      <c r="O351" s="2" t="s">
        <v>83</v>
      </c>
      <c r="P351" s="2" t="s">
        <v>83</v>
      </c>
      <c r="Q351" s="2" t="s">
        <v>83</v>
      </c>
      <c r="R351" s="2" t="s">
        <v>83</v>
      </c>
      <c r="S351" s="2" t="s">
        <v>83</v>
      </c>
      <c r="T351" s="2" t="s">
        <v>83</v>
      </c>
      <c r="U351" s="2" t="s">
        <v>83</v>
      </c>
      <c r="V351" s="2" t="s">
        <v>83</v>
      </c>
      <c r="W351" s="2" t="s">
        <v>83</v>
      </c>
      <c r="X351" s="2" t="s">
        <v>83</v>
      </c>
      <c r="Y351" s="2" t="s">
        <v>83</v>
      </c>
      <c r="Z351" s="2" t="s">
        <v>83</v>
      </c>
      <c r="AA351" s="2" t="s">
        <v>83</v>
      </c>
      <c r="AB351" s="2" t="s">
        <v>83</v>
      </c>
      <c r="AC351" s="2" t="s">
        <v>83</v>
      </c>
      <c r="AD351" s="2" t="s">
        <v>83</v>
      </c>
      <c r="AE351" s="2" t="s">
        <v>83</v>
      </c>
      <c r="AF351" s="2" t="s">
        <v>83</v>
      </c>
      <c r="AG351" s="2" t="s">
        <v>83</v>
      </c>
      <c r="AH351" s="2" t="s">
        <v>83</v>
      </c>
      <c r="AI351" s="2" t="s">
        <v>83</v>
      </c>
      <c r="AJ351" s="2" t="s">
        <v>83</v>
      </c>
      <c r="AK351" s="2" t="s">
        <v>83</v>
      </c>
      <c r="AL351" s="2" t="s">
        <v>83</v>
      </c>
      <c r="AM351" s="2" t="s">
        <v>83</v>
      </c>
      <c r="AN351" s="2" t="s">
        <v>83</v>
      </c>
      <c r="AO351" s="2" t="s">
        <v>83</v>
      </c>
      <c r="AP351" s="2" t="s">
        <v>83</v>
      </c>
      <c r="AQ351" s="2" t="s">
        <v>83</v>
      </c>
      <c r="AR351" s="2" t="s">
        <v>83</v>
      </c>
      <c r="AS351" s="2" t="s">
        <v>83</v>
      </c>
      <c r="AT351" s="2" t="s">
        <v>83</v>
      </c>
      <c r="AU351" s="2" t="s">
        <v>83</v>
      </c>
      <c r="AV351" s="2" t="s">
        <v>83</v>
      </c>
      <c r="AW351" s="2" t="s">
        <v>83</v>
      </c>
      <c r="AX351" s="2" t="s">
        <v>83</v>
      </c>
      <c r="AY351" s="2" t="s">
        <v>83</v>
      </c>
      <c r="AZ351" s="2" t="s">
        <v>83</v>
      </c>
      <c r="BA351" s="2" t="s">
        <v>83</v>
      </c>
      <c r="BB351" s="2" t="s">
        <v>83</v>
      </c>
      <c r="BC351" s="2" t="s">
        <v>79</v>
      </c>
      <c r="BD351" s="2" t="s">
        <v>79</v>
      </c>
      <c r="BE351" s="2" t="s">
        <v>79</v>
      </c>
      <c r="BF351" s="2" t="s">
        <v>79</v>
      </c>
      <c r="BG351" s="2" t="s">
        <v>79</v>
      </c>
      <c r="BH351" s="2" t="s">
        <v>91</v>
      </c>
      <c r="BI351" s="2" t="s">
        <v>98</v>
      </c>
      <c r="BJ351" s="2" t="s">
        <v>98</v>
      </c>
      <c r="BK351" s="2" t="s">
        <v>91</v>
      </c>
      <c r="BL351" s="2" t="s">
        <v>91</v>
      </c>
      <c r="BM351" s="2" t="s">
        <v>98</v>
      </c>
      <c r="BN351" s="2" t="s">
        <v>98</v>
      </c>
      <c r="BO351" s="2" t="s">
        <v>91</v>
      </c>
      <c r="BP351" s="2" t="s">
        <v>98</v>
      </c>
      <c r="BQ351" s="2" t="s">
        <v>98</v>
      </c>
      <c r="BR351" s="2" t="s">
        <v>91</v>
      </c>
      <c r="BS351" s="2" t="s">
        <v>98</v>
      </c>
      <c r="BT351" s="2" t="s">
        <v>79</v>
      </c>
      <c r="BU351" s="2" t="s">
        <v>79</v>
      </c>
      <c r="BV351" s="2" t="s">
        <v>98</v>
      </c>
      <c r="BW351" s="2" t="s">
        <v>98</v>
      </c>
      <c r="BX351" s="2" t="s">
        <v>98</v>
      </c>
      <c r="BY351" s="2" t="s">
        <v>98</v>
      </c>
      <c r="BZ351" s="2" t="s">
        <v>98</v>
      </c>
      <c r="CA351" s="2" t="s">
        <v>98</v>
      </c>
      <c r="CB351" t="e">
        <f>TTEST(AS351:AW351,AI351:AM351,2,2)</f>
        <v>#DIV/0!</v>
      </c>
      <c r="CC351" t="e">
        <f>TTEST(AD351:AH351,AI351:AM351,2,2)</f>
        <v>#DIV/0!</v>
      </c>
      <c r="CD351" t="e">
        <f>TTEST(AN351:AR351,AI351:AM351,2,2)</f>
        <v>#DIV/0!</v>
      </c>
      <c r="CE351" t="e">
        <f>TTEST(AX351:BB351,AI351:AM351,2,2)</f>
        <v>#DIV/0!</v>
      </c>
      <c r="CF351">
        <v>327</v>
      </c>
      <c r="CG351">
        <v>341</v>
      </c>
      <c r="CH351">
        <v>345</v>
      </c>
      <c r="CI351">
        <v>348</v>
      </c>
      <c r="CJ351">
        <f>0.05*CF351/464</f>
        <v>3.5237068965517246E-2</v>
      </c>
      <c r="CK351">
        <f>0.05*CG351/464</f>
        <v>3.6745689655172414E-2</v>
      </c>
      <c r="CL351">
        <f>0.05*CH351/464</f>
        <v>3.7176724137931036E-2</v>
      </c>
      <c r="CM351">
        <f>0.05*CI351/464</f>
        <v>3.7500000000000006E-2</v>
      </c>
      <c r="CN351" t="e">
        <f>IF(CB351&lt;CJ351,"yes","no")</f>
        <v>#DIV/0!</v>
      </c>
      <c r="CO351" t="e">
        <f>IF(CC351&lt;CK351,"yes","no")</f>
        <v>#DIV/0!</v>
      </c>
      <c r="CP351" t="e">
        <f>IF(CD351&lt;CL351,"yes","no")</f>
        <v>#DIV/0!</v>
      </c>
      <c r="CQ351" t="e">
        <f>IF(CE351&lt;CM351,"yes","no")</f>
        <v>#DIV/0!</v>
      </c>
      <c r="CR351" t="e">
        <f>TTEST(AS351:AW351,AD351:AH351,2,2)</f>
        <v>#DIV/0!</v>
      </c>
      <c r="CS351" t="e">
        <f>TTEST(AS351:AW351,AN351:AR351,2,2)</f>
        <v>#DIV/0!</v>
      </c>
      <c r="CT351" t="e">
        <f>TTEST(AS351:AW351,AX351:BB351,2,2)</f>
        <v>#DIV/0!</v>
      </c>
      <c r="CU351">
        <v>345</v>
      </c>
      <c r="CV351">
        <v>348</v>
      </c>
      <c r="CW351">
        <v>350</v>
      </c>
      <c r="CX351">
        <f t="shared" si="15"/>
        <v>3.7176724137931036E-2</v>
      </c>
      <c r="CY351">
        <f t="shared" si="16"/>
        <v>3.7500000000000006E-2</v>
      </c>
      <c r="CZ351">
        <f t="shared" si="17"/>
        <v>3.7715517241379309E-2</v>
      </c>
      <c r="DA351" t="e">
        <f>IF(CR351&lt;CX351,"yes","no")</f>
        <v>#DIV/0!</v>
      </c>
      <c r="DB351" t="e">
        <f>IF(CS351&lt;CY351,"yes","no")</f>
        <v>#DIV/0!</v>
      </c>
      <c r="DC351" t="e">
        <f>IF(CT351&lt;CZ351,"yes","no")</f>
        <v>#DIV/0!</v>
      </c>
    </row>
    <row r="352" spans="1:107" x14ac:dyDescent="0.2">
      <c r="A352" s="2" t="b">
        <v>0</v>
      </c>
      <c r="B352" s="2" t="s">
        <v>79</v>
      </c>
      <c r="C352" s="2" t="s">
        <v>80</v>
      </c>
      <c r="D352" s="2" t="s">
        <v>1055</v>
      </c>
      <c r="E352" s="2" t="s">
        <v>1056</v>
      </c>
      <c r="F352" s="2">
        <v>3</v>
      </c>
      <c r="G352" s="2">
        <v>2</v>
      </c>
      <c r="H352" s="2">
        <v>46.8</v>
      </c>
      <c r="I352" s="2">
        <v>5.66</v>
      </c>
      <c r="J352" s="2" t="s">
        <v>83</v>
      </c>
      <c r="K352" s="2" t="s">
        <v>84</v>
      </c>
      <c r="L352" s="2" t="s">
        <v>85</v>
      </c>
      <c r="M352" s="2" t="s">
        <v>1057</v>
      </c>
      <c r="N352" s="2" t="s">
        <v>1058</v>
      </c>
      <c r="O352" s="2">
        <v>3.2770000000000001</v>
      </c>
      <c r="P352" s="2">
        <v>0.01</v>
      </c>
      <c r="Q352" s="2">
        <v>0.01</v>
      </c>
      <c r="R352" s="2">
        <v>100</v>
      </c>
      <c r="S352" s="2">
        <v>100</v>
      </c>
      <c r="T352" s="2" t="s">
        <v>83</v>
      </c>
      <c r="U352" s="2" t="s">
        <v>83</v>
      </c>
      <c r="V352" s="2">
        <v>0.01</v>
      </c>
      <c r="W352" s="2">
        <v>0.01</v>
      </c>
      <c r="X352" s="2" t="s">
        <v>83</v>
      </c>
      <c r="Y352" s="2">
        <v>116.9</v>
      </c>
      <c r="Z352" s="2" t="s">
        <v>83</v>
      </c>
      <c r="AA352" s="2">
        <v>383.1</v>
      </c>
      <c r="AB352" s="2" t="s">
        <v>83</v>
      </c>
      <c r="AC352" s="2" t="s">
        <v>83</v>
      </c>
      <c r="AD352" s="2">
        <v>72554.5546875</v>
      </c>
      <c r="AE352" s="2" t="s">
        <v>83</v>
      </c>
      <c r="AF352" s="2" t="s">
        <v>83</v>
      </c>
      <c r="AG352" s="2">
        <v>276457</v>
      </c>
      <c r="AH352" s="2" t="s">
        <v>83</v>
      </c>
      <c r="AI352" s="2" t="s">
        <v>83</v>
      </c>
      <c r="AJ352" s="2" t="s">
        <v>83</v>
      </c>
      <c r="AK352" s="2" t="s">
        <v>83</v>
      </c>
      <c r="AL352" s="2" t="s">
        <v>83</v>
      </c>
      <c r="AM352" s="2" t="s">
        <v>83</v>
      </c>
      <c r="AN352" s="2" t="s">
        <v>83</v>
      </c>
      <c r="AO352" s="2" t="s">
        <v>83</v>
      </c>
      <c r="AP352" s="2" t="s">
        <v>83</v>
      </c>
      <c r="AQ352" s="2" t="s">
        <v>83</v>
      </c>
      <c r="AR352" s="2">
        <v>10280.6650390625</v>
      </c>
      <c r="AS352" s="2" t="s">
        <v>83</v>
      </c>
      <c r="AT352" s="2" t="s">
        <v>83</v>
      </c>
      <c r="AU352" s="2" t="s">
        <v>83</v>
      </c>
      <c r="AV352" s="2" t="s">
        <v>83</v>
      </c>
      <c r="AW352" s="2" t="s">
        <v>83</v>
      </c>
      <c r="AX352" s="2" t="s">
        <v>83</v>
      </c>
      <c r="AY352" s="2" t="s">
        <v>83</v>
      </c>
      <c r="AZ352" s="2" t="s">
        <v>83</v>
      </c>
      <c r="BA352" s="2" t="s">
        <v>83</v>
      </c>
      <c r="BB352" s="2" t="s">
        <v>83</v>
      </c>
      <c r="BC352" s="2" t="s">
        <v>79</v>
      </c>
      <c r="BD352" s="2" t="s">
        <v>98</v>
      </c>
      <c r="BE352" s="2" t="s">
        <v>79</v>
      </c>
      <c r="BF352" s="2" t="s">
        <v>79</v>
      </c>
      <c r="BG352" s="2" t="s">
        <v>79</v>
      </c>
      <c r="BH352" s="2" t="s">
        <v>98</v>
      </c>
      <c r="BI352" s="2" t="s">
        <v>98</v>
      </c>
      <c r="BJ352" s="2" t="s">
        <v>98</v>
      </c>
      <c r="BK352" s="2" t="s">
        <v>98</v>
      </c>
      <c r="BL352" s="2" t="s">
        <v>98</v>
      </c>
      <c r="BM352" s="2" t="s">
        <v>98</v>
      </c>
      <c r="BN352" s="2" t="s">
        <v>98</v>
      </c>
      <c r="BO352" s="2" t="s">
        <v>98</v>
      </c>
      <c r="BP352" s="2" t="s">
        <v>98</v>
      </c>
      <c r="BQ352" s="2" t="s">
        <v>91</v>
      </c>
      <c r="BR352" s="2" t="s">
        <v>98</v>
      </c>
      <c r="BS352" s="2" t="s">
        <v>98</v>
      </c>
      <c r="BT352" s="2" t="s">
        <v>98</v>
      </c>
      <c r="BU352" s="2" t="s">
        <v>98</v>
      </c>
      <c r="BV352" s="2" t="s">
        <v>98</v>
      </c>
      <c r="BW352" s="2" t="s">
        <v>98</v>
      </c>
      <c r="BX352" s="2" t="s">
        <v>98</v>
      </c>
      <c r="BY352" s="2" t="s">
        <v>98</v>
      </c>
      <c r="BZ352" s="2" t="s">
        <v>98</v>
      </c>
      <c r="CA352" s="2" t="s">
        <v>98</v>
      </c>
      <c r="CB352" t="e">
        <f>TTEST(AS352:AW352,AI352:AM352,2,2)</f>
        <v>#DIV/0!</v>
      </c>
      <c r="CC352" t="e">
        <f>TTEST(AD352:AH352,AI352:AM352,2,2)</f>
        <v>#DIV/0!</v>
      </c>
      <c r="CD352" t="e">
        <f>TTEST(AN352:AR352,AI352:AM352,2,2)</f>
        <v>#DIV/0!</v>
      </c>
      <c r="CE352" t="e">
        <f>TTEST(AX352:BB352,AI352:AM352,2,2)</f>
        <v>#DIV/0!</v>
      </c>
      <c r="CF352">
        <v>328</v>
      </c>
      <c r="CG352">
        <v>342</v>
      </c>
      <c r="CH352">
        <v>346</v>
      </c>
      <c r="CI352">
        <v>349</v>
      </c>
      <c r="CJ352">
        <f>0.05*CF352/464</f>
        <v>3.5344827586206898E-2</v>
      </c>
      <c r="CK352">
        <f>0.05*CG352/464</f>
        <v>3.6853448275862073E-2</v>
      </c>
      <c r="CL352">
        <f>0.05*CH352/464</f>
        <v>3.7284482758620688E-2</v>
      </c>
      <c r="CM352">
        <f>0.05*CI352/464</f>
        <v>3.7607758620689651E-2</v>
      </c>
      <c r="CN352" t="e">
        <f>IF(CB352&lt;CJ352,"yes","no")</f>
        <v>#DIV/0!</v>
      </c>
      <c r="CO352" t="e">
        <f>IF(CC352&lt;CK352,"yes","no")</f>
        <v>#DIV/0!</v>
      </c>
      <c r="CP352" t="e">
        <f>IF(CD352&lt;CL352,"yes","no")</f>
        <v>#DIV/0!</v>
      </c>
      <c r="CQ352" t="e">
        <f>IF(CE352&lt;CM352,"yes","no")</f>
        <v>#DIV/0!</v>
      </c>
      <c r="CR352" t="e">
        <f>TTEST(AS352:AW352,AD352:AH352,2,2)</f>
        <v>#DIV/0!</v>
      </c>
      <c r="CS352" t="e">
        <f>TTEST(AS352:AW352,AN352:AR352,2,2)</f>
        <v>#DIV/0!</v>
      </c>
      <c r="CT352" t="e">
        <f>TTEST(AS352:AW352,AX352:BB352,2,2)</f>
        <v>#DIV/0!</v>
      </c>
      <c r="CU352">
        <v>346</v>
      </c>
      <c r="CV352">
        <v>349</v>
      </c>
      <c r="CW352">
        <v>351</v>
      </c>
      <c r="CX352">
        <f t="shared" si="15"/>
        <v>3.7284482758620688E-2</v>
      </c>
      <c r="CY352">
        <f t="shared" si="16"/>
        <v>3.7607758620689651E-2</v>
      </c>
      <c r="CZ352">
        <f t="shared" si="17"/>
        <v>3.7823275862068968E-2</v>
      </c>
      <c r="DA352" t="e">
        <f>IF(CR352&lt;CX352,"yes","no")</f>
        <v>#DIV/0!</v>
      </c>
      <c r="DB352" t="e">
        <f>IF(CS352&lt;CY352,"yes","no")</f>
        <v>#DIV/0!</v>
      </c>
      <c r="DC352" t="e">
        <f>IF(CT352&lt;CZ352,"yes","no")</f>
        <v>#DIV/0!</v>
      </c>
    </row>
    <row r="353" spans="1:107" x14ac:dyDescent="0.2">
      <c r="A353" s="2" t="b">
        <v>0</v>
      </c>
      <c r="B353" s="2" t="s">
        <v>79</v>
      </c>
      <c r="C353" s="2" t="s">
        <v>80</v>
      </c>
      <c r="D353" s="2" t="s">
        <v>1074</v>
      </c>
      <c r="E353" s="2" t="s">
        <v>1075</v>
      </c>
      <c r="F353" s="2">
        <v>1</v>
      </c>
      <c r="G353" s="2">
        <v>1</v>
      </c>
      <c r="H353" s="2">
        <v>13.6</v>
      </c>
      <c r="I353" s="2">
        <v>7.85</v>
      </c>
      <c r="J353" s="2" t="s">
        <v>254</v>
      </c>
      <c r="K353" s="2" t="s">
        <v>319</v>
      </c>
      <c r="L353" s="2" t="s">
        <v>83</v>
      </c>
      <c r="M353" s="2" t="s">
        <v>83</v>
      </c>
      <c r="N353" s="2" t="s">
        <v>1074</v>
      </c>
      <c r="O353" s="2">
        <v>0.01</v>
      </c>
      <c r="P353" s="2">
        <v>0.01</v>
      </c>
      <c r="Q353" s="2">
        <v>0.01</v>
      </c>
      <c r="R353" s="2">
        <v>100</v>
      </c>
      <c r="S353" s="2" t="s">
        <v>83</v>
      </c>
      <c r="T353" s="2" t="s">
        <v>83</v>
      </c>
      <c r="U353" s="2" t="s">
        <v>83</v>
      </c>
      <c r="V353" s="2" t="s">
        <v>83</v>
      </c>
      <c r="W353" s="2" t="s">
        <v>83</v>
      </c>
      <c r="X353" s="2" t="s">
        <v>83</v>
      </c>
      <c r="Y353" s="2">
        <v>500</v>
      </c>
      <c r="Z353" s="2" t="s">
        <v>83</v>
      </c>
      <c r="AA353" s="2" t="s">
        <v>83</v>
      </c>
      <c r="AB353" s="2" t="s">
        <v>83</v>
      </c>
      <c r="AC353" s="2" t="s">
        <v>83</v>
      </c>
      <c r="AD353" s="2">
        <v>118114.796875</v>
      </c>
      <c r="AE353" s="2">
        <v>93221.59375</v>
      </c>
      <c r="AF353" s="2">
        <v>104147.8671875</v>
      </c>
      <c r="AG353" s="2">
        <v>131675.203125</v>
      </c>
      <c r="AH353" s="2">
        <v>100407.8359375</v>
      </c>
      <c r="AI353" s="2" t="s">
        <v>83</v>
      </c>
      <c r="AJ353" s="2" t="s">
        <v>83</v>
      </c>
      <c r="AK353" s="2" t="s">
        <v>83</v>
      </c>
      <c r="AL353" s="2" t="s">
        <v>83</v>
      </c>
      <c r="AM353" s="2" t="s">
        <v>83</v>
      </c>
      <c r="AN353" s="2" t="s">
        <v>83</v>
      </c>
      <c r="AO353" s="2" t="s">
        <v>83</v>
      </c>
      <c r="AP353" s="2" t="s">
        <v>83</v>
      </c>
      <c r="AQ353" s="2" t="s">
        <v>83</v>
      </c>
      <c r="AR353" s="2" t="s">
        <v>83</v>
      </c>
      <c r="AS353" s="2" t="s">
        <v>83</v>
      </c>
      <c r="AT353" s="2" t="s">
        <v>83</v>
      </c>
      <c r="AU353" s="2" t="s">
        <v>83</v>
      </c>
      <c r="AV353" s="2" t="s">
        <v>83</v>
      </c>
      <c r="AW353" s="2" t="s">
        <v>83</v>
      </c>
      <c r="AX353" s="2" t="s">
        <v>83</v>
      </c>
      <c r="AY353" s="2" t="s">
        <v>83</v>
      </c>
      <c r="AZ353" s="2" t="s">
        <v>83</v>
      </c>
      <c r="BA353" s="2" t="s">
        <v>83</v>
      </c>
      <c r="BB353" s="2" t="s">
        <v>83</v>
      </c>
      <c r="BC353" s="2" t="s">
        <v>79</v>
      </c>
      <c r="BD353" s="2" t="s">
        <v>79</v>
      </c>
      <c r="BE353" s="2" t="s">
        <v>79</v>
      </c>
      <c r="BF353" s="2" t="s">
        <v>79</v>
      </c>
      <c r="BG353" s="2" t="s">
        <v>91</v>
      </c>
      <c r="BH353" s="2" t="s">
        <v>98</v>
      </c>
      <c r="BI353" s="2" t="s">
        <v>98</v>
      </c>
      <c r="BJ353" s="2" t="s">
        <v>98</v>
      </c>
      <c r="BK353" s="2" t="s">
        <v>98</v>
      </c>
      <c r="BL353" s="2" t="s">
        <v>98</v>
      </c>
      <c r="BM353" s="2" t="s">
        <v>98</v>
      </c>
      <c r="BN353" s="2" t="s">
        <v>98</v>
      </c>
      <c r="BO353" s="2" t="s">
        <v>98</v>
      </c>
      <c r="BP353" s="2" t="s">
        <v>98</v>
      </c>
      <c r="BQ353" s="2" t="s">
        <v>98</v>
      </c>
      <c r="BR353" s="2" t="s">
        <v>98</v>
      </c>
      <c r="BS353" s="2" t="s">
        <v>98</v>
      </c>
      <c r="BT353" s="2" t="s">
        <v>98</v>
      </c>
      <c r="BU353" s="2" t="s">
        <v>98</v>
      </c>
      <c r="BV353" s="2" t="s">
        <v>98</v>
      </c>
      <c r="BW353" s="2" t="s">
        <v>98</v>
      </c>
      <c r="BX353" s="2" t="s">
        <v>98</v>
      </c>
      <c r="BY353" s="2" t="s">
        <v>98</v>
      </c>
      <c r="BZ353" s="2" t="s">
        <v>98</v>
      </c>
      <c r="CA353" s="2" t="s">
        <v>98</v>
      </c>
      <c r="CB353" t="e">
        <f>TTEST(AS353:AW353,AI353:AM353,2,2)</f>
        <v>#DIV/0!</v>
      </c>
      <c r="CC353" t="e">
        <f>TTEST(AD353:AH353,AI353:AM353,2,2)</f>
        <v>#DIV/0!</v>
      </c>
      <c r="CD353" t="e">
        <f>TTEST(AN353:AR353,AI353:AM353,2,2)</f>
        <v>#DIV/0!</v>
      </c>
      <c r="CE353" t="e">
        <f>TTEST(AX353:BB353,AI353:AM353,2,2)</f>
        <v>#DIV/0!</v>
      </c>
      <c r="CF353">
        <v>329</v>
      </c>
      <c r="CG353">
        <v>343</v>
      </c>
      <c r="CH353">
        <v>347</v>
      </c>
      <c r="CI353">
        <v>350</v>
      </c>
      <c r="CJ353">
        <f>0.05*CF353/464</f>
        <v>3.545258620689655E-2</v>
      </c>
      <c r="CK353">
        <f>0.05*CG353/464</f>
        <v>3.6961206896551732E-2</v>
      </c>
      <c r="CL353">
        <f>0.05*CH353/464</f>
        <v>3.7392241379310347E-2</v>
      </c>
      <c r="CM353">
        <f>0.05*CI353/464</f>
        <v>3.7715517241379309E-2</v>
      </c>
      <c r="CN353" t="e">
        <f>IF(CB353&lt;CJ353,"yes","no")</f>
        <v>#DIV/0!</v>
      </c>
      <c r="CO353" t="e">
        <f>IF(CC353&lt;CK353,"yes","no")</f>
        <v>#DIV/0!</v>
      </c>
      <c r="CP353" t="e">
        <f>IF(CD353&lt;CL353,"yes","no")</f>
        <v>#DIV/0!</v>
      </c>
      <c r="CQ353" t="e">
        <f>IF(CE353&lt;CM353,"yes","no")</f>
        <v>#DIV/0!</v>
      </c>
      <c r="CR353" t="e">
        <f>TTEST(AS353:AW353,AD353:AH353,2,2)</f>
        <v>#DIV/0!</v>
      </c>
      <c r="CS353" t="e">
        <f>TTEST(AS353:AW353,AN353:AR353,2,2)</f>
        <v>#DIV/0!</v>
      </c>
      <c r="CT353" t="e">
        <f>TTEST(AS353:AW353,AX353:BB353,2,2)</f>
        <v>#DIV/0!</v>
      </c>
      <c r="CU353">
        <v>347</v>
      </c>
      <c r="CV353">
        <v>350</v>
      </c>
      <c r="CW353">
        <v>352</v>
      </c>
      <c r="CX353">
        <f t="shared" si="15"/>
        <v>3.7392241379310347E-2</v>
      </c>
      <c r="CY353">
        <f t="shared" si="16"/>
        <v>3.7715517241379309E-2</v>
      </c>
      <c r="CZ353">
        <f t="shared" si="17"/>
        <v>3.7931034482758627E-2</v>
      </c>
      <c r="DA353" t="e">
        <f>IF(CR353&lt;CX353,"yes","no")</f>
        <v>#DIV/0!</v>
      </c>
      <c r="DB353" t="e">
        <f>IF(CS353&lt;CY353,"yes","no")</f>
        <v>#DIV/0!</v>
      </c>
      <c r="DC353" t="e">
        <f>IF(CT353&lt;CZ353,"yes","no")</f>
        <v>#DIV/0!</v>
      </c>
    </row>
    <row r="354" spans="1:107" x14ac:dyDescent="0.2">
      <c r="A354" s="2" t="b">
        <v>0</v>
      </c>
      <c r="B354" s="2" t="s">
        <v>79</v>
      </c>
      <c r="C354" s="2" t="s">
        <v>80</v>
      </c>
      <c r="D354" s="2" t="s">
        <v>1076</v>
      </c>
      <c r="E354" s="2" t="s">
        <v>1077</v>
      </c>
      <c r="F354" s="2">
        <v>1</v>
      </c>
      <c r="G354" s="2">
        <v>1</v>
      </c>
      <c r="H354" s="2">
        <v>11.3</v>
      </c>
      <c r="I354" s="2">
        <v>8.9700000000000006</v>
      </c>
      <c r="J354" s="2" t="s">
        <v>254</v>
      </c>
      <c r="K354" s="2" t="s">
        <v>84</v>
      </c>
      <c r="L354" s="2" t="s">
        <v>83</v>
      </c>
      <c r="M354" s="2" t="s">
        <v>83</v>
      </c>
      <c r="N354" s="2" t="s">
        <v>1076</v>
      </c>
      <c r="O354" s="2">
        <v>0.01</v>
      </c>
      <c r="P354" s="2">
        <v>0.01</v>
      </c>
      <c r="Q354" s="2">
        <v>0.01</v>
      </c>
      <c r="R354" s="2">
        <v>100</v>
      </c>
      <c r="S354" s="2" t="s">
        <v>83</v>
      </c>
      <c r="T354" s="2" t="s">
        <v>83</v>
      </c>
      <c r="U354" s="2" t="s">
        <v>83</v>
      </c>
      <c r="V354" s="2" t="s">
        <v>83</v>
      </c>
      <c r="W354" s="2" t="s">
        <v>83</v>
      </c>
      <c r="X354" s="2" t="s">
        <v>83</v>
      </c>
      <c r="Y354" s="2">
        <v>500</v>
      </c>
      <c r="Z354" s="2" t="s">
        <v>83</v>
      </c>
      <c r="AA354" s="2" t="s">
        <v>83</v>
      </c>
      <c r="AB354" s="2" t="s">
        <v>83</v>
      </c>
      <c r="AC354" s="2" t="s">
        <v>83</v>
      </c>
      <c r="AD354" s="2">
        <v>262725.03125</v>
      </c>
      <c r="AE354" s="2">
        <v>146246.09375</v>
      </c>
      <c r="AF354" s="2">
        <v>172099.96875</v>
      </c>
      <c r="AG354" s="2">
        <v>131293.6875</v>
      </c>
      <c r="AH354" s="2">
        <v>172985.890625</v>
      </c>
      <c r="AI354" s="2" t="s">
        <v>83</v>
      </c>
      <c r="AJ354" s="2" t="s">
        <v>83</v>
      </c>
      <c r="AK354" s="2" t="s">
        <v>83</v>
      </c>
      <c r="AL354" s="2" t="s">
        <v>83</v>
      </c>
      <c r="AM354" s="2" t="s">
        <v>83</v>
      </c>
      <c r="AN354" s="2" t="s">
        <v>83</v>
      </c>
      <c r="AO354" s="2" t="s">
        <v>83</v>
      </c>
      <c r="AP354" s="2" t="s">
        <v>83</v>
      </c>
      <c r="AQ354" s="2" t="s">
        <v>83</v>
      </c>
      <c r="AR354" s="2" t="s">
        <v>83</v>
      </c>
      <c r="AS354" s="2" t="s">
        <v>83</v>
      </c>
      <c r="AT354" s="2" t="s">
        <v>83</v>
      </c>
      <c r="AU354" s="2" t="s">
        <v>83</v>
      </c>
      <c r="AV354" s="2" t="s">
        <v>83</v>
      </c>
      <c r="AW354" s="2" t="s">
        <v>83</v>
      </c>
      <c r="AX354" s="2" t="s">
        <v>83</v>
      </c>
      <c r="AY354" s="2" t="s">
        <v>83</v>
      </c>
      <c r="AZ354" s="2" t="s">
        <v>83</v>
      </c>
      <c r="BA354" s="2" t="s">
        <v>83</v>
      </c>
      <c r="BB354" s="2" t="s">
        <v>83</v>
      </c>
      <c r="BC354" s="2" t="s">
        <v>79</v>
      </c>
      <c r="BD354" s="2" t="s">
        <v>79</v>
      </c>
      <c r="BE354" s="2" t="s">
        <v>79</v>
      </c>
      <c r="BF354" s="2" t="s">
        <v>79</v>
      </c>
      <c r="BG354" s="2" t="s">
        <v>79</v>
      </c>
      <c r="BH354" s="2" t="s">
        <v>98</v>
      </c>
      <c r="BI354" s="2" t="s">
        <v>98</v>
      </c>
      <c r="BJ354" s="2" t="s">
        <v>98</v>
      </c>
      <c r="BK354" s="2" t="s">
        <v>98</v>
      </c>
      <c r="BL354" s="2" t="s">
        <v>98</v>
      </c>
      <c r="BM354" s="2" t="s">
        <v>98</v>
      </c>
      <c r="BN354" s="2" t="s">
        <v>98</v>
      </c>
      <c r="BO354" s="2" t="s">
        <v>98</v>
      </c>
      <c r="BP354" s="2" t="s">
        <v>98</v>
      </c>
      <c r="BQ354" s="2" t="s">
        <v>98</v>
      </c>
      <c r="BR354" s="2" t="s">
        <v>98</v>
      </c>
      <c r="BS354" s="2" t="s">
        <v>98</v>
      </c>
      <c r="BT354" s="2" t="s">
        <v>98</v>
      </c>
      <c r="BU354" s="2" t="s">
        <v>98</v>
      </c>
      <c r="BV354" s="2" t="s">
        <v>98</v>
      </c>
      <c r="BW354" s="2" t="s">
        <v>98</v>
      </c>
      <c r="BX354" s="2" t="s">
        <v>98</v>
      </c>
      <c r="BY354" s="2" t="s">
        <v>98</v>
      </c>
      <c r="BZ354" s="2" t="s">
        <v>98</v>
      </c>
      <c r="CA354" s="2" t="s">
        <v>98</v>
      </c>
      <c r="CB354" t="e">
        <f>TTEST(AS354:AW354,AI354:AM354,2,2)</f>
        <v>#DIV/0!</v>
      </c>
      <c r="CC354" t="e">
        <f>TTEST(AD354:AH354,AI354:AM354,2,2)</f>
        <v>#DIV/0!</v>
      </c>
      <c r="CD354" t="e">
        <f>TTEST(AN354:AR354,AI354:AM354,2,2)</f>
        <v>#DIV/0!</v>
      </c>
      <c r="CE354" t="e">
        <f>TTEST(AX354:BB354,AI354:AM354,2,2)</f>
        <v>#DIV/0!</v>
      </c>
      <c r="CF354">
        <v>330</v>
      </c>
      <c r="CG354">
        <v>344</v>
      </c>
      <c r="CH354">
        <v>348</v>
      </c>
      <c r="CI354">
        <v>351</v>
      </c>
      <c r="CJ354">
        <f>0.05*CF354/464</f>
        <v>3.5560344827586209E-2</v>
      </c>
      <c r="CK354">
        <f>0.05*CG354/464</f>
        <v>3.7068965517241377E-2</v>
      </c>
      <c r="CL354">
        <f>0.05*CH354/464</f>
        <v>3.7500000000000006E-2</v>
      </c>
      <c r="CM354">
        <f>0.05*CI354/464</f>
        <v>3.7823275862068968E-2</v>
      </c>
      <c r="CN354" t="e">
        <f>IF(CB354&lt;CJ354,"yes","no")</f>
        <v>#DIV/0!</v>
      </c>
      <c r="CO354" t="e">
        <f>IF(CC354&lt;CK354,"yes","no")</f>
        <v>#DIV/0!</v>
      </c>
      <c r="CP354" t="e">
        <f>IF(CD354&lt;CL354,"yes","no")</f>
        <v>#DIV/0!</v>
      </c>
      <c r="CQ354" t="e">
        <f>IF(CE354&lt;CM354,"yes","no")</f>
        <v>#DIV/0!</v>
      </c>
      <c r="CR354" t="e">
        <f>TTEST(AS354:AW354,AD354:AH354,2,2)</f>
        <v>#DIV/0!</v>
      </c>
      <c r="CS354" t="e">
        <f>TTEST(AS354:AW354,AN354:AR354,2,2)</f>
        <v>#DIV/0!</v>
      </c>
      <c r="CT354" t="e">
        <f>TTEST(AS354:AW354,AX354:BB354,2,2)</f>
        <v>#DIV/0!</v>
      </c>
      <c r="CU354">
        <v>348</v>
      </c>
      <c r="CV354">
        <v>351</v>
      </c>
      <c r="CW354">
        <v>353</v>
      </c>
      <c r="CX354">
        <f t="shared" si="15"/>
        <v>3.7500000000000006E-2</v>
      </c>
      <c r="CY354">
        <f t="shared" si="16"/>
        <v>3.7823275862068968E-2</v>
      </c>
      <c r="CZ354">
        <f t="shared" si="17"/>
        <v>3.8038793103448279E-2</v>
      </c>
      <c r="DA354" t="e">
        <f>IF(CR354&lt;CX354,"yes","no")</f>
        <v>#DIV/0!</v>
      </c>
      <c r="DB354" t="e">
        <f>IF(CS354&lt;CY354,"yes","no")</f>
        <v>#DIV/0!</v>
      </c>
      <c r="DC354" t="e">
        <f>IF(CT354&lt;CZ354,"yes","no")</f>
        <v>#DIV/0!</v>
      </c>
    </row>
    <row r="355" spans="1:107" x14ac:dyDescent="0.2">
      <c r="A355" s="2" t="b">
        <v>0</v>
      </c>
      <c r="B355" s="2" t="s">
        <v>79</v>
      </c>
      <c r="C355" s="2" t="s">
        <v>80</v>
      </c>
      <c r="D355" s="2" t="s">
        <v>1078</v>
      </c>
      <c r="E355" s="2" t="s">
        <v>1079</v>
      </c>
      <c r="F355" s="2">
        <v>2</v>
      </c>
      <c r="G355" s="2">
        <v>2</v>
      </c>
      <c r="H355" s="2">
        <v>49.5</v>
      </c>
      <c r="I355" s="2">
        <v>7.56</v>
      </c>
      <c r="J355" s="2" t="s">
        <v>380</v>
      </c>
      <c r="K355" s="2" t="s">
        <v>514</v>
      </c>
      <c r="L355" s="2" t="s">
        <v>115</v>
      </c>
      <c r="M355" s="2" t="s">
        <v>83</v>
      </c>
      <c r="N355" s="2" t="s">
        <v>1080</v>
      </c>
      <c r="O355" s="2">
        <v>0.01</v>
      </c>
      <c r="P355" s="2">
        <v>0.01</v>
      </c>
      <c r="Q355" s="2">
        <v>0.01</v>
      </c>
      <c r="R355" s="2">
        <v>100</v>
      </c>
      <c r="S355" s="2" t="s">
        <v>83</v>
      </c>
      <c r="T355" s="2" t="s">
        <v>83</v>
      </c>
      <c r="U355" s="2" t="s">
        <v>83</v>
      </c>
      <c r="V355" s="2" t="s">
        <v>83</v>
      </c>
      <c r="W355" s="2" t="s">
        <v>83</v>
      </c>
      <c r="X355" s="2" t="s">
        <v>83</v>
      </c>
      <c r="Y355" s="2">
        <v>500</v>
      </c>
      <c r="Z355" s="2" t="s">
        <v>83</v>
      </c>
      <c r="AA355" s="2" t="s">
        <v>83</v>
      </c>
      <c r="AB355" s="2" t="s">
        <v>83</v>
      </c>
      <c r="AC355" s="2" t="s">
        <v>83</v>
      </c>
      <c r="AD355" s="2" t="s">
        <v>83</v>
      </c>
      <c r="AE355" s="2" t="s">
        <v>83</v>
      </c>
      <c r="AF355" s="2" t="s">
        <v>83</v>
      </c>
      <c r="AG355" s="2">
        <v>202487.65625</v>
      </c>
      <c r="AH355" s="2" t="s">
        <v>83</v>
      </c>
      <c r="AI355" s="2" t="s">
        <v>83</v>
      </c>
      <c r="AJ355" s="2" t="s">
        <v>83</v>
      </c>
      <c r="AK355" s="2" t="s">
        <v>83</v>
      </c>
      <c r="AL355" s="2" t="s">
        <v>83</v>
      </c>
      <c r="AM355" s="2" t="s">
        <v>83</v>
      </c>
      <c r="AN355" s="2" t="s">
        <v>83</v>
      </c>
      <c r="AO355" s="2" t="s">
        <v>83</v>
      </c>
      <c r="AP355" s="2" t="s">
        <v>83</v>
      </c>
      <c r="AQ355" s="2" t="s">
        <v>83</v>
      </c>
      <c r="AR355" s="2" t="s">
        <v>83</v>
      </c>
      <c r="AS355" s="2" t="s">
        <v>83</v>
      </c>
      <c r="AT355" s="2" t="s">
        <v>83</v>
      </c>
      <c r="AU355" s="2" t="s">
        <v>83</v>
      </c>
      <c r="AV355" s="2" t="s">
        <v>83</v>
      </c>
      <c r="AW355" s="2" t="s">
        <v>83</v>
      </c>
      <c r="AX355" s="2" t="s">
        <v>83</v>
      </c>
      <c r="AY355" s="2" t="s">
        <v>83</v>
      </c>
      <c r="AZ355" s="2" t="s">
        <v>83</v>
      </c>
      <c r="BA355" s="2" t="s">
        <v>83</v>
      </c>
      <c r="BB355" s="2" t="s">
        <v>83</v>
      </c>
      <c r="BC355" s="2" t="s">
        <v>98</v>
      </c>
      <c r="BD355" s="2" t="s">
        <v>98</v>
      </c>
      <c r="BE355" s="2" t="s">
        <v>79</v>
      </c>
      <c r="BF355" s="2" t="s">
        <v>79</v>
      </c>
      <c r="BG355" s="2" t="s">
        <v>98</v>
      </c>
      <c r="BH355" s="2" t="s">
        <v>98</v>
      </c>
      <c r="BI355" s="2" t="s">
        <v>98</v>
      </c>
      <c r="BJ355" s="2" t="s">
        <v>98</v>
      </c>
      <c r="BK355" s="2" t="s">
        <v>98</v>
      </c>
      <c r="BL355" s="2" t="s">
        <v>98</v>
      </c>
      <c r="BM355" s="2" t="s">
        <v>98</v>
      </c>
      <c r="BN355" s="2" t="s">
        <v>98</v>
      </c>
      <c r="BO355" s="2" t="s">
        <v>98</v>
      </c>
      <c r="BP355" s="2" t="s">
        <v>98</v>
      </c>
      <c r="BQ355" s="2" t="s">
        <v>98</v>
      </c>
      <c r="BR355" s="2" t="s">
        <v>98</v>
      </c>
      <c r="BS355" s="2" t="s">
        <v>98</v>
      </c>
      <c r="BT355" s="2" t="s">
        <v>98</v>
      </c>
      <c r="BU355" s="2" t="s">
        <v>98</v>
      </c>
      <c r="BV355" s="2" t="s">
        <v>98</v>
      </c>
      <c r="BW355" s="2" t="s">
        <v>98</v>
      </c>
      <c r="BX355" s="2" t="s">
        <v>98</v>
      </c>
      <c r="BY355" s="2" t="s">
        <v>98</v>
      </c>
      <c r="BZ355" s="2" t="s">
        <v>98</v>
      </c>
      <c r="CA355" s="2" t="s">
        <v>98</v>
      </c>
      <c r="CB355" t="e">
        <f>TTEST(AS355:AW355,AI355:AM355,2,2)</f>
        <v>#DIV/0!</v>
      </c>
      <c r="CC355" t="e">
        <f>TTEST(AD355:AH355,AI355:AM355,2,2)</f>
        <v>#DIV/0!</v>
      </c>
      <c r="CD355" t="e">
        <f>TTEST(AN355:AR355,AI355:AM355,2,2)</f>
        <v>#DIV/0!</v>
      </c>
      <c r="CE355" t="e">
        <f>TTEST(AX355:BB355,AI355:AM355,2,2)</f>
        <v>#DIV/0!</v>
      </c>
      <c r="CF355">
        <v>331</v>
      </c>
      <c r="CG355">
        <v>345</v>
      </c>
      <c r="CH355">
        <v>349</v>
      </c>
      <c r="CI355">
        <v>352</v>
      </c>
      <c r="CJ355">
        <f>0.05*CF355/464</f>
        <v>3.566810344827586E-2</v>
      </c>
      <c r="CK355">
        <f>0.05*CG355/464</f>
        <v>3.7176724137931036E-2</v>
      </c>
      <c r="CL355">
        <f>0.05*CH355/464</f>
        <v>3.7607758620689651E-2</v>
      </c>
      <c r="CM355">
        <f>0.05*CI355/464</f>
        <v>3.7931034482758627E-2</v>
      </c>
      <c r="CN355" t="e">
        <f>IF(CB355&lt;CJ355,"yes","no")</f>
        <v>#DIV/0!</v>
      </c>
      <c r="CO355" t="e">
        <f>IF(CC355&lt;CK355,"yes","no")</f>
        <v>#DIV/0!</v>
      </c>
      <c r="CP355" t="e">
        <f>IF(CD355&lt;CL355,"yes","no")</f>
        <v>#DIV/0!</v>
      </c>
      <c r="CQ355" t="e">
        <f>IF(CE355&lt;CM355,"yes","no")</f>
        <v>#DIV/0!</v>
      </c>
      <c r="CR355" t="e">
        <f>TTEST(AS355:AW355,AD355:AH355,2,2)</f>
        <v>#DIV/0!</v>
      </c>
      <c r="CS355" t="e">
        <f>TTEST(AS355:AW355,AN355:AR355,2,2)</f>
        <v>#DIV/0!</v>
      </c>
      <c r="CT355" t="e">
        <f>TTEST(AS355:AW355,AX355:BB355,2,2)</f>
        <v>#DIV/0!</v>
      </c>
      <c r="CU355">
        <v>349</v>
      </c>
      <c r="CV355">
        <v>352</v>
      </c>
      <c r="CW355">
        <v>354</v>
      </c>
      <c r="CX355">
        <f t="shared" si="15"/>
        <v>3.7607758620689651E-2</v>
      </c>
      <c r="CY355">
        <f t="shared" si="16"/>
        <v>3.7931034482758627E-2</v>
      </c>
      <c r="CZ355">
        <f t="shared" si="17"/>
        <v>3.8146551724137931E-2</v>
      </c>
      <c r="DA355" t="e">
        <f>IF(CR355&lt;CX355,"yes","no")</f>
        <v>#DIV/0!</v>
      </c>
      <c r="DB355" t="e">
        <f>IF(CS355&lt;CY355,"yes","no")</f>
        <v>#DIV/0!</v>
      </c>
      <c r="DC355" t="e">
        <f>IF(CT355&lt;CZ355,"yes","no")</f>
        <v>#DIV/0!</v>
      </c>
    </row>
    <row r="356" spans="1:107" x14ac:dyDescent="0.2">
      <c r="A356" s="2" t="b">
        <v>0</v>
      </c>
      <c r="B356" s="2" t="s">
        <v>79</v>
      </c>
      <c r="C356" s="2" t="s">
        <v>80</v>
      </c>
      <c r="D356" s="2" t="s">
        <v>1089</v>
      </c>
      <c r="E356" s="2" t="s">
        <v>1090</v>
      </c>
      <c r="F356" s="2">
        <v>2</v>
      </c>
      <c r="G356" s="2">
        <v>2</v>
      </c>
      <c r="H356" s="2">
        <v>29.5</v>
      </c>
      <c r="I356" s="2">
        <v>7.71</v>
      </c>
      <c r="J356" s="2" t="s">
        <v>1091</v>
      </c>
      <c r="K356" s="2" t="s">
        <v>84</v>
      </c>
      <c r="L356" s="2" t="s">
        <v>375</v>
      </c>
      <c r="M356" s="2" t="s">
        <v>1092</v>
      </c>
      <c r="N356" s="2" t="s">
        <v>1089</v>
      </c>
      <c r="O356" s="2">
        <v>7.8449999999999998</v>
      </c>
      <c r="P356" s="2">
        <v>0.01</v>
      </c>
      <c r="Q356" s="2">
        <v>1.0349999999999999</v>
      </c>
      <c r="R356" s="2">
        <v>100</v>
      </c>
      <c r="S356" s="2">
        <v>100</v>
      </c>
      <c r="T356" s="2" t="s">
        <v>83</v>
      </c>
      <c r="U356" s="2">
        <v>100</v>
      </c>
      <c r="V356" s="2">
        <v>0.01</v>
      </c>
      <c r="W356" s="2">
        <v>0.13200000000000001</v>
      </c>
      <c r="X356" s="2">
        <v>100</v>
      </c>
      <c r="Y356" s="2">
        <v>50.6</v>
      </c>
      <c r="Z356" s="2" t="s">
        <v>83</v>
      </c>
      <c r="AA356" s="2">
        <v>397</v>
      </c>
      <c r="AB356" s="2" t="s">
        <v>83</v>
      </c>
      <c r="AC356" s="2">
        <v>52.4</v>
      </c>
      <c r="AD356" s="2">
        <v>119604.3359375</v>
      </c>
      <c r="AE356" s="2">
        <v>116154.125</v>
      </c>
      <c r="AF356" s="2">
        <v>98690.828125</v>
      </c>
      <c r="AG356" s="2">
        <v>90866.8984375</v>
      </c>
      <c r="AH356" s="2">
        <v>76446.59375</v>
      </c>
      <c r="AI356" s="2" t="s">
        <v>83</v>
      </c>
      <c r="AJ356" s="2" t="s">
        <v>83</v>
      </c>
      <c r="AK356" s="2" t="s">
        <v>83</v>
      </c>
      <c r="AL356" s="2" t="s">
        <v>83</v>
      </c>
      <c r="AM356" s="2" t="s">
        <v>83</v>
      </c>
      <c r="AN356" s="2">
        <v>13010.7666015625</v>
      </c>
      <c r="AO356" s="2" t="s">
        <v>83</v>
      </c>
      <c r="AP356" s="2" t="s">
        <v>83</v>
      </c>
      <c r="AQ356" s="2" t="s">
        <v>83</v>
      </c>
      <c r="AR356" s="2" t="s">
        <v>83</v>
      </c>
      <c r="AS356" s="2" t="s">
        <v>83</v>
      </c>
      <c r="AT356" s="2" t="s">
        <v>83</v>
      </c>
      <c r="AU356" s="2" t="s">
        <v>83</v>
      </c>
      <c r="AV356" s="2" t="s">
        <v>83</v>
      </c>
      <c r="AW356" s="2" t="s">
        <v>83</v>
      </c>
      <c r="AX356" s="2" t="s">
        <v>83</v>
      </c>
      <c r="AY356" s="2">
        <v>9925.263671875</v>
      </c>
      <c r="AZ356" s="2" t="s">
        <v>83</v>
      </c>
      <c r="BA356" s="2" t="s">
        <v>83</v>
      </c>
      <c r="BB356" s="2" t="s">
        <v>83</v>
      </c>
      <c r="BC356" s="2" t="s">
        <v>79</v>
      </c>
      <c r="BD356" s="2" t="s">
        <v>79</v>
      </c>
      <c r="BE356" s="2" t="s">
        <v>79</v>
      </c>
      <c r="BF356" s="2" t="s">
        <v>79</v>
      </c>
      <c r="BG356" s="2" t="s">
        <v>79</v>
      </c>
      <c r="BH356" s="2" t="s">
        <v>98</v>
      </c>
      <c r="BI356" s="2" t="s">
        <v>98</v>
      </c>
      <c r="BJ356" s="2" t="s">
        <v>98</v>
      </c>
      <c r="BK356" s="2" t="s">
        <v>98</v>
      </c>
      <c r="BL356" s="2" t="s">
        <v>98</v>
      </c>
      <c r="BM356" s="2" t="s">
        <v>91</v>
      </c>
      <c r="BN356" s="2" t="s">
        <v>98</v>
      </c>
      <c r="BO356" s="2" t="s">
        <v>98</v>
      </c>
      <c r="BP356" s="2" t="s">
        <v>98</v>
      </c>
      <c r="BQ356" s="2" t="s">
        <v>98</v>
      </c>
      <c r="BR356" s="2" t="s">
        <v>98</v>
      </c>
      <c r="BS356" s="2" t="s">
        <v>98</v>
      </c>
      <c r="BT356" s="2" t="s">
        <v>98</v>
      </c>
      <c r="BU356" s="2" t="s">
        <v>98</v>
      </c>
      <c r="BV356" s="2" t="s">
        <v>98</v>
      </c>
      <c r="BW356" s="2" t="s">
        <v>98</v>
      </c>
      <c r="BX356" s="2" t="s">
        <v>91</v>
      </c>
      <c r="BY356" s="2" t="s">
        <v>98</v>
      </c>
      <c r="BZ356" s="2" t="s">
        <v>98</v>
      </c>
      <c r="CA356" s="2" t="s">
        <v>98</v>
      </c>
      <c r="CB356" t="e">
        <f>TTEST(AS356:AW356,AI356:AM356,2,2)</f>
        <v>#DIV/0!</v>
      </c>
      <c r="CC356" t="e">
        <f>TTEST(AD356:AH356,AI356:AM356,2,2)</f>
        <v>#DIV/0!</v>
      </c>
      <c r="CD356" t="e">
        <f>TTEST(AN356:AR356,AI356:AM356,2,2)</f>
        <v>#DIV/0!</v>
      </c>
      <c r="CE356" t="e">
        <f>TTEST(AX356:BB356,AI356:AM356,2,2)</f>
        <v>#DIV/0!</v>
      </c>
      <c r="CF356">
        <v>332</v>
      </c>
      <c r="CG356">
        <v>346</v>
      </c>
      <c r="CH356">
        <v>350</v>
      </c>
      <c r="CI356">
        <v>353</v>
      </c>
      <c r="CJ356">
        <f>0.05*CF356/464</f>
        <v>3.5775862068965519E-2</v>
      </c>
      <c r="CK356">
        <f>0.05*CG356/464</f>
        <v>3.7284482758620688E-2</v>
      </c>
      <c r="CL356">
        <f>0.05*CH356/464</f>
        <v>3.7715517241379309E-2</v>
      </c>
      <c r="CM356">
        <f>0.05*CI356/464</f>
        <v>3.8038793103448279E-2</v>
      </c>
      <c r="CN356" t="e">
        <f>IF(CB356&lt;CJ356,"yes","no")</f>
        <v>#DIV/0!</v>
      </c>
      <c r="CO356" t="e">
        <f>IF(CC356&lt;CK356,"yes","no")</f>
        <v>#DIV/0!</v>
      </c>
      <c r="CP356" t="e">
        <f>IF(CD356&lt;CL356,"yes","no")</f>
        <v>#DIV/0!</v>
      </c>
      <c r="CQ356" t="e">
        <f>IF(CE356&lt;CM356,"yes","no")</f>
        <v>#DIV/0!</v>
      </c>
      <c r="CR356" t="e">
        <f>TTEST(AS356:AW356,AD356:AH356,2,2)</f>
        <v>#DIV/0!</v>
      </c>
      <c r="CS356" t="e">
        <f>TTEST(AS356:AW356,AN356:AR356,2,2)</f>
        <v>#DIV/0!</v>
      </c>
      <c r="CT356" t="e">
        <f>TTEST(AS356:AW356,AX356:BB356,2,2)</f>
        <v>#DIV/0!</v>
      </c>
      <c r="CU356">
        <v>350</v>
      </c>
      <c r="CV356">
        <v>353</v>
      </c>
      <c r="CW356">
        <v>355</v>
      </c>
      <c r="CX356">
        <f t="shared" si="15"/>
        <v>3.7715517241379309E-2</v>
      </c>
      <c r="CY356">
        <f t="shared" si="16"/>
        <v>3.8038793103448279E-2</v>
      </c>
      <c r="CZ356">
        <f t="shared" si="17"/>
        <v>3.8254310344827583E-2</v>
      </c>
      <c r="DA356" t="e">
        <f>IF(CR356&lt;CX356,"yes","no")</f>
        <v>#DIV/0!</v>
      </c>
      <c r="DB356" t="e">
        <f>IF(CS356&lt;CY356,"yes","no")</f>
        <v>#DIV/0!</v>
      </c>
      <c r="DC356" t="e">
        <f>IF(CT356&lt;CZ356,"yes","no")</f>
        <v>#DIV/0!</v>
      </c>
    </row>
    <row r="357" spans="1:107" x14ac:dyDescent="0.2">
      <c r="A357" s="2" t="b">
        <v>0</v>
      </c>
      <c r="B357" s="2" t="s">
        <v>79</v>
      </c>
      <c r="C357" s="2" t="s">
        <v>80</v>
      </c>
      <c r="D357" s="2" t="s">
        <v>1130</v>
      </c>
      <c r="E357" s="2" t="s">
        <v>1131</v>
      </c>
      <c r="F357" s="2">
        <v>1</v>
      </c>
      <c r="G357" s="2">
        <v>1</v>
      </c>
      <c r="H357" s="2">
        <v>36.6</v>
      </c>
      <c r="I357" s="2">
        <v>7.62</v>
      </c>
      <c r="J357" s="2" t="s">
        <v>83</v>
      </c>
      <c r="K357" s="2" t="s">
        <v>83</v>
      </c>
      <c r="L357" s="2" t="s">
        <v>83</v>
      </c>
      <c r="M357" s="2" t="s">
        <v>1132</v>
      </c>
      <c r="N357" s="2" t="s">
        <v>1133</v>
      </c>
      <c r="O357" s="2">
        <v>5.367</v>
      </c>
      <c r="P357" s="2">
        <v>0.01</v>
      </c>
      <c r="Q357" s="2">
        <v>0.01</v>
      </c>
      <c r="R357" s="2">
        <v>100</v>
      </c>
      <c r="S357" s="2">
        <v>100</v>
      </c>
      <c r="T357" s="2" t="s">
        <v>83</v>
      </c>
      <c r="U357" s="2" t="s">
        <v>83</v>
      </c>
      <c r="V357" s="2">
        <v>0.01</v>
      </c>
      <c r="W357" s="2">
        <v>0.01</v>
      </c>
      <c r="X357" s="2" t="s">
        <v>83</v>
      </c>
      <c r="Y357" s="2">
        <v>78.5</v>
      </c>
      <c r="Z357" s="2" t="s">
        <v>83</v>
      </c>
      <c r="AA357" s="2">
        <v>421.5</v>
      </c>
      <c r="AB357" s="2" t="s">
        <v>83</v>
      </c>
      <c r="AC357" s="2" t="s">
        <v>83</v>
      </c>
      <c r="AD357" s="2">
        <v>177029.578125</v>
      </c>
      <c r="AE357" s="2">
        <v>137230.8828125</v>
      </c>
      <c r="AF357" s="2">
        <v>163770.2421875</v>
      </c>
      <c r="AG357" s="2">
        <v>71627.9296875</v>
      </c>
      <c r="AH357" s="2">
        <v>72046.515625</v>
      </c>
      <c r="AI357" s="2" t="s">
        <v>83</v>
      </c>
      <c r="AJ357" s="2" t="s">
        <v>83</v>
      </c>
      <c r="AK357" s="2" t="s">
        <v>83</v>
      </c>
      <c r="AL357" s="2" t="s">
        <v>83</v>
      </c>
      <c r="AM357" s="2" t="s">
        <v>83</v>
      </c>
      <c r="AN357" s="2">
        <v>10617.2900390625</v>
      </c>
      <c r="AO357" s="2">
        <v>12193.7509765625</v>
      </c>
      <c r="AP357" s="2">
        <v>22093.1640625</v>
      </c>
      <c r="AQ357" s="2">
        <v>21760.16796875</v>
      </c>
      <c r="AR357" s="2">
        <v>5107.81884765625</v>
      </c>
      <c r="AS357" s="2" t="s">
        <v>83</v>
      </c>
      <c r="AT357" s="2" t="s">
        <v>83</v>
      </c>
      <c r="AU357" s="2" t="s">
        <v>83</v>
      </c>
      <c r="AV357" s="2" t="s">
        <v>83</v>
      </c>
      <c r="AW357" s="2" t="s">
        <v>83</v>
      </c>
      <c r="AX357" s="2" t="s">
        <v>83</v>
      </c>
      <c r="AY357" s="2" t="s">
        <v>83</v>
      </c>
      <c r="AZ357" s="2" t="s">
        <v>83</v>
      </c>
      <c r="BA357" s="2" t="s">
        <v>83</v>
      </c>
      <c r="BB357" s="2" t="s">
        <v>83</v>
      </c>
      <c r="BC357" s="2" t="s">
        <v>79</v>
      </c>
      <c r="BD357" s="2" t="s">
        <v>79</v>
      </c>
      <c r="BE357" s="2" t="s">
        <v>79</v>
      </c>
      <c r="BF357" s="2" t="s">
        <v>79</v>
      </c>
      <c r="BG357" s="2" t="s">
        <v>79</v>
      </c>
      <c r="BH357" s="2" t="s">
        <v>98</v>
      </c>
      <c r="BI357" s="2" t="s">
        <v>98</v>
      </c>
      <c r="BJ357" s="2" t="s">
        <v>98</v>
      </c>
      <c r="BK357" s="2" t="s">
        <v>98</v>
      </c>
      <c r="BL357" s="2" t="s">
        <v>98</v>
      </c>
      <c r="BM357" s="2" t="s">
        <v>91</v>
      </c>
      <c r="BN357" s="2" t="s">
        <v>91</v>
      </c>
      <c r="BO357" s="2" t="s">
        <v>91</v>
      </c>
      <c r="BP357" s="2" t="s">
        <v>79</v>
      </c>
      <c r="BQ357" s="2" t="s">
        <v>91</v>
      </c>
      <c r="BR357" s="2" t="s">
        <v>98</v>
      </c>
      <c r="BS357" s="2" t="s">
        <v>98</v>
      </c>
      <c r="BT357" s="2" t="s">
        <v>98</v>
      </c>
      <c r="BU357" s="2" t="s">
        <v>98</v>
      </c>
      <c r="BV357" s="2" t="s">
        <v>98</v>
      </c>
      <c r="BW357" s="2" t="s">
        <v>98</v>
      </c>
      <c r="BX357" s="2" t="s">
        <v>98</v>
      </c>
      <c r="BY357" s="2" t="s">
        <v>98</v>
      </c>
      <c r="BZ357" s="2" t="s">
        <v>98</v>
      </c>
      <c r="CA357" s="2" t="s">
        <v>98</v>
      </c>
      <c r="CB357" t="e">
        <f>TTEST(AS357:AW357,AI357:AM357,2,2)</f>
        <v>#DIV/0!</v>
      </c>
      <c r="CC357" t="e">
        <f>TTEST(AD357:AH357,AI357:AM357,2,2)</f>
        <v>#DIV/0!</v>
      </c>
      <c r="CD357" t="e">
        <f>TTEST(AN357:AR357,AI357:AM357,2,2)</f>
        <v>#DIV/0!</v>
      </c>
      <c r="CE357" t="e">
        <f>TTEST(AX357:BB357,AI357:AM357,2,2)</f>
        <v>#DIV/0!</v>
      </c>
      <c r="CF357">
        <v>333</v>
      </c>
      <c r="CG357">
        <v>347</v>
      </c>
      <c r="CH357">
        <v>351</v>
      </c>
      <c r="CI357">
        <v>354</v>
      </c>
      <c r="CJ357">
        <f>0.05*CF357/464</f>
        <v>3.5883620689655178E-2</v>
      </c>
      <c r="CK357">
        <f>0.05*CG357/464</f>
        <v>3.7392241379310347E-2</v>
      </c>
      <c r="CL357">
        <f>0.05*CH357/464</f>
        <v>3.7823275862068968E-2</v>
      </c>
      <c r="CM357">
        <f>0.05*CI357/464</f>
        <v>3.8146551724137931E-2</v>
      </c>
      <c r="CN357" t="e">
        <f>IF(CB357&lt;CJ357,"yes","no")</f>
        <v>#DIV/0!</v>
      </c>
      <c r="CO357" t="e">
        <f>IF(CC357&lt;CK357,"yes","no")</f>
        <v>#DIV/0!</v>
      </c>
      <c r="CP357" t="e">
        <f>IF(CD357&lt;CL357,"yes","no")</f>
        <v>#DIV/0!</v>
      </c>
      <c r="CQ357" t="e">
        <f>IF(CE357&lt;CM357,"yes","no")</f>
        <v>#DIV/0!</v>
      </c>
      <c r="CR357" t="e">
        <f>TTEST(AS357:AW357,AD357:AH357,2,2)</f>
        <v>#DIV/0!</v>
      </c>
      <c r="CS357" t="e">
        <f>TTEST(AS357:AW357,AN357:AR357,2,2)</f>
        <v>#DIV/0!</v>
      </c>
      <c r="CT357" t="e">
        <f>TTEST(AS357:AW357,AX357:BB357,2,2)</f>
        <v>#DIV/0!</v>
      </c>
      <c r="CU357">
        <v>351</v>
      </c>
      <c r="CV357">
        <v>354</v>
      </c>
      <c r="CW357">
        <v>356</v>
      </c>
      <c r="CX357">
        <f t="shared" si="15"/>
        <v>3.7823275862068968E-2</v>
      </c>
      <c r="CY357">
        <f t="shared" si="16"/>
        <v>3.8146551724137931E-2</v>
      </c>
      <c r="CZ357">
        <f t="shared" si="17"/>
        <v>3.8362068965517242E-2</v>
      </c>
      <c r="DA357" t="e">
        <f>IF(CR357&lt;CX357,"yes","no")</f>
        <v>#DIV/0!</v>
      </c>
      <c r="DB357" t="e">
        <f>IF(CS357&lt;CY357,"yes","no")</f>
        <v>#DIV/0!</v>
      </c>
      <c r="DC357" t="e">
        <f>IF(CT357&lt;CZ357,"yes","no")</f>
        <v>#DIV/0!</v>
      </c>
    </row>
    <row r="358" spans="1:107" x14ac:dyDescent="0.2">
      <c r="A358" s="2" t="b">
        <v>0</v>
      </c>
      <c r="B358" s="2" t="s">
        <v>79</v>
      </c>
      <c r="C358" s="2" t="s">
        <v>80</v>
      </c>
      <c r="D358" s="2" t="s">
        <v>1134</v>
      </c>
      <c r="E358" s="2" t="s">
        <v>1135</v>
      </c>
      <c r="F358" s="2">
        <v>1</v>
      </c>
      <c r="G358" s="2">
        <v>1</v>
      </c>
      <c r="H358" s="2">
        <v>11.2</v>
      </c>
      <c r="I358" s="2">
        <v>4.78</v>
      </c>
      <c r="J358" s="2" t="s">
        <v>83</v>
      </c>
      <c r="K358" s="2" t="s">
        <v>83</v>
      </c>
      <c r="L358" s="2" t="s">
        <v>83</v>
      </c>
      <c r="M358" s="2" t="s">
        <v>83</v>
      </c>
      <c r="N358" s="2" t="s">
        <v>1134</v>
      </c>
      <c r="O358" s="2">
        <v>0.01</v>
      </c>
      <c r="P358" s="2">
        <v>0.01</v>
      </c>
      <c r="Q358" s="2">
        <v>0.01</v>
      </c>
      <c r="R358" s="2">
        <v>100</v>
      </c>
      <c r="S358" s="2" t="s">
        <v>83</v>
      </c>
      <c r="T358" s="2" t="s">
        <v>83</v>
      </c>
      <c r="U358" s="2" t="s">
        <v>83</v>
      </c>
      <c r="V358" s="2" t="s">
        <v>83</v>
      </c>
      <c r="W358" s="2" t="s">
        <v>83</v>
      </c>
      <c r="X358" s="2" t="s">
        <v>83</v>
      </c>
      <c r="Y358" s="2">
        <v>500</v>
      </c>
      <c r="Z358" s="2" t="s">
        <v>83</v>
      </c>
      <c r="AA358" s="2" t="s">
        <v>83</v>
      </c>
      <c r="AB358" s="2" t="s">
        <v>83</v>
      </c>
      <c r="AC358" s="2" t="s">
        <v>83</v>
      </c>
      <c r="AD358" s="2">
        <v>55953.35546875</v>
      </c>
      <c r="AE358" s="2">
        <v>55617.734375</v>
      </c>
      <c r="AF358" s="2" t="s">
        <v>83</v>
      </c>
      <c r="AG358" s="2">
        <v>70237.171875</v>
      </c>
      <c r="AH358" s="2">
        <v>58461.859375</v>
      </c>
      <c r="AI358" s="2" t="s">
        <v>83</v>
      </c>
      <c r="AJ358" s="2" t="s">
        <v>83</v>
      </c>
      <c r="AK358" s="2" t="s">
        <v>83</v>
      </c>
      <c r="AL358" s="2" t="s">
        <v>83</v>
      </c>
      <c r="AM358" s="2" t="s">
        <v>83</v>
      </c>
      <c r="AN358" s="2" t="s">
        <v>83</v>
      </c>
      <c r="AO358" s="2" t="s">
        <v>83</v>
      </c>
      <c r="AP358" s="2" t="s">
        <v>83</v>
      </c>
      <c r="AQ358" s="2" t="s">
        <v>83</v>
      </c>
      <c r="AR358" s="2" t="s">
        <v>83</v>
      </c>
      <c r="AS358" s="2" t="s">
        <v>83</v>
      </c>
      <c r="AT358" s="2" t="s">
        <v>83</v>
      </c>
      <c r="AU358" s="2" t="s">
        <v>83</v>
      </c>
      <c r="AV358" s="2" t="s">
        <v>83</v>
      </c>
      <c r="AW358" s="2" t="s">
        <v>83</v>
      </c>
      <c r="AX358" s="2" t="s">
        <v>83</v>
      </c>
      <c r="AY358" s="2" t="s">
        <v>83</v>
      </c>
      <c r="AZ358" s="2" t="s">
        <v>83</v>
      </c>
      <c r="BA358" s="2" t="s">
        <v>83</v>
      </c>
      <c r="BB358" s="2" t="s">
        <v>83</v>
      </c>
      <c r="BC358" s="2" t="s">
        <v>79</v>
      </c>
      <c r="BD358" s="2" t="s">
        <v>79</v>
      </c>
      <c r="BE358" s="2" t="s">
        <v>79</v>
      </c>
      <c r="BF358" s="2" t="s">
        <v>79</v>
      </c>
      <c r="BG358" s="2" t="s">
        <v>91</v>
      </c>
      <c r="BH358" s="2" t="s">
        <v>98</v>
      </c>
      <c r="BI358" s="2" t="s">
        <v>98</v>
      </c>
      <c r="BJ358" s="2" t="s">
        <v>98</v>
      </c>
      <c r="BK358" s="2" t="s">
        <v>98</v>
      </c>
      <c r="BL358" s="2" t="s">
        <v>98</v>
      </c>
      <c r="BM358" s="2" t="s">
        <v>98</v>
      </c>
      <c r="BN358" s="2" t="s">
        <v>98</v>
      </c>
      <c r="BO358" s="2" t="s">
        <v>98</v>
      </c>
      <c r="BP358" s="2" t="s">
        <v>98</v>
      </c>
      <c r="BQ358" s="2" t="s">
        <v>98</v>
      </c>
      <c r="BR358" s="2" t="s">
        <v>98</v>
      </c>
      <c r="BS358" s="2" t="s">
        <v>98</v>
      </c>
      <c r="BT358" s="2" t="s">
        <v>98</v>
      </c>
      <c r="BU358" s="2" t="s">
        <v>98</v>
      </c>
      <c r="BV358" s="2" t="s">
        <v>98</v>
      </c>
      <c r="BW358" s="2" t="s">
        <v>98</v>
      </c>
      <c r="BX358" s="2" t="s">
        <v>98</v>
      </c>
      <c r="BY358" s="2" t="s">
        <v>98</v>
      </c>
      <c r="BZ358" s="2" t="s">
        <v>98</v>
      </c>
      <c r="CA358" s="2" t="s">
        <v>98</v>
      </c>
      <c r="CB358" t="e">
        <f>TTEST(AS358:AW358,AI358:AM358,2,2)</f>
        <v>#DIV/0!</v>
      </c>
      <c r="CC358" t="e">
        <f>TTEST(AD358:AH358,AI358:AM358,2,2)</f>
        <v>#DIV/0!</v>
      </c>
      <c r="CD358" t="e">
        <f>TTEST(AN358:AR358,AI358:AM358,2,2)</f>
        <v>#DIV/0!</v>
      </c>
      <c r="CE358" t="e">
        <f>TTEST(AX358:BB358,AI358:AM358,2,2)</f>
        <v>#DIV/0!</v>
      </c>
      <c r="CF358">
        <v>334</v>
      </c>
      <c r="CG358">
        <v>348</v>
      </c>
      <c r="CH358">
        <v>352</v>
      </c>
      <c r="CI358">
        <v>355</v>
      </c>
      <c r="CJ358">
        <f>0.05*CF358/464</f>
        <v>3.5991379310344823E-2</v>
      </c>
      <c r="CK358">
        <f>0.05*CG358/464</f>
        <v>3.7500000000000006E-2</v>
      </c>
      <c r="CL358">
        <f>0.05*CH358/464</f>
        <v>3.7931034482758627E-2</v>
      </c>
      <c r="CM358">
        <f>0.05*CI358/464</f>
        <v>3.8254310344827583E-2</v>
      </c>
      <c r="CN358" t="e">
        <f>IF(CB358&lt;CJ358,"yes","no")</f>
        <v>#DIV/0!</v>
      </c>
      <c r="CO358" t="e">
        <f>IF(CC358&lt;CK358,"yes","no")</f>
        <v>#DIV/0!</v>
      </c>
      <c r="CP358" t="e">
        <f>IF(CD358&lt;CL358,"yes","no")</f>
        <v>#DIV/0!</v>
      </c>
      <c r="CQ358" t="e">
        <f>IF(CE358&lt;CM358,"yes","no")</f>
        <v>#DIV/0!</v>
      </c>
      <c r="CR358" t="e">
        <f>TTEST(AS358:AW358,AD358:AH358,2,2)</f>
        <v>#DIV/0!</v>
      </c>
      <c r="CS358" t="e">
        <f>TTEST(AS358:AW358,AN358:AR358,2,2)</f>
        <v>#DIV/0!</v>
      </c>
      <c r="CT358" t="e">
        <f>TTEST(AS358:AW358,AX358:BB358,2,2)</f>
        <v>#DIV/0!</v>
      </c>
      <c r="CU358">
        <v>352</v>
      </c>
      <c r="CV358">
        <v>355</v>
      </c>
      <c r="CW358">
        <v>357</v>
      </c>
      <c r="CX358">
        <f t="shared" si="15"/>
        <v>3.7931034482758627E-2</v>
      </c>
      <c r="CY358">
        <f t="shared" si="16"/>
        <v>3.8254310344827583E-2</v>
      </c>
      <c r="CZ358">
        <f t="shared" si="17"/>
        <v>3.8469827586206901E-2</v>
      </c>
      <c r="DA358" t="e">
        <f>IF(CR358&lt;CX358,"yes","no")</f>
        <v>#DIV/0!</v>
      </c>
      <c r="DB358" t="e">
        <f>IF(CS358&lt;CY358,"yes","no")</f>
        <v>#DIV/0!</v>
      </c>
      <c r="DC358" t="e">
        <f>IF(CT358&lt;CZ358,"yes","no")</f>
        <v>#DIV/0!</v>
      </c>
    </row>
    <row r="359" spans="1:107" x14ac:dyDescent="0.2">
      <c r="A359" s="2" t="b">
        <v>0</v>
      </c>
      <c r="B359" s="2" t="s">
        <v>79</v>
      </c>
      <c r="C359" s="2" t="s">
        <v>80</v>
      </c>
      <c r="D359" s="2" t="s">
        <v>1139</v>
      </c>
      <c r="E359" s="2" t="s">
        <v>1140</v>
      </c>
      <c r="F359" s="2">
        <v>1</v>
      </c>
      <c r="G359" s="2">
        <v>1</v>
      </c>
      <c r="H359" s="2">
        <v>50.5</v>
      </c>
      <c r="I359" s="2">
        <v>7.9</v>
      </c>
      <c r="J359" s="2" t="s">
        <v>792</v>
      </c>
      <c r="K359" s="2" t="s">
        <v>1141</v>
      </c>
      <c r="L359" s="2" t="s">
        <v>83</v>
      </c>
      <c r="M359" s="2" t="s">
        <v>1142</v>
      </c>
      <c r="N359" s="2" t="s">
        <v>1143</v>
      </c>
      <c r="O359" s="2">
        <v>2.605</v>
      </c>
      <c r="P359" s="2">
        <v>0.01</v>
      </c>
      <c r="Q359" s="2">
        <v>1.552</v>
      </c>
      <c r="R359" s="2">
        <v>100</v>
      </c>
      <c r="S359" s="2">
        <v>100</v>
      </c>
      <c r="T359" s="2" t="s">
        <v>83</v>
      </c>
      <c r="U359" s="2">
        <v>100</v>
      </c>
      <c r="V359" s="2">
        <v>0.01</v>
      </c>
      <c r="W359" s="2">
        <v>0.59399999999999997</v>
      </c>
      <c r="X359" s="2">
        <v>100</v>
      </c>
      <c r="Y359" s="2">
        <v>96.8</v>
      </c>
      <c r="Z359" s="2" t="s">
        <v>83</v>
      </c>
      <c r="AA359" s="2">
        <v>252.9</v>
      </c>
      <c r="AB359" s="2" t="s">
        <v>83</v>
      </c>
      <c r="AC359" s="2">
        <v>150.19999999999999</v>
      </c>
      <c r="AD359" s="2">
        <v>287232.25</v>
      </c>
      <c r="AE359" s="2">
        <v>261480.609375</v>
      </c>
      <c r="AF359" s="2">
        <v>260228.953125</v>
      </c>
      <c r="AG359" s="2" t="s">
        <v>83</v>
      </c>
      <c r="AH359" s="2" t="s">
        <v>83</v>
      </c>
      <c r="AI359" s="2" t="s">
        <v>83</v>
      </c>
      <c r="AJ359" s="2" t="s">
        <v>83</v>
      </c>
      <c r="AK359" s="2" t="s">
        <v>83</v>
      </c>
      <c r="AL359" s="2" t="s">
        <v>83</v>
      </c>
      <c r="AM359" s="2" t="s">
        <v>83</v>
      </c>
      <c r="AN359" s="2">
        <v>12397.77734375</v>
      </c>
      <c r="AO359" s="2">
        <v>8438.0048828125</v>
      </c>
      <c r="AP359" s="2">
        <v>17594.181640625</v>
      </c>
      <c r="AQ359" s="2">
        <v>10753.833984375</v>
      </c>
      <c r="AR359" s="2">
        <v>26605.90234375</v>
      </c>
      <c r="AS359" s="2" t="s">
        <v>83</v>
      </c>
      <c r="AT359" s="2" t="s">
        <v>83</v>
      </c>
      <c r="AU359" s="2" t="s">
        <v>83</v>
      </c>
      <c r="AV359" s="2" t="s">
        <v>83</v>
      </c>
      <c r="AW359" s="2" t="s">
        <v>83</v>
      </c>
      <c r="AX359" s="2">
        <v>21511.01953125</v>
      </c>
      <c r="AY359" s="2" t="s">
        <v>83</v>
      </c>
      <c r="AZ359" s="2" t="s">
        <v>83</v>
      </c>
      <c r="BA359" s="2" t="s">
        <v>83</v>
      </c>
      <c r="BB359" s="2" t="s">
        <v>83</v>
      </c>
      <c r="BC359" s="2" t="s">
        <v>79</v>
      </c>
      <c r="BD359" s="2" t="s">
        <v>79</v>
      </c>
      <c r="BE359" s="2" t="s">
        <v>79</v>
      </c>
      <c r="BF359" s="2" t="s">
        <v>98</v>
      </c>
      <c r="BG359" s="2" t="s">
        <v>98</v>
      </c>
      <c r="BH359" s="2" t="s">
        <v>98</v>
      </c>
      <c r="BI359" s="2" t="s">
        <v>98</v>
      </c>
      <c r="BJ359" s="2" t="s">
        <v>98</v>
      </c>
      <c r="BK359" s="2" t="s">
        <v>98</v>
      </c>
      <c r="BL359" s="2" t="s">
        <v>98</v>
      </c>
      <c r="BM359" s="2" t="s">
        <v>91</v>
      </c>
      <c r="BN359" s="2" t="s">
        <v>91</v>
      </c>
      <c r="BO359" s="2" t="s">
        <v>91</v>
      </c>
      <c r="BP359" s="2" t="s">
        <v>91</v>
      </c>
      <c r="BQ359" s="2" t="s">
        <v>91</v>
      </c>
      <c r="BR359" s="2" t="s">
        <v>98</v>
      </c>
      <c r="BS359" s="2" t="s">
        <v>98</v>
      </c>
      <c r="BT359" s="2" t="s">
        <v>98</v>
      </c>
      <c r="BU359" s="2" t="s">
        <v>98</v>
      </c>
      <c r="BV359" s="2" t="s">
        <v>98</v>
      </c>
      <c r="BW359" s="2" t="s">
        <v>91</v>
      </c>
      <c r="BX359" s="2" t="s">
        <v>98</v>
      </c>
      <c r="BY359" s="2" t="s">
        <v>98</v>
      </c>
      <c r="BZ359" s="2" t="s">
        <v>98</v>
      </c>
      <c r="CA359" s="2" t="s">
        <v>98</v>
      </c>
      <c r="CB359" t="e">
        <f>TTEST(AS359:AW359,AI359:AM359,2,2)</f>
        <v>#DIV/0!</v>
      </c>
      <c r="CC359" t="e">
        <f>TTEST(AD359:AH359,AI359:AM359,2,2)</f>
        <v>#DIV/0!</v>
      </c>
      <c r="CD359" t="e">
        <f>TTEST(AN359:AR359,AI359:AM359,2,2)</f>
        <v>#DIV/0!</v>
      </c>
      <c r="CE359" t="e">
        <f>TTEST(AX359:BB359,AI359:AM359,2,2)</f>
        <v>#DIV/0!</v>
      </c>
      <c r="CF359">
        <v>335</v>
      </c>
      <c r="CG359">
        <v>349</v>
      </c>
      <c r="CH359">
        <v>353</v>
      </c>
      <c r="CI359">
        <v>356</v>
      </c>
      <c r="CJ359">
        <f>0.05*CF359/464</f>
        <v>3.6099137931034482E-2</v>
      </c>
      <c r="CK359">
        <f>0.05*CG359/464</f>
        <v>3.7607758620689651E-2</v>
      </c>
      <c r="CL359">
        <f>0.05*CH359/464</f>
        <v>3.8038793103448279E-2</v>
      </c>
      <c r="CM359">
        <f>0.05*CI359/464</f>
        <v>3.8362068965517242E-2</v>
      </c>
      <c r="CN359" t="e">
        <f>IF(CB359&lt;CJ359,"yes","no")</f>
        <v>#DIV/0!</v>
      </c>
      <c r="CO359" t="e">
        <f>IF(CC359&lt;CK359,"yes","no")</f>
        <v>#DIV/0!</v>
      </c>
      <c r="CP359" t="e">
        <f>IF(CD359&lt;CL359,"yes","no")</f>
        <v>#DIV/0!</v>
      </c>
      <c r="CQ359" t="e">
        <f>IF(CE359&lt;CM359,"yes","no")</f>
        <v>#DIV/0!</v>
      </c>
      <c r="CR359" t="e">
        <f>TTEST(AS359:AW359,AD359:AH359,2,2)</f>
        <v>#DIV/0!</v>
      </c>
      <c r="CS359" t="e">
        <f>TTEST(AS359:AW359,AN359:AR359,2,2)</f>
        <v>#DIV/0!</v>
      </c>
      <c r="CT359" t="e">
        <f>TTEST(AS359:AW359,AX359:BB359,2,2)</f>
        <v>#DIV/0!</v>
      </c>
      <c r="CU359">
        <v>353</v>
      </c>
      <c r="CV359">
        <v>356</v>
      </c>
      <c r="CW359">
        <v>358</v>
      </c>
      <c r="CX359">
        <f t="shared" si="15"/>
        <v>3.8038793103448279E-2</v>
      </c>
      <c r="CY359">
        <f t="shared" si="16"/>
        <v>3.8362068965517242E-2</v>
      </c>
      <c r="CZ359">
        <f t="shared" si="17"/>
        <v>3.8577586206896559E-2</v>
      </c>
      <c r="DA359" t="e">
        <f>IF(CR359&lt;CX359,"yes","no")</f>
        <v>#DIV/0!</v>
      </c>
      <c r="DB359" t="e">
        <f>IF(CS359&lt;CY359,"yes","no")</f>
        <v>#DIV/0!</v>
      </c>
      <c r="DC359" t="e">
        <f>IF(CT359&lt;CZ359,"yes","no")</f>
        <v>#DIV/0!</v>
      </c>
    </row>
    <row r="360" spans="1:107" x14ac:dyDescent="0.2">
      <c r="A360" s="2" t="b">
        <v>0</v>
      </c>
      <c r="B360" s="2" t="s">
        <v>79</v>
      </c>
      <c r="C360" s="2" t="s">
        <v>80</v>
      </c>
      <c r="D360" s="2" t="s">
        <v>1144</v>
      </c>
      <c r="E360" s="2" t="s">
        <v>1145</v>
      </c>
      <c r="F360" s="2">
        <v>1</v>
      </c>
      <c r="G360" s="2">
        <v>1</v>
      </c>
      <c r="H360" s="2">
        <v>11.9</v>
      </c>
      <c r="I360" s="2">
        <v>6.06</v>
      </c>
      <c r="J360" s="2" t="s">
        <v>254</v>
      </c>
      <c r="K360" s="2" t="s">
        <v>319</v>
      </c>
      <c r="L360" s="2" t="s">
        <v>83</v>
      </c>
      <c r="M360" s="2" t="s">
        <v>83</v>
      </c>
      <c r="N360" s="2" t="s">
        <v>1144</v>
      </c>
      <c r="O360" s="2" t="s">
        <v>83</v>
      </c>
      <c r="P360" s="2" t="s">
        <v>83</v>
      </c>
      <c r="Q360" s="2" t="s">
        <v>83</v>
      </c>
      <c r="R360" s="2" t="s">
        <v>83</v>
      </c>
      <c r="S360" s="2" t="s">
        <v>83</v>
      </c>
      <c r="T360" s="2" t="s">
        <v>83</v>
      </c>
      <c r="U360" s="2" t="s">
        <v>83</v>
      </c>
      <c r="V360" s="2" t="s">
        <v>83</v>
      </c>
      <c r="W360" s="2" t="s">
        <v>83</v>
      </c>
      <c r="X360" s="2" t="s">
        <v>83</v>
      </c>
      <c r="Y360" s="2" t="s">
        <v>83</v>
      </c>
      <c r="Z360" s="2" t="s">
        <v>83</v>
      </c>
      <c r="AA360" s="2" t="s">
        <v>83</v>
      </c>
      <c r="AB360" s="2" t="s">
        <v>83</v>
      </c>
      <c r="AC360" s="2" t="s">
        <v>83</v>
      </c>
      <c r="AD360" s="2" t="s">
        <v>83</v>
      </c>
      <c r="AE360" s="2" t="s">
        <v>83</v>
      </c>
      <c r="AF360" s="2" t="s">
        <v>83</v>
      </c>
      <c r="AG360" s="2" t="s">
        <v>83</v>
      </c>
      <c r="AH360" s="2" t="s">
        <v>83</v>
      </c>
      <c r="AI360" s="2" t="s">
        <v>83</v>
      </c>
      <c r="AJ360" s="2" t="s">
        <v>83</v>
      </c>
      <c r="AK360" s="2" t="s">
        <v>83</v>
      </c>
      <c r="AL360" s="2" t="s">
        <v>83</v>
      </c>
      <c r="AM360" s="2" t="s">
        <v>83</v>
      </c>
      <c r="AN360" s="2" t="s">
        <v>83</v>
      </c>
      <c r="AO360" s="2" t="s">
        <v>83</v>
      </c>
      <c r="AP360" s="2" t="s">
        <v>83</v>
      </c>
      <c r="AQ360" s="2" t="s">
        <v>83</v>
      </c>
      <c r="AR360" s="2" t="s">
        <v>83</v>
      </c>
      <c r="AS360" s="2" t="s">
        <v>83</v>
      </c>
      <c r="AT360" s="2" t="s">
        <v>83</v>
      </c>
      <c r="AU360" s="2" t="s">
        <v>83</v>
      </c>
      <c r="AV360" s="2" t="s">
        <v>83</v>
      </c>
      <c r="AW360" s="2" t="s">
        <v>83</v>
      </c>
      <c r="AX360" s="2" t="s">
        <v>83</v>
      </c>
      <c r="AY360" s="2" t="s">
        <v>83</v>
      </c>
      <c r="AZ360" s="2" t="s">
        <v>83</v>
      </c>
      <c r="BA360" s="2" t="s">
        <v>83</v>
      </c>
      <c r="BB360" s="2" t="s">
        <v>83</v>
      </c>
      <c r="BC360" s="2" t="s">
        <v>79</v>
      </c>
      <c r="BD360" s="2" t="s">
        <v>79</v>
      </c>
      <c r="BE360" s="2" t="s">
        <v>79</v>
      </c>
      <c r="BF360" s="2" t="s">
        <v>79</v>
      </c>
      <c r="BG360" s="2" t="s">
        <v>79</v>
      </c>
      <c r="BH360" s="2" t="s">
        <v>98</v>
      </c>
      <c r="BI360" s="2" t="s">
        <v>98</v>
      </c>
      <c r="BJ360" s="2" t="s">
        <v>98</v>
      </c>
      <c r="BK360" s="2" t="s">
        <v>79</v>
      </c>
      <c r="BL360" s="2" t="s">
        <v>98</v>
      </c>
      <c r="BM360" s="2" t="s">
        <v>79</v>
      </c>
      <c r="BN360" s="2" t="s">
        <v>79</v>
      </c>
      <c r="BO360" s="2" t="s">
        <v>79</v>
      </c>
      <c r="BP360" s="2" t="s">
        <v>79</v>
      </c>
      <c r="BQ360" s="2" t="s">
        <v>79</v>
      </c>
      <c r="BR360" s="2" t="s">
        <v>79</v>
      </c>
      <c r="BS360" s="2" t="s">
        <v>79</v>
      </c>
      <c r="BT360" s="2" t="s">
        <v>79</v>
      </c>
      <c r="BU360" s="2" t="s">
        <v>79</v>
      </c>
      <c r="BV360" s="2" t="s">
        <v>79</v>
      </c>
      <c r="BW360" s="2" t="s">
        <v>98</v>
      </c>
      <c r="BX360" s="2" t="s">
        <v>98</v>
      </c>
      <c r="BY360" s="2" t="s">
        <v>98</v>
      </c>
      <c r="BZ360" s="2" t="s">
        <v>98</v>
      </c>
      <c r="CA360" s="2" t="s">
        <v>98</v>
      </c>
      <c r="CB360" t="e">
        <f>TTEST(AS360:AW360,AI360:AM360,2,2)</f>
        <v>#DIV/0!</v>
      </c>
      <c r="CC360" t="e">
        <f>TTEST(AD360:AH360,AI360:AM360,2,2)</f>
        <v>#DIV/0!</v>
      </c>
      <c r="CD360" t="e">
        <f>TTEST(AN360:AR360,AI360:AM360,2,2)</f>
        <v>#DIV/0!</v>
      </c>
      <c r="CE360" t="e">
        <f>TTEST(AX360:BB360,AI360:AM360,2,2)</f>
        <v>#DIV/0!</v>
      </c>
      <c r="CF360">
        <v>336</v>
      </c>
      <c r="CG360">
        <v>350</v>
      </c>
      <c r="CH360">
        <v>354</v>
      </c>
      <c r="CI360">
        <v>357</v>
      </c>
      <c r="CJ360">
        <f>0.05*CF360/464</f>
        <v>3.6206896551724141E-2</v>
      </c>
      <c r="CK360">
        <f>0.05*CG360/464</f>
        <v>3.7715517241379309E-2</v>
      </c>
      <c r="CL360">
        <f>0.05*CH360/464</f>
        <v>3.8146551724137931E-2</v>
      </c>
      <c r="CM360">
        <f>0.05*CI360/464</f>
        <v>3.8469827586206901E-2</v>
      </c>
      <c r="CN360" t="e">
        <f>IF(CB360&lt;CJ360,"yes","no")</f>
        <v>#DIV/0!</v>
      </c>
      <c r="CO360" t="e">
        <f>IF(CC360&lt;CK360,"yes","no")</f>
        <v>#DIV/0!</v>
      </c>
      <c r="CP360" t="e">
        <f>IF(CD360&lt;CL360,"yes","no")</f>
        <v>#DIV/0!</v>
      </c>
      <c r="CQ360" t="e">
        <f>IF(CE360&lt;CM360,"yes","no")</f>
        <v>#DIV/0!</v>
      </c>
      <c r="CR360" t="e">
        <f>TTEST(AS360:AW360,AD360:AH360,2,2)</f>
        <v>#DIV/0!</v>
      </c>
      <c r="CS360" t="e">
        <f>TTEST(AS360:AW360,AN360:AR360,2,2)</f>
        <v>#DIV/0!</v>
      </c>
      <c r="CT360" t="e">
        <f>TTEST(AS360:AW360,AX360:BB360,2,2)</f>
        <v>#DIV/0!</v>
      </c>
      <c r="CU360">
        <v>354</v>
      </c>
      <c r="CV360">
        <v>357</v>
      </c>
      <c r="CW360">
        <v>359</v>
      </c>
      <c r="CX360">
        <f t="shared" si="15"/>
        <v>3.8146551724137931E-2</v>
      </c>
      <c r="CY360">
        <f t="shared" si="16"/>
        <v>3.8469827586206901E-2</v>
      </c>
      <c r="CZ360">
        <f t="shared" si="17"/>
        <v>3.8685344827586204E-2</v>
      </c>
      <c r="DA360" t="e">
        <f>IF(CR360&lt;CX360,"yes","no")</f>
        <v>#DIV/0!</v>
      </c>
      <c r="DB360" t="e">
        <f>IF(CS360&lt;CY360,"yes","no")</f>
        <v>#DIV/0!</v>
      </c>
      <c r="DC360" t="e">
        <f>IF(CT360&lt;CZ360,"yes","no")</f>
        <v>#DIV/0!</v>
      </c>
    </row>
    <row r="361" spans="1:107" x14ac:dyDescent="0.2">
      <c r="A361" s="2" t="b">
        <v>0</v>
      </c>
      <c r="B361" s="2" t="s">
        <v>79</v>
      </c>
      <c r="C361" s="2" t="s">
        <v>80</v>
      </c>
      <c r="D361" s="2" t="s">
        <v>1167</v>
      </c>
      <c r="E361" s="2" t="s">
        <v>1168</v>
      </c>
      <c r="F361" s="2">
        <v>1</v>
      </c>
      <c r="G361" s="2">
        <v>1</v>
      </c>
      <c r="H361" s="2">
        <v>50.2</v>
      </c>
      <c r="I361" s="2">
        <v>6.81</v>
      </c>
      <c r="J361" s="2" t="s">
        <v>101</v>
      </c>
      <c r="K361" s="2" t="s">
        <v>84</v>
      </c>
      <c r="L361" s="2" t="s">
        <v>102</v>
      </c>
      <c r="M361" s="2" t="s">
        <v>1169</v>
      </c>
      <c r="N361" s="2" t="s">
        <v>1170</v>
      </c>
      <c r="O361" s="2">
        <v>0.01</v>
      </c>
      <c r="P361" s="2">
        <v>0.01</v>
      </c>
      <c r="Q361" s="2">
        <v>7.5789999999999997</v>
      </c>
      <c r="R361" s="2">
        <v>100</v>
      </c>
      <c r="S361" s="2" t="s">
        <v>83</v>
      </c>
      <c r="T361" s="2" t="s">
        <v>83</v>
      </c>
      <c r="U361" s="2">
        <v>100</v>
      </c>
      <c r="V361" s="2" t="s">
        <v>83</v>
      </c>
      <c r="W361" s="2">
        <v>100</v>
      </c>
      <c r="X361" s="2">
        <v>100</v>
      </c>
      <c r="Y361" s="2">
        <v>58.3</v>
      </c>
      <c r="Z361" s="2" t="s">
        <v>83</v>
      </c>
      <c r="AA361" s="2" t="s">
        <v>83</v>
      </c>
      <c r="AB361" s="2" t="s">
        <v>83</v>
      </c>
      <c r="AC361" s="2">
        <v>441.7</v>
      </c>
      <c r="AD361" s="2">
        <v>124752.1484375</v>
      </c>
      <c r="AE361" s="2">
        <v>97778.3671875</v>
      </c>
      <c r="AF361" s="2">
        <v>80707.9140625</v>
      </c>
      <c r="AG361" s="2">
        <v>126657.84375</v>
      </c>
      <c r="AH361" s="2">
        <v>115743.6015625</v>
      </c>
      <c r="AI361" s="2" t="s">
        <v>83</v>
      </c>
      <c r="AJ361" s="2" t="s">
        <v>83</v>
      </c>
      <c r="AK361" s="2" t="s">
        <v>83</v>
      </c>
      <c r="AL361" s="2" t="s">
        <v>83</v>
      </c>
      <c r="AM361" s="2" t="s">
        <v>83</v>
      </c>
      <c r="AN361" s="2" t="s">
        <v>83</v>
      </c>
      <c r="AO361" s="2" t="s">
        <v>83</v>
      </c>
      <c r="AP361" s="2" t="s">
        <v>83</v>
      </c>
      <c r="AQ361" s="2" t="s">
        <v>83</v>
      </c>
      <c r="AR361" s="2" t="s">
        <v>83</v>
      </c>
      <c r="AS361" s="2" t="s">
        <v>83</v>
      </c>
      <c r="AT361" s="2" t="s">
        <v>83</v>
      </c>
      <c r="AU361" s="2" t="s">
        <v>83</v>
      </c>
      <c r="AV361" s="2" t="s">
        <v>83</v>
      </c>
      <c r="AW361" s="2" t="s">
        <v>83</v>
      </c>
      <c r="AX361" s="2" t="s">
        <v>83</v>
      </c>
      <c r="AY361" s="2" t="s">
        <v>83</v>
      </c>
      <c r="AZ361" s="2" t="s">
        <v>83</v>
      </c>
      <c r="BA361" s="2">
        <v>41055.0546875</v>
      </c>
      <c r="BB361" s="2" t="s">
        <v>83</v>
      </c>
      <c r="BC361" s="2" t="s">
        <v>79</v>
      </c>
      <c r="BD361" s="2" t="s">
        <v>79</v>
      </c>
      <c r="BE361" s="2" t="s">
        <v>79</v>
      </c>
      <c r="BF361" s="2" t="s">
        <v>79</v>
      </c>
      <c r="BG361" s="2" t="s">
        <v>79</v>
      </c>
      <c r="BH361" s="2" t="s">
        <v>98</v>
      </c>
      <c r="BI361" s="2" t="s">
        <v>98</v>
      </c>
      <c r="BJ361" s="2" t="s">
        <v>98</v>
      </c>
      <c r="BK361" s="2" t="s">
        <v>98</v>
      </c>
      <c r="BL361" s="2" t="s">
        <v>98</v>
      </c>
      <c r="BM361" s="2" t="s">
        <v>98</v>
      </c>
      <c r="BN361" s="2" t="s">
        <v>98</v>
      </c>
      <c r="BO361" s="2" t="s">
        <v>98</v>
      </c>
      <c r="BP361" s="2" t="s">
        <v>98</v>
      </c>
      <c r="BQ361" s="2" t="s">
        <v>98</v>
      </c>
      <c r="BR361" s="2" t="s">
        <v>98</v>
      </c>
      <c r="BS361" s="2" t="s">
        <v>98</v>
      </c>
      <c r="BT361" s="2" t="s">
        <v>98</v>
      </c>
      <c r="BU361" s="2" t="s">
        <v>98</v>
      </c>
      <c r="BV361" s="2" t="s">
        <v>98</v>
      </c>
      <c r="BW361" s="2" t="s">
        <v>98</v>
      </c>
      <c r="BX361" s="2" t="s">
        <v>98</v>
      </c>
      <c r="BY361" s="2" t="s">
        <v>98</v>
      </c>
      <c r="BZ361" s="2" t="s">
        <v>91</v>
      </c>
      <c r="CA361" s="2" t="s">
        <v>98</v>
      </c>
      <c r="CB361" t="e">
        <f>TTEST(AS361:AW361,AI361:AM361,2,2)</f>
        <v>#DIV/0!</v>
      </c>
      <c r="CC361" t="e">
        <f>TTEST(AD361:AH361,AI361:AM361,2,2)</f>
        <v>#DIV/0!</v>
      </c>
      <c r="CD361" t="e">
        <f>TTEST(AN361:AR361,AI361:AM361,2,2)</f>
        <v>#DIV/0!</v>
      </c>
      <c r="CE361" t="e">
        <f>TTEST(AX361:BB361,AI361:AM361,2,2)</f>
        <v>#DIV/0!</v>
      </c>
      <c r="CF361">
        <v>337</v>
      </c>
      <c r="CG361">
        <v>351</v>
      </c>
      <c r="CH361">
        <v>355</v>
      </c>
      <c r="CI361">
        <v>358</v>
      </c>
      <c r="CJ361">
        <f>0.05*CF361/464</f>
        <v>3.6314655172413793E-2</v>
      </c>
      <c r="CK361">
        <f>0.05*CG361/464</f>
        <v>3.7823275862068968E-2</v>
      </c>
      <c r="CL361">
        <f>0.05*CH361/464</f>
        <v>3.8254310344827583E-2</v>
      </c>
      <c r="CM361">
        <f>0.05*CI361/464</f>
        <v>3.8577586206896559E-2</v>
      </c>
      <c r="CN361" t="e">
        <f>IF(CB361&lt;CJ361,"yes","no")</f>
        <v>#DIV/0!</v>
      </c>
      <c r="CO361" t="e">
        <f>IF(CC361&lt;CK361,"yes","no")</f>
        <v>#DIV/0!</v>
      </c>
      <c r="CP361" t="e">
        <f>IF(CD361&lt;CL361,"yes","no")</f>
        <v>#DIV/0!</v>
      </c>
      <c r="CQ361" t="e">
        <f>IF(CE361&lt;CM361,"yes","no")</f>
        <v>#DIV/0!</v>
      </c>
      <c r="CR361" t="e">
        <f>TTEST(AS361:AW361,AD361:AH361,2,2)</f>
        <v>#DIV/0!</v>
      </c>
      <c r="CS361" t="e">
        <f>TTEST(AS361:AW361,AN361:AR361,2,2)</f>
        <v>#DIV/0!</v>
      </c>
      <c r="CT361" t="e">
        <f>TTEST(AS361:AW361,AX361:BB361,2,2)</f>
        <v>#DIV/0!</v>
      </c>
      <c r="CU361">
        <v>355</v>
      </c>
      <c r="CV361">
        <v>358</v>
      </c>
      <c r="CW361">
        <v>360</v>
      </c>
      <c r="CX361">
        <f t="shared" si="15"/>
        <v>3.8254310344827583E-2</v>
      </c>
      <c r="CY361">
        <f t="shared" si="16"/>
        <v>3.8577586206896559E-2</v>
      </c>
      <c r="CZ361">
        <f t="shared" si="17"/>
        <v>3.8793103448275863E-2</v>
      </c>
      <c r="DA361" t="e">
        <f>IF(CR361&lt;CX361,"yes","no")</f>
        <v>#DIV/0!</v>
      </c>
      <c r="DB361" t="e">
        <f>IF(CS361&lt;CY361,"yes","no")</f>
        <v>#DIV/0!</v>
      </c>
      <c r="DC361" t="e">
        <f>IF(CT361&lt;CZ361,"yes","no")</f>
        <v>#DIV/0!</v>
      </c>
    </row>
    <row r="362" spans="1:107" x14ac:dyDescent="0.2">
      <c r="A362" s="2" t="b">
        <v>0</v>
      </c>
      <c r="B362" s="2" t="s">
        <v>79</v>
      </c>
      <c r="C362" s="2" t="s">
        <v>80</v>
      </c>
      <c r="D362" s="2" t="s">
        <v>1171</v>
      </c>
      <c r="E362" s="2" t="s">
        <v>1172</v>
      </c>
      <c r="F362" s="2">
        <v>2</v>
      </c>
      <c r="G362" s="2">
        <v>2</v>
      </c>
      <c r="H362" s="2">
        <v>92.8</v>
      </c>
      <c r="I362" s="2">
        <v>5.43</v>
      </c>
      <c r="J362" s="2" t="s">
        <v>89</v>
      </c>
      <c r="K362" s="2" t="s">
        <v>338</v>
      </c>
      <c r="L362" s="2" t="s">
        <v>83</v>
      </c>
      <c r="M362" s="2" t="s">
        <v>1173</v>
      </c>
      <c r="N362" s="2" t="s">
        <v>1171</v>
      </c>
      <c r="O362" s="2">
        <v>0.01</v>
      </c>
      <c r="P362" s="2">
        <v>0.01</v>
      </c>
      <c r="Q362" s="2">
        <v>0.01</v>
      </c>
      <c r="R362" s="2">
        <v>100</v>
      </c>
      <c r="S362" s="2" t="s">
        <v>83</v>
      </c>
      <c r="T362" s="2" t="s">
        <v>83</v>
      </c>
      <c r="U362" s="2" t="s">
        <v>83</v>
      </c>
      <c r="V362" s="2" t="s">
        <v>83</v>
      </c>
      <c r="W362" s="2" t="s">
        <v>83</v>
      </c>
      <c r="X362" s="2" t="s">
        <v>83</v>
      </c>
      <c r="Y362" s="2">
        <v>500</v>
      </c>
      <c r="Z362" s="2" t="s">
        <v>83</v>
      </c>
      <c r="AA362" s="2" t="s">
        <v>83</v>
      </c>
      <c r="AB362" s="2" t="s">
        <v>83</v>
      </c>
      <c r="AC362" s="2" t="s">
        <v>83</v>
      </c>
      <c r="AD362" s="2">
        <v>370386.625</v>
      </c>
      <c r="AE362" s="2">
        <v>252960.1875</v>
      </c>
      <c r="AF362" s="2">
        <v>321864.65625</v>
      </c>
      <c r="AG362" s="2" t="s">
        <v>83</v>
      </c>
      <c r="AH362" s="2" t="s">
        <v>83</v>
      </c>
      <c r="AI362" s="2" t="s">
        <v>83</v>
      </c>
      <c r="AJ362" s="2" t="s">
        <v>83</v>
      </c>
      <c r="AK362" s="2" t="s">
        <v>83</v>
      </c>
      <c r="AL362" s="2" t="s">
        <v>83</v>
      </c>
      <c r="AM362" s="2" t="s">
        <v>83</v>
      </c>
      <c r="AN362" s="2" t="s">
        <v>83</v>
      </c>
      <c r="AO362" s="2" t="s">
        <v>83</v>
      </c>
      <c r="AP362" s="2" t="s">
        <v>83</v>
      </c>
      <c r="AQ362" s="2" t="s">
        <v>83</v>
      </c>
      <c r="AR362" s="2" t="s">
        <v>83</v>
      </c>
      <c r="AS362" s="2" t="s">
        <v>83</v>
      </c>
      <c r="AT362" s="2" t="s">
        <v>83</v>
      </c>
      <c r="AU362" s="2" t="s">
        <v>83</v>
      </c>
      <c r="AV362" s="2" t="s">
        <v>83</v>
      </c>
      <c r="AW362" s="2" t="s">
        <v>83</v>
      </c>
      <c r="AX362" s="2" t="s">
        <v>83</v>
      </c>
      <c r="AY362" s="2" t="s">
        <v>83</v>
      </c>
      <c r="AZ362" s="2" t="s">
        <v>83</v>
      </c>
      <c r="BA362" s="2" t="s">
        <v>83</v>
      </c>
      <c r="BB362" s="2" t="s">
        <v>83</v>
      </c>
      <c r="BC362" s="2" t="s">
        <v>79</v>
      </c>
      <c r="BD362" s="2" t="s">
        <v>79</v>
      </c>
      <c r="BE362" s="2" t="s">
        <v>79</v>
      </c>
      <c r="BF362" s="2" t="s">
        <v>98</v>
      </c>
      <c r="BG362" s="2" t="s">
        <v>98</v>
      </c>
      <c r="BH362" s="2" t="s">
        <v>98</v>
      </c>
      <c r="BI362" s="2" t="s">
        <v>98</v>
      </c>
      <c r="BJ362" s="2" t="s">
        <v>98</v>
      </c>
      <c r="BK362" s="2" t="s">
        <v>98</v>
      </c>
      <c r="BL362" s="2" t="s">
        <v>98</v>
      </c>
      <c r="BM362" s="2" t="s">
        <v>98</v>
      </c>
      <c r="BN362" s="2" t="s">
        <v>98</v>
      </c>
      <c r="BO362" s="2" t="s">
        <v>98</v>
      </c>
      <c r="BP362" s="2" t="s">
        <v>98</v>
      </c>
      <c r="BQ362" s="2" t="s">
        <v>98</v>
      </c>
      <c r="BR362" s="2" t="s">
        <v>98</v>
      </c>
      <c r="BS362" s="2" t="s">
        <v>98</v>
      </c>
      <c r="BT362" s="2" t="s">
        <v>98</v>
      </c>
      <c r="BU362" s="2" t="s">
        <v>98</v>
      </c>
      <c r="BV362" s="2" t="s">
        <v>98</v>
      </c>
      <c r="BW362" s="2" t="s">
        <v>98</v>
      </c>
      <c r="BX362" s="2" t="s">
        <v>98</v>
      </c>
      <c r="BY362" s="2" t="s">
        <v>98</v>
      </c>
      <c r="BZ362" s="2" t="s">
        <v>98</v>
      </c>
      <c r="CA362" s="2" t="s">
        <v>98</v>
      </c>
      <c r="CB362" t="e">
        <f>TTEST(AS362:AW362,AI362:AM362,2,2)</f>
        <v>#DIV/0!</v>
      </c>
      <c r="CC362" t="e">
        <f>TTEST(AD362:AH362,AI362:AM362,2,2)</f>
        <v>#DIV/0!</v>
      </c>
      <c r="CD362" t="e">
        <f>TTEST(AN362:AR362,AI362:AM362,2,2)</f>
        <v>#DIV/0!</v>
      </c>
      <c r="CE362" t="e">
        <f>TTEST(AX362:BB362,AI362:AM362,2,2)</f>
        <v>#DIV/0!</v>
      </c>
      <c r="CF362">
        <v>338</v>
      </c>
      <c r="CG362">
        <v>352</v>
      </c>
      <c r="CH362">
        <v>356</v>
      </c>
      <c r="CI362">
        <v>359</v>
      </c>
      <c r="CJ362">
        <f>0.05*CF362/464</f>
        <v>3.6422413793103452E-2</v>
      </c>
      <c r="CK362">
        <f>0.05*CG362/464</f>
        <v>3.7931034482758627E-2</v>
      </c>
      <c r="CL362">
        <f>0.05*CH362/464</f>
        <v>3.8362068965517242E-2</v>
      </c>
      <c r="CM362">
        <f>0.05*CI362/464</f>
        <v>3.8685344827586204E-2</v>
      </c>
      <c r="CN362" t="e">
        <f>IF(CB362&lt;CJ362,"yes","no")</f>
        <v>#DIV/0!</v>
      </c>
      <c r="CO362" t="e">
        <f>IF(CC362&lt;CK362,"yes","no")</f>
        <v>#DIV/0!</v>
      </c>
      <c r="CP362" t="e">
        <f>IF(CD362&lt;CL362,"yes","no")</f>
        <v>#DIV/0!</v>
      </c>
      <c r="CQ362" t="e">
        <f>IF(CE362&lt;CM362,"yes","no")</f>
        <v>#DIV/0!</v>
      </c>
      <c r="CR362" t="e">
        <f>TTEST(AS362:AW362,AD362:AH362,2,2)</f>
        <v>#DIV/0!</v>
      </c>
      <c r="CS362" t="e">
        <f>TTEST(AS362:AW362,AN362:AR362,2,2)</f>
        <v>#DIV/0!</v>
      </c>
      <c r="CT362" t="e">
        <f>TTEST(AS362:AW362,AX362:BB362,2,2)</f>
        <v>#DIV/0!</v>
      </c>
      <c r="CU362">
        <v>356</v>
      </c>
      <c r="CV362">
        <v>359</v>
      </c>
      <c r="CW362">
        <v>361</v>
      </c>
      <c r="CX362">
        <f t="shared" si="15"/>
        <v>3.8362068965517242E-2</v>
      </c>
      <c r="CY362">
        <f t="shared" si="16"/>
        <v>3.8685344827586204E-2</v>
      </c>
      <c r="CZ362">
        <f t="shared" si="17"/>
        <v>3.8900862068965522E-2</v>
      </c>
      <c r="DA362" t="e">
        <f>IF(CR362&lt;CX362,"yes","no")</f>
        <v>#DIV/0!</v>
      </c>
      <c r="DB362" t="e">
        <f>IF(CS362&lt;CY362,"yes","no")</f>
        <v>#DIV/0!</v>
      </c>
      <c r="DC362" t="e">
        <f>IF(CT362&lt;CZ362,"yes","no")</f>
        <v>#DIV/0!</v>
      </c>
    </row>
    <row r="363" spans="1:107" x14ac:dyDescent="0.2">
      <c r="A363" s="2" t="b">
        <v>0</v>
      </c>
      <c r="B363" s="2" t="s">
        <v>79</v>
      </c>
      <c r="C363" s="2" t="s">
        <v>80</v>
      </c>
      <c r="D363" s="2" t="s">
        <v>1176</v>
      </c>
      <c r="E363" s="2" t="s">
        <v>1177</v>
      </c>
      <c r="F363" s="2">
        <v>2</v>
      </c>
      <c r="G363" s="2">
        <v>2</v>
      </c>
      <c r="H363" s="2">
        <v>63.5</v>
      </c>
      <c r="I363" s="2">
        <v>6.09</v>
      </c>
      <c r="J363" s="2" t="s">
        <v>135</v>
      </c>
      <c r="K363" s="2" t="s">
        <v>381</v>
      </c>
      <c r="L363" s="2" t="s">
        <v>119</v>
      </c>
      <c r="M363" s="2" t="s">
        <v>1178</v>
      </c>
      <c r="N363" s="2" t="s">
        <v>1179</v>
      </c>
      <c r="O363" s="2">
        <v>0.01</v>
      </c>
      <c r="P363" s="2">
        <v>0.01</v>
      </c>
      <c r="Q363" s="2">
        <v>11.148999999999999</v>
      </c>
      <c r="R363" s="2">
        <v>100</v>
      </c>
      <c r="S363" s="2" t="s">
        <v>83</v>
      </c>
      <c r="T363" s="2" t="s">
        <v>83</v>
      </c>
      <c r="U363" s="2">
        <v>100</v>
      </c>
      <c r="V363" s="2" t="s">
        <v>83</v>
      </c>
      <c r="W363" s="2">
        <v>100</v>
      </c>
      <c r="X363" s="2">
        <v>100</v>
      </c>
      <c r="Y363" s="2">
        <v>87.7</v>
      </c>
      <c r="Z363" s="2" t="s">
        <v>83</v>
      </c>
      <c r="AA363" s="2" t="s">
        <v>83</v>
      </c>
      <c r="AB363" s="2" t="s">
        <v>83</v>
      </c>
      <c r="AC363" s="2">
        <v>412.3</v>
      </c>
      <c r="AD363" s="2">
        <v>51398.640625</v>
      </c>
      <c r="AE363" s="2">
        <v>116093.6328125</v>
      </c>
      <c r="AF363" s="2">
        <v>112456.0078125</v>
      </c>
      <c r="AG363" s="2">
        <v>189896.3046875</v>
      </c>
      <c r="AH363" s="2">
        <v>64579.2734375</v>
      </c>
      <c r="AI363" s="2" t="s">
        <v>83</v>
      </c>
      <c r="AJ363" s="2" t="s">
        <v>83</v>
      </c>
      <c r="AK363" s="2" t="s">
        <v>83</v>
      </c>
      <c r="AL363" s="2" t="s">
        <v>83</v>
      </c>
      <c r="AM363" s="2" t="s">
        <v>83</v>
      </c>
      <c r="AN363" s="2" t="s">
        <v>83</v>
      </c>
      <c r="AO363" s="2" t="s">
        <v>83</v>
      </c>
      <c r="AP363" s="2" t="s">
        <v>83</v>
      </c>
      <c r="AQ363" s="2" t="s">
        <v>83</v>
      </c>
      <c r="AR363" s="2" t="s">
        <v>83</v>
      </c>
      <c r="AS363" s="2" t="s">
        <v>83</v>
      </c>
      <c r="AT363" s="2" t="s">
        <v>83</v>
      </c>
      <c r="AU363" s="2" t="s">
        <v>83</v>
      </c>
      <c r="AV363" s="2" t="s">
        <v>83</v>
      </c>
      <c r="AW363" s="2" t="s">
        <v>83</v>
      </c>
      <c r="AX363" s="2" t="s">
        <v>83</v>
      </c>
      <c r="AY363" s="2">
        <v>54679.05859375</v>
      </c>
      <c r="AZ363" s="2">
        <v>47618.6875</v>
      </c>
      <c r="BA363" s="2">
        <v>12597.7744140625</v>
      </c>
      <c r="BB363" s="2" t="s">
        <v>83</v>
      </c>
      <c r="BC363" s="2" t="s">
        <v>79</v>
      </c>
      <c r="BD363" s="2" t="s">
        <v>91</v>
      </c>
      <c r="BE363" s="2" t="s">
        <v>79</v>
      </c>
      <c r="BF363" s="2" t="s">
        <v>79</v>
      </c>
      <c r="BG363" s="2" t="s">
        <v>91</v>
      </c>
      <c r="BH363" s="2" t="s">
        <v>98</v>
      </c>
      <c r="BI363" s="2" t="s">
        <v>98</v>
      </c>
      <c r="BJ363" s="2" t="s">
        <v>98</v>
      </c>
      <c r="BK363" s="2" t="s">
        <v>98</v>
      </c>
      <c r="BL363" s="2" t="s">
        <v>98</v>
      </c>
      <c r="BM363" s="2" t="s">
        <v>98</v>
      </c>
      <c r="BN363" s="2" t="s">
        <v>98</v>
      </c>
      <c r="BO363" s="2" t="s">
        <v>98</v>
      </c>
      <c r="BP363" s="2" t="s">
        <v>98</v>
      </c>
      <c r="BQ363" s="2" t="s">
        <v>98</v>
      </c>
      <c r="BR363" s="2" t="s">
        <v>98</v>
      </c>
      <c r="BS363" s="2" t="s">
        <v>98</v>
      </c>
      <c r="BT363" s="2" t="s">
        <v>98</v>
      </c>
      <c r="BU363" s="2" t="s">
        <v>98</v>
      </c>
      <c r="BV363" s="2" t="s">
        <v>98</v>
      </c>
      <c r="BW363" s="2" t="s">
        <v>98</v>
      </c>
      <c r="BX363" s="2" t="s">
        <v>91</v>
      </c>
      <c r="BY363" s="2" t="s">
        <v>91</v>
      </c>
      <c r="BZ363" s="2" t="s">
        <v>91</v>
      </c>
      <c r="CA363" s="2" t="s">
        <v>98</v>
      </c>
      <c r="CB363" t="e">
        <f>TTEST(AS363:AW363,AI363:AM363,2,2)</f>
        <v>#DIV/0!</v>
      </c>
      <c r="CC363" t="e">
        <f>TTEST(AD363:AH363,AI363:AM363,2,2)</f>
        <v>#DIV/0!</v>
      </c>
      <c r="CD363" t="e">
        <f>TTEST(AN363:AR363,AI363:AM363,2,2)</f>
        <v>#DIV/0!</v>
      </c>
      <c r="CE363" t="e">
        <f>TTEST(AX363:BB363,AI363:AM363,2,2)</f>
        <v>#DIV/0!</v>
      </c>
      <c r="CF363">
        <v>339</v>
      </c>
      <c r="CG363">
        <v>353</v>
      </c>
      <c r="CH363">
        <v>357</v>
      </c>
      <c r="CI363">
        <v>360</v>
      </c>
      <c r="CJ363">
        <f>0.05*CF363/464</f>
        <v>3.6530172413793104E-2</v>
      </c>
      <c r="CK363">
        <f>0.05*CG363/464</f>
        <v>3.8038793103448279E-2</v>
      </c>
      <c r="CL363">
        <f>0.05*CH363/464</f>
        <v>3.8469827586206901E-2</v>
      </c>
      <c r="CM363">
        <f>0.05*CI363/464</f>
        <v>3.8793103448275863E-2</v>
      </c>
      <c r="CN363" t="e">
        <f>IF(CB363&lt;CJ363,"yes","no")</f>
        <v>#DIV/0!</v>
      </c>
      <c r="CO363" t="e">
        <f>IF(CC363&lt;CK363,"yes","no")</f>
        <v>#DIV/0!</v>
      </c>
      <c r="CP363" t="e">
        <f>IF(CD363&lt;CL363,"yes","no")</f>
        <v>#DIV/0!</v>
      </c>
      <c r="CQ363" t="e">
        <f>IF(CE363&lt;CM363,"yes","no")</f>
        <v>#DIV/0!</v>
      </c>
      <c r="CR363" t="e">
        <f>TTEST(AS363:AW363,AD363:AH363,2,2)</f>
        <v>#DIV/0!</v>
      </c>
      <c r="CS363" t="e">
        <f>TTEST(AS363:AW363,AN363:AR363,2,2)</f>
        <v>#DIV/0!</v>
      </c>
      <c r="CT363" t="e">
        <f>TTEST(AS363:AW363,AX363:BB363,2,2)</f>
        <v>#DIV/0!</v>
      </c>
      <c r="CU363">
        <v>357</v>
      </c>
      <c r="CV363">
        <v>360</v>
      </c>
      <c r="CW363">
        <v>362</v>
      </c>
      <c r="CX363">
        <f t="shared" si="15"/>
        <v>3.8469827586206901E-2</v>
      </c>
      <c r="CY363">
        <f t="shared" si="16"/>
        <v>3.8793103448275863E-2</v>
      </c>
      <c r="CZ363">
        <f t="shared" si="17"/>
        <v>3.9008620689655174E-2</v>
      </c>
      <c r="DA363" t="e">
        <f>IF(CR363&lt;CX363,"yes","no")</f>
        <v>#DIV/0!</v>
      </c>
      <c r="DB363" t="e">
        <f>IF(CS363&lt;CY363,"yes","no")</f>
        <v>#DIV/0!</v>
      </c>
      <c r="DC363" t="e">
        <f>IF(CT363&lt;CZ363,"yes","no")</f>
        <v>#DIV/0!</v>
      </c>
    </row>
    <row r="364" spans="1:107" x14ac:dyDescent="0.2">
      <c r="A364" s="2" t="b">
        <v>0</v>
      </c>
      <c r="B364" s="2" t="s">
        <v>79</v>
      </c>
      <c r="C364" s="2" t="s">
        <v>80</v>
      </c>
      <c r="D364" s="2" t="s">
        <v>1207</v>
      </c>
      <c r="E364" s="2" t="s">
        <v>1208</v>
      </c>
      <c r="F364" s="2">
        <v>2</v>
      </c>
      <c r="G364" s="2">
        <v>2</v>
      </c>
      <c r="H364" s="2">
        <v>16.600000000000001</v>
      </c>
      <c r="I364" s="2">
        <v>6.24</v>
      </c>
      <c r="J364" s="2" t="s">
        <v>83</v>
      </c>
      <c r="K364" s="2" t="s">
        <v>83</v>
      </c>
      <c r="L364" s="2" t="s">
        <v>83</v>
      </c>
      <c r="M364" s="2" t="s">
        <v>83</v>
      </c>
      <c r="N364" s="2" t="s">
        <v>1207</v>
      </c>
      <c r="O364" s="2" t="s">
        <v>83</v>
      </c>
      <c r="P364" s="2" t="s">
        <v>83</v>
      </c>
      <c r="Q364" s="2" t="s">
        <v>83</v>
      </c>
      <c r="R364" s="2" t="s">
        <v>83</v>
      </c>
      <c r="S364" s="2" t="s">
        <v>83</v>
      </c>
      <c r="T364" s="2" t="s">
        <v>83</v>
      </c>
      <c r="U364" s="2" t="s">
        <v>83</v>
      </c>
      <c r="V364" s="2" t="s">
        <v>83</v>
      </c>
      <c r="W364" s="2" t="s">
        <v>83</v>
      </c>
      <c r="X364" s="2" t="s">
        <v>83</v>
      </c>
      <c r="Y364" s="2" t="s">
        <v>83</v>
      </c>
      <c r="Z364" s="2" t="s">
        <v>83</v>
      </c>
      <c r="AA364" s="2" t="s">
        <v>83</v>
      </c>
      <c r="AB364" s="2" t="s">
        <v>83</v>
      </c>
      <c r="AC364" s="2" t="s">
        <v>83</v>
      </c>
      <c r="AD364" s="2" t="s">
        <v>83</v>
      </c>
      <c r="AE364" s="2" t="s">
        <v>83</v>
      </c>
      <c r="AF364" s="2" t="s">
        <v>83</v>
      </c>
      <c r="AG364" s="2" t="s">
        <v>83</v>
      </c>
      <c r="AH364" s="2" t="s">
        <v>83</v>
      </c>
      <c r="AI364" s="2" t="s">
        <v>83</v>
      </c>
      <c r="AJ364" s="2" t="s">
        <v>83</v>
      </c>
      <c r="AK364" s="2" t="s">
        <v>83</v>
      </c>
      <c r="AL364" s="2" t="s">
        <v>83</v>
      </c>
      <c r="AM364" s="2" t="s">
        <v>83</v>
      </c>
      <c r="AN364" s="2" t="s">
        <v>83</v>
      </c>
      <c r="AO364" s="2" t="s">
        <v>83</v>
      </c>
      <c r="AP364" s="2" t="s">
        <v>83</v>
      </c>
      <c r="AQ364" s="2" t="s">
        <v>83</v>
      </c>
      <c r="AR364" s="2" t="s">
        <v>83</v>
      </c>
      <c r="AS364" s="2" t="s">
        <v>83</v>
      </c>
      <c r="AT364" s="2" t="s">
        <v>83</v>
      </c>
      <c r="AU364" s="2" t="s">
        <v>83</v>
      </c>
      <c r="AV364" s="2" t="s">
        <v>83</v>
      </c>
      <c r="AW364" s="2" t="s">
        <v>83</v>
      </c>
      <c r="AX364" s="2" t="s">
        <v>83</v>
      </c>
      <c r="AY364" s="2" t="s">
        <v>83</v>
      </c>
      <c r="AZ364" s="2" t="s">
        <v>83</v>
      </c>
      <c r="BA364" s="2" t="s">
        <v>83</v>
      </c>
      <c r="BB364" s="2" t="s">
        <v>83</v>
      </c>
      <c r="BC364" s="2" t="s">
        <v>79</v>
      </c>
      <c r="BD364" s="2" t="s">
        <v>98</v>
      </c>
      <c r="BE364" s="2" t="s">
        <v>79</v>
      </c>
      <c r="BF364" s="2" t="s">
        <v>79</v>
      </c>
      <c r="BG364" s="2" t="s">
        <v>79</v>
      </c>
      <c r="BH364" s="2" t="s">
        <v>98</v>
      </c>
      <c r="BI364" s="2" t="s">
        <v>98</v>
      </c>
      <c r="BJ364" s="2" t="s">
        <v>98</v>
      </c>
      <c r="BK364" s="2" t="s">
        <v>98</v>
      </c>
      <c r="BL364" s="2" t="s">
        <v>98</v>
      </c>
      <c r="BM364" s="2" t="s">
        <v>98</v>
      </c>
      <c r="BN364" s="2" t="s">
        <v>98</v>
      </c>
      <c r="BO364" s="2" t="s">
        <v>98</v>
      </c>
      <c r="BP364" s="2" t="s">
        <v>98</v>
      </c>
      <c r="BQ364" s="2" t="s">
        <v>98</v>
      </c>
      <c r="BR364" s="2" t="s">
        <v>98</v>
      </c>
      <c r="BS364" s="2" t="s">
        <v>98</v>
      </c>
      <c r="BT364" s="2" t="s">
        <v>98</v>
      </c>
      <c r="BU364" s="2" t="s">
        <v>98</v>
      </c>
      <c r="BV364" s="2" t="s">
        <v>98</v>
      </c>
      <c r="BW364" s="2" t="s">
        <v>98</v>
      </c>
      <c r="BX364" s="2" t="s">
        <v>98</v>
      </c>
      <c r="BY364" s="2" t="s">
        <v>98</v>
      </c>
      <c r="BZ364" s="2" t="s">
        <v>98</v>
      </c>
      <c r="CA364" s="2" t="s">
        <v>98</v>
      </c>
      <c r="CB364" t="e">
        <f>TTEST(AS364:AW364,AI364:AM364,2,2)</f>
        <v>#DIV/0!</v>
      </c>
      <c r="CC364" t="e">
        <f>TTEST(AD364:AH364,AI364:AM364,2,2)</f>
        <v>#DIV/0!</v>
      </c>
      <c r="CD364" t="e">
        <f>TTEST(AN364:AR364,AI364:AM364,2,2)</f>
        <v>#DIV/0!</v>
      </c>
      <c r="CE364" t="e">
        <f>TTEST(AX364:BB364,AI364:AM364,2,2)</f>
        <v>#DIV/0!</v>
      </c>
      <c r="CF364">
        <v>340</v>
      </c>
      <c r="CG364">
        <v>354</v>
      </c>
      <c r="CH364">
        <v>358</v>
      </c>
      <c r="CI364">
        <v>361</v>
      </c>
      <c r="CJ364">
        <f>0.05*CF364/464</f>
        <v>3.6637931034482756E-2</v>
      </c>
      <c r="CK364">
        <f>0.05*CG364/464</f>
        <v>3.8146551724137931E-2</v>
      </c>
      <c r="CL364">
        <f>0.05*CH364/464</f>
        <v>3.8577586206896559E-2</v>
      </c>
      <c r="CM364">
        <f>0.05*CI364/464</f>
        <v>3.8900862068965522E-2</v>
      </c>
      <c r="CN364" t="e">
        <f>IF(CB364&lt;CJ364,"yes","no")</f>
        <v>#DIV/0!</v>
      </c>
      <c r="CO364" t="e">
        <f>IF(CC364&lt;CK364,"yes","no")</f>
        <v>#DIV/0!</v>
      </c>
      <c r="CP364" t="e">
        <f>IF(CD364&lt;CL364,"yes","no")</f>
        <v>#DIV/0!</v>
      </c>
      <c r="CQ364" t="e">
        <f>IF(CE364&lt;CM364,"yes","no")</f>
        <v>#DIV/0!</v>
      </c>
      <c r="CR364" t="e">
        <f>TTEST(AS364:AW364,AD364:AH364,2,2)</f>
        <v>#DIV/0!</v>
      </c>
      <c r="CS364" t="e">
        <f>TTEST(AS364:AW364,AN364:AR364,2,2)</f>
        <v>#DIV/0!</v>
      </c>
      <c r="CT364" t="e">
        <f>TTEST(AS364:AW364,AX364:BB364,2,2)</f>
        <v>#DIV/0!</v>
      </c>
      <c r="CU364">
        <v>358</v>
      </c>
      <c r="CV364">
        <v>361</v>
      </c>
      <c r="CW364">
        <v>363</v>
      </c>
      <c r="CX364">
        <f t="shared" si="15"/>
        <v>3.8577586206896559E-2</v>
      </c>
      <c r="CY364">
        <f t="shared" si="16"/>
        <v>3.8900862068965522E-2</v>
      </c>
      <c r="CZ364">
        <f t="shared" si="17"/>
        <v>3.9116379310344833E-2</v>
      </c>
      <c r="DA364" t="e">
        <f>IF(CR364&lt;CX364,"yes","no")</f>
        <v>#DIV/0!</v>
      </c>
      <c r="DB364" t="e">
        <f>IF(CS364&lt;CY364,"yes","no")</f>
        <v>#DIV/0!</v>
      </c>
      <c r="DC364" t="e">
        <f>IF(CT364&lt;CZ364,"yes","no")</f>
        <v>#DIV/0!</v>
      </c>
    </row>
    <row r="365" spans="1:107" x14ac:dyDescent="0.2">
      <c r="A365" s="2" t="b">
        <v>0</v>
      </c>
      <c r="B365" s="2" t="s">
        <v>79</v>
      </c>
      <c r="C365" s="2" t="s">
        <v>80</v>
      </c>
      <c r="D365" s="2" t="s">
        <v>1222</v>
      </c>
      <c r="E365" s="2" t="s">
        <v>1223</v>
      </c>
      <c r="F365" s="2">
        <v>3</v>
      </c>
      <c r="G365" s="2">
        <v>2</v>
      </c>
      <c r="H365" s="2">
        <v>47</v>
      </c>
      <c r="I365" s="2">
        <v>4.8899999999999997</v>
      </c>
      <c r="J365" s="2" t="s">
        <v>228</v>
      </c>
      <c r="K365" s="2" t="s">
        <v>247</v>
      </c>
      <c r="L365" s="2" t="s">
        <v>119</v>
      </c>
      <c r="M365" s="2" t="s">
        <v>1224</v>
      </c>
      <c r="N365" s="2" t="s">
        <v>1222</v>
      </c>
      <c r="O365" s="2" t="s">
        <v>83</v>
      </c>
      <c r="P365" s="2" t="s">
        <v>83</v>
      </c>
      <c r="Q365" s="2" t="s">
        <v>83</v>
      </c>
      <c r="R365" s="2" t="s">
        <v>83</v>
      </c>
      <c r="S365" s="2" t="s">
        <v>83</v>
      </c>
      <c r="T365" s="2" t="s">
        <v>83</v>
      </c>
      <c r="U365" s="2" t="s">
        <v>83</v>
      </c>
      <c r="V365" s="2" t="s">
        <v>83</v>
      </c>
      <c r="W365" s="2" t="s">
        <v>83</v>
      </c>
      <c r="X365" s="2" t="s">
        <v>83</v>
      </c>
      <c r="Y365" s="2" t="s">
        <v>83</v>
      </c>
      <c r="Z365" s="2" t="s">
        <v>83</v>
      </c>
      <c r="AA365" s="2" t="s">
        <v>83</v>
      </c>
      <c r="AB365" s="2" t="s">
        <v>83</v>
      </c>
      <c r="AC365" s="2" t="s">
        <v>83</v>
      </c>
      <c r="AD365" s="2" t="s">
        <v>83</v>
      </c>
      <c r="AE365" s="2" t="s">
        <v>83</v>
      </c>
      <c r="AF365" s="2" t="s">
        <v>83</v>
      </c>
      <c r="AG365" s="2" t="s">
        <v>83</v>
      </c>
      <c r="AH365" s="2" t="s">
        <v>83</v>
      </c>
      <c r="AI365" s="2" t="s">
        <v>83</v>
      </c>
      <c r="AJ365" s="2" t="s">
        <v>83</v>
      </c>
      <c r="AK365" s="2" t="s">
        <v>83</v>
      </c>
      <c r="AL365" s="2" t="s">
        <v>83</v>
      </c>
      <c r="AM365" s="2" t="s">
        <v>83</v>
      </c>
      <c r="AN365" s="2" t="s">
        <v>83</v>
      </c>
      <c r="AO365" s="2" t="s">
        <v>83</v>
      </c>
      <c r="AP365" s="2" t="s">
        <v>83</v>
      </c>
      <c r="AQ365" s="2" t="s">
        <v>83</v>
      </c>
      <c r="AR365" s="2" t="s">
        <v>83</v>
      </c>
      <c r="AS365" s="2" t="s">
        <v>83</v>
      </c>
      <c r="AT365" s="2" t="s">
        <v>83</v>
      </c>
      <c r="AU365" s="2" t="s">
        <v>83</v>
      </c>
      <c r="AV365" s="2" t="s">
        <v>83</v>
      </c>
      <c r="AW365" s="2" t="s">
        <v>83</v>
      </c>
      <c r="AX365" s="2" t="s">
        <v>83</v>
      </c>
      <c r="AY365" s="2" t="s">
        <v>83</v>
      </c>
      <c r="AZ365" s="2" t="s">
        <v>83</v>
      </c>
      <c r="BA365" s="2" t="s">
        <v>83</v>
      </c>
      <c r="BB365" s="2" t="s">
        <v>83</v>
      </c>
      <c r="BC365" s="2" t="s">
        <v>98</v>
      </c>
      <c r="BD365" s="2" t="s">
        <v>98</v>
      </c>
      <c r="BE365" s="2" t="s">
        <v>98</v>
      </c>
      <c r="BF365" s="2" t="s">
        <v>98</v>
      </c>
      <c r="BG365" s="2" t="s">
        <v>98</v>
      </c>
      <c r="BH365" s="2" t="s">
        <v>98</v>
      </c>
      <c r="BI365" s="2" t="s">
        <v>98</v>
      </c>
      <c r="BJ365" s="2" t="s">
        <v>98</v>
      </c>
      <c r="BK365" s="2" t="s">
        <v>98</v>
      </c>
      <c r="BL365" s="2" t="s">
        <v>98</v>
      </c>
      <c r="BM365" s="2" t="s">
        <v>98</v>
      </c>
      <c r="BN365" s="2" t="s">
        <v>98</v>
      </c>
      <c r="BO365" s="2" t="s">
        <v>98</v>
      </c>
      <c r="BP365" s="2" t="s">
        <v>98</v>
      </c>
      <c r="BQ365" s="2" t="s">
        <v>98</v>
      </c>
      <c r="BR365" s="2" t="s">
        <v>98</v>
      </c>
      <c r="BS365" s="2" t="s">
        <v>98</v>
      </c>
      <c r="BT365" s="2" t="s">
        <v>98</v>
      </c>
      <c r="BU365" s="2" t="s">
        <v>79</v>
      </c>
      <c r="BV365" s="2" t="s">
        <v>98</v>
      </c>
      <c r="BW365" s="2" t="s">
        <v>98</v>
      </c>
      <c r="BX365" s="2" t="s">
        <v>98</v>
      </c>
      <c r="BY365" s="2" t="s">
        <v>98</v>
      </c>
      <c r="BZ365" s="2" t="s">
        <v>98</v>
      </c>
      <c r="CA365" s="2" t="s">
        <v>98</v>
      </c>
      <c r="CB365" t="e">
        <f>TTEST(AS365:AW365,AI365:AM365,2,2)</f>
        <v>#DIV/0!</v>
      </c>
      <c r="CC365" t="e">
        <f>TTEST(AD365:AH365,AI365:AM365,2,2)</f>
        <v>#DIV/0!</v>
      </c>
      <c r="CD365" t="e">
        <f>TTEST(AN365:AR365,AI365:AM365,2,2)</f>
        <v>#DIV/0!</v>
      </c>
      <c r="CE365" t="e">
        <f>TTEST(AX365:BB365,AI365:AM365,2,2)</f>
        <v>#DIV/0!</v>
      </c>
      <c r="CF365">
        <v>341</v>
      </c>
      <c r="CG365">
        <v>355</v>
      </c>
      <c r="CH365">
        <v>359</v>
      </c>
      <c r="CI365">
        <v>362</v>
      </c>
      <c r="CJ365">
        <f>0.05*CF365/464</f>
        <v>3.6745689655172414E-2</v>
      </c>
      <c r="CK365">
        <f>0.05*CG365/464</f>
        <v>3.8254310344827583E-2</v>
      </c>
      <c r="CL365">
        <f>0.05*CH365/464</f>
        <v>3.8685344827586204E-2</v>
      </c>
      <c r="CM365">
        <f>0.05*CI365/464</f>
        <v>3.9008620689655174E-2</v>
      </c>
      <c r="CN365" t="e">
        <f>IF(CB365&lt;CJ365,"yes","no")</f>
        <v>#DIV/0!</v>
      </c>
      <c r="CO365" t="e">
        <f>IF(CC365&lt;CK365,"yes","no")</f>
        <v>#DIV/0!</v>
      </c>
      <c r="CP365" t="e">
        <f>IF(CD365&lt;CL365,"yes","no")</f>
        <v>#DIV/0!</v>
      </c>
      <c r="CQ365" t="e">
        <f>IF(CE365&lt;CM365,"yes","no")</f>
        <v>#DIV/0!</v>
      </c>
      <c r="CR365" t="e">
        <f>TTEST(AS365:AW365,AD365:AH365,2,2)</f>
        <v>#DIV/0!</v>
      </c>
      <c r="CS365" t="e">
        <f>TTEST(AS365:AW365,AN365:AR365,2,2)</f>
        <v>#DIV/0!</v>
      </c>
      <c r="CT365" t="e">
        <f>TTEST(AS365:AW365,AX365:BB365,2,2)</f>
        <v>#DIV/0!</v>
      </c>
      <c r="CU365">
        <v>359</v>
      </c>
      <c r="CV365">
        <v>362</v>
      </c>
      <c r="CW365">
        <v>364</v>
      </c>
      <c r="CX365">
        <f t="shared" si="15"/>
        <v>3.8685344827586204E-2</v>
      </c>
      <c r="CY365">
        <f t="shared" si="16"/>
        <v>3.9008620689655174E-2</v>
      </c>
      <c r="CZ365">
        <f t="shared" si="17"/>
        <v>3.9224137931034478E-2</v>
      </c>
      <c r="DA365" t="e">
        <f>IF(CR365&lt;CX365,"yes","no")</f>
        <v>#DIV/0!</v>
      </c>
      <c r="DB365" t="e">
        <f>IF(CS365&lt;CY365,"yes","no")</f>
        <v>#DIV/0!</v>
      </c>
      <c r="DC365" t="e">
        <f>IF(CT365&lt;CZ365,"yes","no")</f>
        <v>#DIV/0!</v>
      </c>
    </row>
    <row r="366" spans="1:107" x14ac:dyDescent="0.2">
      <c r="A366" s="2" t="b">
        <v>0</v>
      </c>
      <c r="B366" s="2" t="s">
        <v>79</v>
      </c>
      <c r="C366" s="2" t="s">
        <v>80</v>
      </c>
      <c r="D366" s="2" t="s">
        <v>1238</v>
      </c>
      <c r="E366" s="2" t="s">
        <v>1239</v>
      </c>
      <c r="F366" s="2">
        <v>4</v>
      </c>
      <c r="G366" s="2">
        <v>4</v>
      </c>
      <c r="H366" s="2">
        <v>123.6</v>
      </c>
      <c r="I366" s="2">
        <v>5.71</v>
      </c>
      <c r="J366" s="2" t="s">
        <v>980</v>
      </c>
      <c r="K366" s="2" t="s">
        <v>145</v>
      </c>
      <c r="L366" s="2" t="s">
        <v>146</v>
      </c>
      <c r="M366" s="2" t="s">
        <v>83</v>
      </c>
      <c r="N366" s="2" t="s">
        <v>1238</v>
      </c>
      <c r="O366" s="2">
        <v>0.01</v>
      </c>
      <c r="P366" s="2">
        <v>0.01</v>
      </c>
      <c r="Q366" s="2">
        <v>0.01</v>
      </c>
      <c r="R366" s="2">
        <v>100</v>
      </c>
      <c r="S366" s="2" t="s">
        <v>83</v>
      </c>
      <c r="T366" s="2" t="s">
        <v>83</v>
      </c>
      <c r="U366" s="2" t="s">
        <v>83</v>
      </c>
      <c r="V366" s="2" t="s">
        <v>83</v>
      </c>
      <c r="W366" s="2" t="s">
        <v>83</v>
      </c>
      <c r="X366" s="2" t="s">
        <v>83</v>
      </c>
      <c r="Y366" s="2">
        <v>500</v>
      </c>
      <c r="Z366" s="2" t="s">
        <v>83</v>
      </c>
      <c r="AA366" s="2" t="s">
        <v>83</v>
      </c>
      <c r="AB366" s="2" t="s">
        <v>83</v>
      </c>
      <c r="AC366" s="2" t="s">
        <v>83</v>
      </c>
      <c r="AD366" s="2" t="s">
        <v>83</v>
      </c>
      <c r="AE366" s="2" t="s">
        <v>83</v>
      </c>
      <c r="AF366" s="2" t="s">
        <v>83</v>
      </c>
      <c r="AG366" s="2">
        <v>76470.84375</v>
      </c>
      <c r="AH366" s="2" t="s">
        <v>83</v>
      </c>
      <c r="AI366" s="2" t="s">
        <v>83</v>
      </c>
      <c r="AJ366" s="2" t="s">
        <v>83</v>
      </c>
      <c r="AK366" s="2" t="s">
        <v>83</v>
      </c>
      <c r="AL366" s="2" t="s">
        <v>83</v>
      </c>
      <c r="AM366" s="2" t="s">
        <v>83</v>
      </c>
      <c r="AN366" s="2" t="s">
        <v>83</v>
      </c>
      <c r="AO366" s="2" t="s">
        <v>83</v>
      </c>
      <c r="AP366" s="2" t="s">
        <v>83</v>
      </c>
      <c r="AQ366" s="2" t="s">
        <v>83</v>
      </c>
      <c r="AR366" s="2" t="s">
        <v>83</v>
      </c>
      <c r="AS366" s="2" t="s">
        <v>83</v>
      </c>
      <c r="AT366" s="2" t="s">
        <v>83</v>
      </c>
      <c r="AU366" s="2" t="s">
        <v>83</v>
      </c>
      <c r="AV366" s="2" t="s">
        <v>83</v>
      </c>
      <c r="AW366" s="2" t="s">
        <v>83</v>
      </c>
      <c r="AX366" s="2" t="s">
        <v>83</v>
      </c>
      <c r="AY366" s="2" t="s">
        <v>83</v>
      </c>
      <c r="AZ366" s="2" t="s">
        <v>83</v>
      </c>
      <c r="BA366" s="2" t="s">
        <v>83</v>
      </c>
      <c r="BB366" s="2" t="s">
        <v>83</v>
      </c>
      <c r="BC366" s="2" t="s">
        <v>98</v>
      </c>
      <c r="BD366" s="2" t="s">
        <v>98</v>
      </c>
      <c r="BE366" s="2" t="s">
        <v>98</v>
      </c>
      <c r="BF366" s="2" t="s">
        <v>79</v>
      </c>
      <c r="BG366" s="2" t="s">
        <v>79</v>
      </c>
      <c r="BH366" s="2" t="s">
        <v>98</v>
      </c>
      <c r="BI366" s="2" t="s">
        <v>98</v>
      </c>
      <c r="BJ366" s="2" t="s">
        <v>98</v>
      </c>
      <c r="BK366" s="2" t="s">
        <v>98</v>
      </c>
      <c r="BL366" s="2" t="s">
        <v>98</v>
      </c>
      <c r="BM366" s="2" t="s">
        <v>98</v>
      </c>
      <c r="BN366" s="2" t="s">
        <v>79</v>
      </c>
      <c r="BO366" s="2" t="s">
        <v>98</v>
      </c>
      <c r="BP366" s="2" t="s">
        <v>98</v>
      </c>
      <c r="BQ366" s="2" t="s">
        <v>98</v>
      </c>
      <c r="BR366" s="2" t="s">
        <v>98</v>
      </c>
      <c r="BS366" s="2" t="s">
        <v>98</v>
      </c>
      <c r="BT366" s="2" t="s">
        <v>98</v>
      </c>
      <c r="BU366" s="2" t="s">
        <v>98</v>
      </c>
      <c r="BV366" s="2" t="s">
        <v>98</v>
      </c>
      <c r="BW366" s="2" t="s">
        <v>98</v>
      </c>
      <c r="BX366" s="2" t="s">
        <v>98</v>
      </c>
      <c r="BY366" s="2" t="s">
        <v>98</v>
      </c>
      <c r="BZ366" s="2" t="s">
        <v>98</v>
      </c>
      <c r="CA366" s="2" t="s">
        <v>98</v>
      </c>
      <c r="CB366" t="e">
        <f>TTEST(AS366:AW366,AI366:AM366,2,2)</f>
        <v>#DIV/0!</v>
      </c>
      <c r="CC366" t="e">
        <f>TTEST(AD366:AH366,AI366:AM366,2,2)</f>
        <v>#DIV/0!</v>
      </c>
      <c r="CD366" t="e">
        <f>TTEST(AN366:AR366,AI366:AM366,2,2)</f>
        <v>#DIV/0!</v>
      </c>
      <c r="CE366" t="e">
        <f>TTEST(AX366:BB366,AI366:AM366,2,2)</f>
        <v>#DIV/0!</v>
      </c>
      <c r="CF366">
        <v>342</v>
      </c>
      <c r="CG366">
        <v>356</v>
      </c>
      <c r="CH366">
        <v>360</v>
      </c>
      <c r="CI366">
        <v>363</v>
      </c>
      <c r="CJ366">
        <f>0.05*CF366/464</f>
        <v>3.6853448275862073E-2</v>
      </c>
      <c r="CK366">
        <f>0.05*CG366/464</f>
        <v>3.8362068965517242E-2</v>
      </c>
      <c r="CL366">
        <f>0.05*CH366/464</f>
        <v>3.8793103448275863E-2</v>
      </c>
      <c r="CM366">
        <f>0.05*CI366/464</f>
        <v>3.9116379310344833E-2</v>
      </c>
      <c r="CN366" t="e">
        <f>IF(CB366&lt;CJ366,"yes","no")</f>
        <v>#DIV/0!</v>
      </c>
      <c r="CO366" t="e">
        <f>IF(CC366&lt;CK366,"yes","no")</f>
        <v>#DIV/0!</v>
      </c>
      <c r="CP366" t="e">
        <f>IF(CD366&lt;CL366,"yes","no")</f>
        <v>#DIV/0!</v>
      </c>
      <c r="CQ366" t="e">
        <f>IF(CE366&lt;CM366,"yes","no")</f>
        <v>#DIV/0!</v>
      </c>
      <c r="CR366" t="e">
        <f>TTEST(AS366:AW366,AD366:AH366,2,2)</f>
        <v>#DIV/0!</v>
      </c>
      <c r="CS366" t="e">
        <f>TTEST(AS366:AW366,AN366:AR366,2,2)</f>
        <v>#DIV/0!</v>
      </c>
      <c r="CT366" t="e">
        <f>TTEST(AS366:AW366,AX366:BB366,2,2)</f>
        <v>#DIV/0!</v>
      </c>
      <c r="CU366">
        <v>360</v>
      </c>
      <c r="CV366">
        <v>363</v>
      </c>
      <c r="CW366">
        <v>365</v>
      </c>
      <c r="CX366">
        <f t="shared" si="15"/>
        <v>3.8793103448275863E-2</v>
      </c>
      <c r="CY366">
        <f t="shared" si="16"/>
        <v>3.9116379310344833E-2</v>
      </c>
      <c r="CZ366">
        <f t="shared" si="17"/>
        <v>3.9331896551724137E-2</v>
      </c>
      <c r="DA366" t="e">
        <f>IF(CR366&lt;CX366,"yes","no")</f>
        <v>#DIV/0!</v>
      </c>
      <c r="DB366" t="e">
        <f>IF(CS366&lt;CY366,"yes","no")</f>
        <v>#DIV/0!</v>
      </c>
      <c r="DC366" t="e">
        <f>IF(CT366&lt;CZ366,"yes","no")</f>
        <v>#DIV/0!</v>
      </c>
    </row>
    <row r="367" spans="1:107" x14ac:dyDescent="0.2">
      <c r="A367" s="2" t="b">
        <v>0</v>
      </c>
      <c r="B367" s="2" t="s">
        <v>79</v>
      </c>
      <c r="C367" s="2" t="s">
        <v>80</v>
      </c>
      <c r="D367" s="2" t="s">
        <v>1240</v>
      </c>
      <c r="E367" s="2" t="s">
        <v>1241</v>
      </c>
      <c r="F367" s="2">
        <v>1</v>
      </c>
      <c r="G367" s="2">
        <v>1</v>
      </c>
      <c r="H367" s="2">
        <v>59.4</v>
      </c>
      <c r="I367" s="2">
        <v>7.05</v>
      </c>
      <c r="J367" s="2" t="s">
        <v>362</v>
      </c>
      <c r="K367" s="2" t="s">
        <v>136</v>
      </c>
      <c r="L367" s="2" t="s">
        <v>1242</v>
      </c>
      <c r="M367" s="2" t="s">
        <v>83</v>
      </c>
      <c r="N367" s="2" t="s">
        <v>1240</v>
      </c>
      <c r="O367" s="2" t="s">
        <v>83</v>
      </c>
      <c r="P367" s="2" t="s">
        <v>83</v>
      </c>
      <c r="Q367" s="2" t="s">
        <v>83</v>
      </c>
      <c r="R367" s="2" t="s">
        <v>83</v>
      </c>
      <c r="S367" s="2" t="s">
        <v>83</v>
      </c>
      <c r="T367" s="2" t="s">
        <v>83</v>
      </c>
      <c r="U367" s="2" t="s">
        <v>83</v>
      </c>
      <c r="V367" s="2" t="s">
        <v>83</v>
      </c>
      <c r="W367" s="2" t="s">
        <v>83</v>
      </c>
      <c r="X367" s="2" t="s">
        <v>83</v>
      </c>
      <c r="Y367" s="2" t="s">
        <v>83</v>
      </c>
      <c r="Z367" s="2" t="s">
        <v>83</v>
      </c>
      <c r="AA367" s="2" t="s">
        <v>83</v>
      </c>
      <c r="AB367" s="2" t="s">
        <v>83</v>
      </c>
      <c r="AC367" s="2" t="s">
        <v>83</v>
      </c>
      <c r="AD367" s="2" t="s">
        <v>83</v>
      </c>
      <c r="AE367" s="2" t="s">
        <v>83</v>
      </c>
      <c r="AF367" s="2" t="s">
        <v>83</v>
      </c>
      <c r="AG367" s="2" t="s">
        <v>83</v>
      </c>
      <c r="AH367" s="2" t="s">
        <v>83</v>
      </c>
      <c r="AI367" s="2" t="s">
        <v>83</v>
      </c>
      <c r="AJ367" s="2" t="s">
        <v>83</v>
      </c>
      <c r="AK367" s="2" t="s">
        <v>83</v>
      </c>
      <c r="AL367" s="2" t="s">
        <v>83</v>
      </c>
      <c r="AM367" s="2" t="s">
        <v>83</v>
      </c>
      <c r="AN367" s="2" t="s">
        <v>83</v>
      </c>
      <c r="AO367" s="2" t="s">
        <v>83</v>
      </c>
      <c r="AP367" s="2" t="s">
        <v>83</v>
      </c>
      <c r="AQ367" s="2" t="s">
        <v>83</v>
      </c>
      <c r="AR367" s="2" t="s">
        <v>83</v>
      </c>
      <c r="AS367" s="2" t="s">
        <v>83</v>
      </c>
      <c r="AT367" s="2" t="s">
        <v>83</v>
      </c>
      <c r="AU367" s="2" t="s">
        <v>83</v>
      </c>
      <c r="AV367" s="2" t="s">
        <v>83</v>
      </c>
      <c r="AW367" s="2" t="s">
        <v>83</v>
      </c>
      <c r="AX367" s="2" t="s">
        <v>83</v>
      </c>
      <c r="AY367" s="2" t="s">
        <v>83</v>
      </c>
      <c r="AZ367" s="2" t="s">
        <v>83</v>
      </c>
      <c r="BA367" s="2" t="s">
        <v>83</v>
      </c>
      <c r="BB367" s="2" t="s">
        <v>83</v>
      </c>
      <c r="BC367" s="2" t="s">
        <v>98</v>
      </c>
      <c r="BD367" s="2" t="s">
        <v>98</v>
      </c>
      <c r="BE367" s="2" t="s">
        <v>98</v>
      </c>
      <c r="BF367" s="2" t="s">
        <v>98</v>
      </c>
      <c r="BG367" s="2" t="s">
        <v>98</v>
      </c>
      <c r="BH367" s="2" t="s">
        <v>98</v>
      </c>
      <c r="BI367" s="2" t="s">
        <v>98</v>
      </c>
      <c r="BJ367" s="2" t="s">
        <v>98</v>
      </c>
      <c r="BK367" s="2" t="s">
        <v>98</v>
      </c>
      <c r="BL367" s="2" t="s">
        <v>98</v>
      </c>
      <c r="BM367" s="2" t="s">
        <v>98</v>
      </c>
      <c r="BN367" s="2" t="s">
        <v>98</v>
      </c>
      <c r="BO367" s="2" t="s">
        <v>98</v>
      </c>
      <c r="BP367" s="2" t="s">
        <v>98</v>
      </c>
      <c r="BQ367" s="2" t="s">
        <v>98</v>
      </c>
      <c r="BR367" s="2" t="s">
        <v>79</v>
      </c>
      <c r="BS367" s="2" t="s">
        <v>98</v>
      </c>
      <c r="BT367" s="2" t="s">
        <v>98</v>
      </c>
      <c r="BU367" s="2" t="s">
        <v>79</v>
      </c>
      <c r="BV367" s="2" t="s">
        <v>98</v>
      </c>
      <c r="BW367" s="2" t="s">
        <v>98</v>
      </c>
      <c r="BX367" s="2" t="s">
        <v>98</v>
      </c>
      <c r="BY367" s="2" t="s">
        <v>79</v>
      </c>
      <c r="BZ367" s="2" t="s">
        <v>98</v>
      </c>
      <c r="CA367" s="2" t="s">
        <v>98</v>
      </c>
      <c r="CB367" t="e">
        <f>TTEST(AS367:AW367,AI367:AM367,2,2)</f>
        <v>#DIV/0!</v>
      </c>
      <c r="CC367" t="e">
        <f>TTEST(AD367:AH367,AI367:AM367,2,2)</f>
        <v>#DIV/0!</v>
      </c>
      <c r="CD367" t="e">
        <f>TTEST(AN367:AR367,AI367:AM367,2,2)</f>
        <v>#DIV/0!</v>
      </c>
      <c r="CE367" t="e">
        <f>TTEST(AX367:BB367,AI367:AM367,2,2)</f>
        <v>#DIV/0!</v>
      </c>
      <c r="CF367">
        <v>343</v>
      </c>
      <c r="CG367">
        <v>357</v>
      </c>
      <c r="CH367">
        <v>361</v>
      </c>
      <c r="CI367">
        <v>364</v>
      </c>
      <c r="CJ367">
        <f>0.05*CF367/464</f>
        <v>3.6961206896551732E-2</v>
      </c>
      <c r="CK367">
        <f>0.05*CG367/464</f>
        <v>3.8469827586206901E-2</v>
      </c>
      <c r="CL367">
        <f>0.05*CH367/464</f>
        <v>3.8900862068965522E-2</v>
      </c>
      <c r="CM367">
        <f>0.05*CI367/464</f>
        <v>3.9224137931034478E-2</v>
      </c>
      <c r="CN367" t="e">
        <f>IF(CB367&lt;CJ367,"yes","no")</f>
        <v>#DIV/0!</v>
      </c>
      <c r="CO367" t="e">
        <f>IF(CC367&lt;CK367,"yes","no")</f>
        <v>#DIV/0!</v>
      </c>
      <c r="CP367" t="e">
        <f>IF(CD367&lt;CL367,"yes","no")</f>
        <v>#DIV/0!</v>
      </c>
      <c r="CQ367" t="e">
        <f>IF(CE367&lt;CM367,"yes","no")</f>
        <v>#DIV/0!</v>
      </c>
      <c r="CR367" t="e">
        <f>TTEST(AS367:AW367,AD367:AH367,2,2)</f>
        <v>#DIV/0!</v>
      </c>
      <c r="CS367" t="e">
        <f>TTEST(AS367:AW367,AN367:AR367,2,2)</f>
        <v>#DIV/0!</v>
      </c>
      <c r="CT367" t="e">
        <f>TTEST(AS367:AW367,AX367:BB367,2,2)</f>
        <v>#DIV/0!</v>
      </c>
      <c r="CU367">
        <v>361</v>
      </c>
      <c r="CV367">
        <v>364</v>
      </c>
      <c r="CW367">
        <v>366</v>
      </c>
      <c r="CX367">
        <f t="shared" si="15"/>
        <v>3.8900862068965522E-2</v>
      </c>
      <c r="CY367">
        <f t="shared" si="16"/>
        <v>3.9224137931034478E-2</v>
      </c>
      <c r="CZ367">
        <f t="shared" si="17"/>
        <v>3.9439655172413796E-2</v>
      </c>
      <c r="DA367" t="e">
        <f>IF(CR367&lt;CX367,"yes","no")</f>
        <v>#DIV/0!</v>
      </c>
      <c r="DB367" t="e">
        <f>IF(CS367&lt;CY367,"yes","no")</f>
        <v>#DIV/0!</v>
      </c>
      <c r="DC367" t="e">
        <f>IF(CT367&lt;CZ367,"yes","no")</f>
        <v>#DIV/0!</v>
      </c>
    </row>
    <row r="368" spans="1:107" x14ac:dyDescent="0.2">
      <c r="A368" s="2" t="b">
        <v>0</v>
      </c>
      <c r="B368" s="2" t="s">
        <v>79</v>
      </c>
      <c r="C368" s="2" t="s">
        <v>80</v>
      </c>
      <c r="D368" s="2" t="s">
        <v>1251</v>
      </c>
      <c r="E368" s="2" t="s">
        <v>1252</v>
      </c>
      <c r="F368" s="2">
        <v>1</v>
      </c>
      <c r="G368" s="2">
        <v>1</v>
      </c>
      <c r="H368" s="2">
        <v>15.1</v>
      </c>
      <c r="I368" s="2">
        <v>8.02</v>
      </c>
      <c r="J368" s="2" t="s">
        <v>1253</v>
      </c>
      <c r="K368" s="2" t="s">
        <v>1254</v>
      </c>
      <c r="L368" s="2" t="s">
        <v>119</v>
      </c>
      <c r="M368" s="2" t="s">
        <v>1255</v>
      </c>
      <c r="N368" s="2" t="s">
        <v>1251</v>
      </c>
      <c r="O368" s="2">
        <v>0.01</v>
      </c>
      <c r="P368" s="2">
        <v>0.01</v>
      </c>
      <c r="Q368" s="2">
        <v>0.01</v>
      </c>
      <c r="R368" s="2">
        <v>100</v>
      </c>
      <c r="S368" s="2" t="s">
        <v>83</v>
      </c>
      <c r="T368" s="2" t="s">
        <v>83</v>
      </c>
      <c r="U368" s="2" t="s">
        <v>83</v>
      </c>
      <c r="V368" s="2" t="s">
        <v>83</v>
      </c>
      <c r="W368" s="2" t="s">
        <v>83</v>
      </c>
      <c r="X368" s="2" t="s">
        <v>83</v>
      </c>
      <c r="Y368" s="2">
        <v>500</v>
      </c>
      <c r="Z368" s="2" t="s">
        <v>83</v>
      </c>
      <c r="AA368" s="2" t="s">
        <v>83</v>
      </c>
      <c r="AB368" s="2" t="s">
        <v>83</v>
      </c>
      <c r="AC368" s="2" t="s">
        <v>83</v>
      </c>
      <c r="AD368" s="2">
        <v>108947.78125</v>
      </c>
      <c r="AE368" s="2">
        <v>66211.0859375</v>
      </c>
      <c r="AF368" s="2" t="s">
        <v>83</v>
      </c>
      <c r="AG368" s="2" t="s">
        <v>83</v>
      </c>
      <c r="AH368" s="2" t="s">
        <v>83</v>
      </c>
      <c r="AI368" s="2" t="s">
        <v>83</v>
      </c>
      <c r="AJ368" s="2" t="s">
        <v>83</v>
      </c>
      <c r="AK368" s="2" t="s">
        <v>83</v>
      </c>
      <c r="AL368" s="2" t="s">
        <v>83</v>
      </c>
      <c r="AM368" s="2" t="s">
        <v>83</v>
      </c>
      <c r="AN368" s="2" t="s">
        <v>83</v>
      </c>
      <c r="AO368" s="2" t="s">
        <v>83</v>
      </c>
      <c r="AP368" s="2" t="s">
        <v>83</v>
      </c>
      <c r="AQ368" s="2" t="s">
        <v>83</v>
      </c>
      <c r="AR368" s="2" t="s">
        <v>83</v>
      </c>
      <c r="AS368" s="2" t="s">
        <v>83</v>
      </c>
      <c r="AT368" s="2" t="s">
        <v>83</v>
      </c>
      <c r="AU368" s="2" t="s">
        <v>83</v>
      </c>
      <c r="AV368" s="2" t="s">
        <v>83</v>
      </c>
      <c r="AW368" s="2" t="s">
        <v>83</v>
      </c>
      <c r="AX368" s="2" t="s">
        <v>83</v>
      </c>
      <c r="AY368" s="2" t="s">
        <v>83</v>
      </c>
      <c r="AZ368" s="2" t="s">
        <v>83</v>
      </c>
      <c r="BA368" s="2" t="s">
        <v>83</v>
      </c>
      <c r="BB368" s="2" t="s">
        <v>83</v>
      </c>
      <c r="BC368" s="2" t="s">
        <v>79</v>
      </c>
      <c r="BD368" s="2" t="s">
        <v>79</v>
      </c>
      <c r="BE368" s="2" t="s">
        <v>79</v>
      </c>
      <c r="BF368" s="2" t="s">
        <v>98</v>
      </c>
      <c r="BG368" s="2" t="s">
        <v>98</v>
      </c>
      <c r="BH368" s="2" t="s">
        <v>98</v>
      </c>
      <c r="BI368" s="2" t="s">
        <v>98</v>
      </c>
      <c r="BJ368" s="2" t="s">
        <v>98</v>
      </c>
      <c r="BK368" s="2" t="s">
        <v>98</v>
      </c>
      <c r="BL368" s="2" t="s">
        <v>98</v>
      </c>
      <c r="BM368" s="2" t="s">
        <v>98</v>
      </c>
      <c r="BN368" s="2" t="s">
        <v>98</v>
      </c>
      <c r="BO368" s="2" t="s">
        <v>98</v>
      </c>
      <c r="BP368" s="2" t="s">
        <v>98</v>
      </c>
      <c r="BQ368" s="2" t="s">
        <v>98</v>
      </c>
      <c r="BR368" s="2" t="s">
        <v>98</v>
      </c>
      <c r="BS368" s="2" t="s">
        <v>98</v>
      </c>
      <c r="BT368" s="2" t="s">
        <v>98</v>
      </c>
      <c r="BU368" s="2" t="s">
        <v>98</v>
      </c>
      <c r="BV368" s="2" t="s">
        <v>98</v>
      </c>
      <c r="BW368" s="2" t="s">
        <v>98</v>
      </c>
      <c r="BX368" s="2" t="s">
        <v>98</v>
      </c>
      <c r="BY368" s="2" t="s">
        <v>98</v>
      </c>
      <c r="BZ368" s="2" t="s">
        <v>98</v>
      </c>
      <c r="CA368" s="2" t="s">
        <v>98</v>
      </c>
      <c r="CB368" t="e">
        <f>TTEST(AS368:AW368,AI368:AM368,2,2)</f>
        <v>#DIV/0!</v>
      </c>
      <c r="CC368" t="e">
        <f>TTEST(AD368:AH368,AI368:AM368,2,2)</f>
        <v>#DIV/0!</v>
      </c>
      <c r="CD368" t="e">
        <f>TTEST(AN368:AR368,AI368:AM368,2,2)</f>
        <v>#DIV/0!</v>
      </c>
      <c r="CE368" t="e">
        <f>TTEST(AX368:BB368,AI368:AM368,2,2)</f>
        <v>#DIV/0!</v>
      </c>
      <c r="CF368">
        <v>344</v>
      </c>
      <c r="CG368">
        <v>358</v>
      </c>
      <c r="CH368">
        <v>362</v>
      </c>
      <c r="CI368">
        <v>365</v>
      </c>
      <c r="CJ368">
        <f>0.05*CF368/464</f>
        <v>3.7068965517241377E-2</v>
      </c>
      <c r="CK368">
        <f>0.05*CG368/464</f>
        <v>3.8577586206896559E-2</v>
      </c>
      <c r="CL368">
        <f>0.05*CH368/464</f>
        <v>3.9008620689655174E-2</v>
      </c>
      <c r="CM368">
        <f>0.05*CI368/464</f>
        <v>3.9331896551724137E-2</v>
      </c>
      <c r="CN368" t="e">
        <f>IF(CB368&lt;CJ368,"yes","no")</f>
        <v>#DIV/0!</v>
      </c>
      <c r="CO368" t="e">
        <f>IF(CC368&lt;CK368,"yes","no")</f>
        <v>#DIV/0!</v>
      </c>
      <c r="CP368" t="e">
        <f>IF(CD368&lt;CL368,"yes","no")</f>
        <v>#DIV/0!</v>
      </c>
      <c r="CQ368" t="e">
        <f>IF(CE368&lt;CM368,"yes","no")</f>
        <v>#DIV/0!</v>
      </c>
      <c r="CR368" t="e">
        <f>TTEST(AS368:AW368,AD368:AH368,2,2)</f>
        <v>#DIV/0!</v>
      </c>
      <c r="CS368" t="e">
        <f>TTEST(AS368:AW368,AN368:AR368,2,2)</f>
        <v>#DIV/0!</v>
      </c>
      <c r="CT368" t="e">
        <f>TTEST(AS368:AW368,AX368:BB368,2,2)</f>
        <v>#DIV/0!</v>
      </c>
      <c r="CU368">
        <v>362</v>
      </c>
      <c r="CV368">
        <v>365</v>
      </c>
      <c r="CW368">
        <v>367</v>
      </c>
      <c r="CX368">
        <f t="shared" si="15"/>
        <v>3.9008620689655174E-2</v>
      </c>
      <c r="CY368">
        <f t="shared" si="16"/>
        <v>3.9331896551724137E-2</v>
      </c>
      <c r="CZ368">
        <f t="shared" si="17"/>
        <v>3.9547413793103454E-2</v>
      </c>
      <c r="DA368" t="e">
        <f>IF(CR368&lt;CX368,"yes","no")</f>
        <v>#DIV/0!</v>
      </c>
      <c r="DB368" t="e">
        <f>IF(CS368&lt;CY368,"yes","no")</f>
        <v>#DIV/0!</v>
      </c>
      <c r="DC368" t="e">
        <f>IF(CT368&lt;CZ368,"yes","no")</f>
        <v>#DIV/0!</v>
      </c>
    </row>
    <row r="369" spans="1:107" x14ac:dyDescent="0.2">
      <c r="A369" s="2" t="b">
        <v>0</v>
      </c>
      <c r="B369" s="2" t="s">
        <v>79</v>
      </c>
      <c r="C369" s="2" t="s">
        <v>80</v>
      </c>
      <c r="D369" s="2" t="s">
        <v>1256</v>
      </c>
      <c r="E369" s="2" t="s">
        <v>1257</v>
      </c>
      <c r="F369" s="2">
        <v>1</v>
      </c>
      <c r="G369" s="2">
        <v>1</v>
      </c>
      <c r="H369" s="2">
        <v>15.3</v>
      </c>
      <c r="I369" s="2">
        <v>8.84</v>
      </c>
      <c r="J369" s="2" t="s">
        <v>228</v>
      </c>
      <c r="K369" s="2" t="s">
        <v>514</v>
      </c>
      <c r="L369" s="2" t="s">
        <v>119</v>
      </c>
      <c r="M369" s="2" t="s">
        <v>1258</v>
      </c>
      <c r="N369" s="2" t="s">
        <v>1259</v>
      </c>
      <c r="O369" s="2">
        <v>1.9239999999999999</v>
      </c>
      <c r="P369" s="2">
        <v>0.01</v>
      </c>
      <c r="Q369" s="2">
        <v>4.04</v>
      </c>
      <c r="R369" s="2">
        <v>100</v>
      </c>
      <c r="S369" s="2">
        <v>100</v>
      </c>
      <c r="T369" s="2" t="s">
        <v>83</v>
      </c>
      <c r="U369" s="2">
        <v>100</v>
      </c>
      <c r="V369" s="2">
        <v>0.01</v>
      </c>
      <c r="W369" s="2">
        <v>1.9910000000000001</v>
      </c>
      <c r="X369" s="2">
        <v>100</v>
      </c>
      <c r="Y369" s="2">
        <v>70.7</v>
      </c>
      <c r="Z369" s="2" t="s">
        <v>83</v>
      </c>
      <c r="AA369" s="2">
        <v>143.5</v>
      </c>
      <c r="AB369" s="2" t="s">
        <v>83</v>
      </c>
      <c r="AC369" s="2">
        <v>285.8</v>
      </c>
      <c r="AD369" s="2">
        <v>253784.453125</v>
      </c>
      <c r="AE369" s="2" t="s">
        <v>83</v>
      </c>
      <c r="AF369" s="2">
        <v>198286.109375</v>
      </c>
      <c r="AG369" s="2">
        <v>766981.9375</v>
      </c>
      <c r="AH369" s="2" t="s">
        <v>83</v>
      </c>
      <c r="AI369" s="2" t="s">
        <v>83</v>
      </c>
      <c r="AJ369" s="2" t="s">
        <v>83</v>
      </c>
      <c r="AK369" s="2" t="s">
        <v>83</v>
      </c>
      <c r="AL369" s="2" t="s">
        <v>83</v>
      </c>
      <c r="AM369" s="2" t="s">
        <v>83</v>
      </c>
      <c r="AN369" s="2" t="s">
        <v>83</v>
      </c>
      <c r="AO369" s="2">
        <v>7031.12451171875</v>
      </c>
      <c r="AP369" s="2" t="s">
        <v>83</v>
      </c>
      <c r="AQ369" s="2">
        <v>7327.7265625</v>
      </c>
      <c r="AR369" s="2">
        <v>32615.83984375</v>
      </c>
      <c r="AS369" s="2" t="s">
        <v>83</v>
      </c>
      <c r="AT369" s="2" t="s">
        <v>83</v>
      </c>
      <c r="AU369" s="2" t="s">
        <v>83</v>
      </c>
      <c r="AV369" s="2" t="s">
        <v>83</v>
      </c>
      <c r="AW369" s="2" t="s">
        <v>83</v>
      </c>
      <c r="AX369" s="2">
        <v>44841.37109375</v>
      </c>
      <c r="AY369" s="2" t="s">
        <v>83</v>
      </c>
      <c r="AZ369" s="2" t="s">
        <v>83</v>
      </c>
      <c r="BA369" s="2" t="s">
        <v>83</v>
      </c>
      <c r="BB369" s="2" t="s">
        <v>83</v>
      </c>
      <c r="BC369" s="2" t="s">
        <v>91</v>
      </c>
      <c r="BD369" s="2" t="s">
        <v>98</v>
      </c>
      <c r="BE369" s="2" t="s">
        <v>91</v>
      </c>
      <c r="BF369" s="2" t="s">
        <v>79</v>
      </c>
      <c r="BG369" s="2" t="s">
        <v>98</v>
      </c>
      <c r="BH369" s="2" t="s">
        <v>98</v>
      </c>
      <c r="BI369" s="2" t="s">
        <v>98</v>
      </c>
      <c r="BJ369" s="2" t="s">
        <v>98</v>
      </c>
      <c r="BK369" s="2" t="s">
        <v>98</v>
      </c>
      <c r="BL369" s="2" t="s">
        <v>98</v>
      </c>
      <c r="BM369" s="2" t="s">
        <v>98</v>
      </c>
      <c r="BN369" s="2" t="s">
        <v>91</v>
      </c>
      <c r="BO369" s="2" t="s">
        <v>98</v>
      </c>
      <c r="BP369" s="2" t="s">
        <v>91</v>
      </c>
      <c r="BQ369" s="2" t="s">
        <v>91</v>
      </c>
      <c r="BR369" s="2" t="s">
        <v>98</v>
      </c>
      <c r="BS369" s="2" t="s">
        <v>98</v>
      </c>
      <c r="BT369" s="2" t="s">
        <v>98</v>
      </c>
      <c r="BU369" s="2" t="s">
        <v>98</v>
      </c>
      <c r="BV369" s="2" t="s">
        <v>98</v>
      </c>
      <c r="BW369" s="2" t="s">
        <v>79</v>
      </c>
      <c r="BX369" s="2" t="s">
        <v>98</v>
      </c>
      <c r="BY369" s="2" t="s">
        <v>98</v>
      </c>
      <c r="BZ369" s="2" t="s">
        <v>98</v>
      </c>
      <c r="CA369" s="2" t="s">
        <v>98</v>
      </c>
      <c r="CB369" t="e">
        <f>TTEST(AS369:AW369,AI369:AM369,2,2)</f>
        <v>#DIV/0!</v>
      </c>
      <c r="CC369" t="e">
        <f>TTEST(AD369:AH369,AI369:AM369,2,2)</f>
        <v>#DIV/0!</v>
      </c>
      <c r="CD369" t="e">
        <f>TTEST(AN369:AR369,AI369:AM369,2,2)</f>
        <v>#DIV/0!</v>
      </c>
      <c r="CE369" t="e">
        <f>TTEST(AX369:BB369,AI369:AM369,2,2)</f>
        <v>#DIV/0!</v>
      </c>
      <c r="CF369">
        <v>345</v>
      </c>
      <c r="CG369">
        <v>359</v>
      </c>
      <c r="CH369">
        <v>363</v>
      </c>
      <c r="CI369">
        <v>366</v>
      </c>
      <c r="CJ369">
        <f>0.05*CF369/464</f>
        <v>3.7176724137931036E-2</v>
      </c>
      <c r="CK369">
        <f>0.05*CG369/464</f>
        <v>3.8685344827586204E-2</v>
      </c>
      <c r="CL369">
        <f>0.05*CH369/464</f>
        <v>3.9116379310344833E-2</v>
      </c>
      <c r="CM369">
        <f>0.05*CI369/464</f>
        <v>3.9439655172413796E-2</v>
      </c>
      <c r="CN369" t="e">
        <f>IF(CB369&lt;CJ369,"yes","no")</f>
        <v>#DIV/0!</v>
      </c>
      <c r="CO369" t="e">
        <f>IF(CC369&lt;CK369,"yes","no")</f>
        <v>#DIV/0!</v>
      </c>
      <c r="CP369" t="e">
        <f>IF(CD369&lt;CL369,"yes","no")</f>
        <v>#DIV/0!</v>
      </c>
      <c r="CQ369" t="e">
        <f>IF(CE369&lt;CM369,"yes","no")</f>
        <v>#DIV/0!</v>
      </c>
      <c r="CR369" t="e">
        <f>TTEST(AS369:AW369,AD369:AH369,2,2)</f>
        <v>#DIV/0!</v>
      </c>
      <c r="CS369" t="e">
        <f>TTEST(AS369:AW369,AN369:AR369,2,2)</f>
        <v>#DIV/0!</v>
      </c>
      <c r="CT369" t="e">
        <f>TTEST(AS369:AW369,AX369:BB369,2,2)</f>
        <v>#DIV/0!</v>
      </c>
      <c r="CU369">
        <v>363</v>
      </c>
      <c r="CV369">
        <v>366</v>
      </c>
      <c r="CW369">
        <v>368</v>
      </c>
      <c r="CX369">
        <f t="shared" si="15"/>
        <v>3.9116379310344833E-2</v>
      </c>
      <c r="CY369">
        <f t="shared" si="16"/>
        <v>3.9439655172413796E-2</v>
      </c>
      <c r="CZ369">
        <f t="shared" si="17"/>
        <v>3.9655172413793106E-2</v>
      </c>
      <c r="DA369" t="e">
        <f>IF(CR369&lt;CX369,"yes","no")</f>
        <v>#DIV/0!</v>
      </c>
      <c r="DB369" t="e">
        <f>IF(CS369&lt;CY369,"yes","no")</f>
        <v>#DIV/0!</v>
      </c>
      <c r="DC369" t="e">
        <f>IF(CT369&lt;CZ369,"yes","no")</f>
        <v>#DIV/0!</v>
      </c>
    </row>
    <row r="370" spans="1:107" x14ac:dyDescent="0.2">
      <c r="A370" s="2" t="b">
        <v>0</v>
      </c>
      <c r="B370" s="2" t="s">
        <v>79</v>
      </c>
      <c r="C370" s="2" t="s">
        <v>80</v>
      </c>
      <c r="D370" s="2" t="s">
        <v>1281</v>
      </c>
      <c r="E370" s="2" t="s">
        <v>1282</v>
      </c>
      <c r="F370" s="2">
        <v>1</v>
      </c>
      <c r="G370" s="2">
        <v>1</v>
      </c>
      <c r="H370" s="2">
        <v>12.8</v>
      </c>
      <c r="I370" s="2">
        <v>8.8800000000000008</v>
      </c>
      <c r="J370" s="2" t="s">
        <v>254</v>
      </c>
      <c r="K370" s="2" t="s">
        <v>319</v>
      </c>
      <c r="L370" s="2" t="s">
        <v>83</v>
      </c>
      <c r="M370" s="2" t="s">
        <v>83</v>
      </c>
      <c r="N370" s="2" t="s">
        <v>1281</v>
      </c>
      <c r="O370" s="2">
        <v>0.01</v>
      </c>
      <c r="P370" s="2">
        <v>0.01</v>
      </c>
      <c r="Q370" s="2">
        <v>0.01</v>
      </c>
      <c r="R370" s="2">
        <v>100</v>
      </c>
      <c r="S370" s="2" t="s">
        <v>83</v>
      </c>
      <c r="T370" s="2" t="s">
        <v>83</v>
      </c>
      <c r="U370" s="2" t="s">
        <v>83</v>
      </c>
      <c r="V370" s="2" t="s">
        <v>83</v>
      </c>
      <c r="W370" s="2" t="s">
        <v>83</v>
      </c>
      <c r="X370" s="2" t="s">
        <v>83</v>
      </c>
      <c r="Y370" s="2">
        <v>500</v>
      </c>
      <c r="Z370" s="2" t="s">
        <v>83</v>
      </c>
      <c r="AA370" s="2" t="s">
        <v>83</v>
      </c>
      <c r="AB370" s="2" t="s">
        <v>83</v>
      </c>
      <c r="AC370" s="2" t="s">
        <v>83</v>
      </c>
      <c r="AD370" s="2">
        <v>83727.0234375</v>
      </c>
      <c r="AE370" s="2" t="s">
        <v>83</v>
      </c>
      <c r="AF370" s="2" t="s">
        <v>83</v>
      </c>
      <c r="AG370" s="2">
        <v>259223.015625</v>
      </c>
      <c r="AH370" s="2">
        <v>273211.3125</v>
      </c>
      <c r="AI370" s="2" t="s">
        <v>83</v>
      </c>
      <c r="AJ370" s="2" t="s">
        <v>83</v>
      </c>
      <c r="AK370" s="2" t="s">
        <v>83</v>
      </c>
      <c r="AL370" s="2" t="s">
        <v>83</v>
      </c>
      <c r="AM370" s="2" t="s">
        <v>83</v>
      </c>
      <c r="AN370" s="2" t="s">
        <v>83</v>
      </c>
      <c r="AO370" s="2" t="s">
        <v>83</v>
      </c>
      <c r="AP370" s="2" t="s">
        <v>83</v>
      </c>
      <c r="AQ370" s="2" t="s">
        <v>83</v>
      </c>
      <c r="AR370" s="2" t="s">
        <v>83</v>
      </c>
      <c r="AS370" s="2" t="s">
        <v>83</v>
      </c>
      <c r="AT370" s="2" t="s">
        <v>83</v>
      </c>
      <c r="AU370" s="2" t="s">
        <v>83</v>
      </c>
      <c r="AV370" s="2" t="s">
        <v>83</v>
      </c>
      <c r="AW370" s="2" t="s">
        <v>83</v>
      </c>
      <c r="AX370" s="2" t="s">
        <v>83</v>
      </c>
      <c r="AY370" s="2" t="s">
        <v>83</v>
      </c>
      <c r="AZ370" s="2" t="s">
        <v>83</v>
      </c>
      <c r="BA370" s="2" t="s">
        <v>83</v>
      </c>
      <c r="BB370" s="2" t="s">
        <v>83</v>
      </c>
      <c r="BC370" s="2" t="s">
        <v>91</v>
      </c>
      <c r="BD370" s="2" t="s">
        <v>98</v>
      </c>
      <c r="BE370" s="2" t="s">
        <v>98</v>
      </c>
      <c r="BF370" s="2" t="s">
        <v>79</v>
      </c>
      <c r="BG370" s="2" t="s">
        <v>79</v>
      </c>
      <c r="BH370" s="2" t="s">
        <v>98</v>
      </c>
      <c r="BI370" s="2" t="s">
        <v>98</v>
      </c>
      <c r="BJ370" s="2" t="s">
        <v>98</v>
      </c>
      <c r="BK370" s="2" t="s">
        <v>98</v>
      </c>
      <c r="BL370" s="2" t="s">
        <v>98</v>
      </c>
      <c r="BM370" s="2" t="s">
        <v>98</v>
      </c>
      <c r="BN370" s="2" t="s">
        <v>98</v>
      </c>
      <c r="BO370" s="2" t="s">
        <v>98</v>
      </c>
      <c r="BP370" s="2" t="s">
        <v>98</v>
      </c>
      <c r="BQ370" s="2" t="s">
        <v>98</v>
      </c>
      <c r="BR370" s="2" t="s">
        <v>98</v>
      </c>
      <c r="BS370" s="2" t="s">
        <v>98</v>
      </c>
      <c r="BT370" s="2" t="s">
        <v>98</v>
      </c>
      <c r="BU370" s="2" t="s">
        <v>98</v>
      </c>
      <c r="BV370" s="2" t="s">
        <v>98</v>
      </c>
      <c r="BW370" s="2" t="s">
        <v>98</v>
      </c>
      <c r="BX370" s="2" t="s">
        <v>98</v>
      </c>
      <c r="BY370" s="2" t="s">
        <v>98</v>
      </c>
      <c r="BZ370" s="2" t="s">
        <v>98</v>
      </c>
      <c r="CA370" s="2" t="s">
        <v>98</v>
      </c>
      <c r="CB370" t="e">
        <f>TTEST(AS370:AW370,AI370:AM370,2,2)</f>
        <v>#DIV/0!</v>
      </c>
      <c r="CC370" t="e">
        <f>TTEST(AD370:AH370,AI370:AM370,2,2)</f>
        <v>#DIV/0!</v>
      </c>
      <c r="CD370" t="e">
        <f>TTEST(AN370:AR370,AI370:AM370,2,2)</f>
        <v>#DIV/0!</v>
      </c>
      <c r="CE370" t="e">
        <f>TTEST(AX370:BB370,AI370:AM370,2,2)</f>
        <v>#DIV/0!</v>
      </c>
      <c r="CF370">
        <v>346</v>
      </c>
      <c r="CG370">
        <v>360</v>
      </c>
      <c r="CH370">
        <v>364</v>
      </c>
      <c r="CI370">
        <v>367</v>
      </c>
      <c r="CJ370">
        <f>0.05*CF370/464</f>
        <v>3.7284482758620688E-2</v>
      </c>
      <c r="CK370">
        <f>0.05*CG370/464</f>
        <v>3.8793103448275863E-2</v>
      </c>
      <c r="CL370">
        <f>0.05*CH370/464</f>
        <v>3.9224137931034478E-2</v>
      </c>
      <c r="CM370">
        <f>0.05*CI370/464</f>
        <v>3.9547413793103454E-2</v>
      </c>
      <c r="CN370" t="e">
        <f>IF(CB370&lt;CJ370,"yes","no")</f>
        <v>#DIV/0!</v>
      </c>
      <c r="CO370" t="e">
        <f>IF(CC370&lt;CK370,"yes","no")</f>
        <v>#DIV/0!</v>
      </c>
      <c r="CP370" t="e">
        <f>IF(CD370&lt;CL370,"yes","no")</f>
        <v>#DIV/0!</v>
      </c>
      <c r="CQ370" t="e">
        <f>IF(CE370&lt;CM370,"yes","no")</f>
        <v>#DIV/0!</v>
      </c>
      <c r="CR370" t="e">
        <f>TTEST(AS370:AW370,AD370:AH370,2,2)</f>
        <v>#DIV/0!</v>
      </c>
      <c r="CS370" t="e">
        <f>TTEST(AS370:AW370,AN370:AR370,2,2)</f>
        <v>#DIV/0!</v>
      </c>
      <c r="CT370" t="e">
        <f>TTEST(AS370:AW370,AX370:BB370,2,2)</f>
        <v>#DIV/0!</v>
      </c>
      <c r="CU370">
        <v>364</v>
      </c>
      <c r="CV370">
        <v>367</v>
      </c>
      <c r="CW370">
        <v>369</v>
      </c>
      <c r="CX370">
        <f t="shared" si="15"/>
        <v>3.9224137931034478E-2</v>
      </c>
      <c r="CY370">
        <f t="shared" si="16"/>
        <v>3.9547413793103454E-2</v>
      </c>
      <c r="CZ370">
        <f t="shared" si="17"/>
        <v>3.9762931034482758E-2</v>
      </c>
      <c r="DA370" t="e">
        <f>IF(CR370&lt;CX370,"yes","no")</f>
        <v>#DIV/0!</v>
      </c>
      <c r="DB370" t="e">
        <f>IF(CS370&lt;CY370,"yes","no")</f>
        <v>#DIV/0!</v>
      </c>
      <c r="DC370" t="e">
        <f>IF(CT370&lt;CZ370,"yes","no")</f>
        <v>#DIV/0!</v>
      </c>
    </row>
    <row r="371" spans="1:107" x14ac:dyDescent="0.2">
      <c r="A371" s="2" t="b">
        <v>0</v>
      </c>
      <c r="B371" s="2" t="s">
        <v>79</v>
      </c>
      <c r="C371" s="2" t="s">
        <v>80</v>
      </c>
      <c r="D371" s="2" t="s">
        <v>1301</v>
      </c>
      <c r="E371" s="2" t="s">
        <v>1302</v>
      </c>
      <c r="F371" s="2">
        <v>2</v>
      </c>
      <c r="G371" s="2">
        <v>2</v>
      </c>
      <c r="H371" s="2">
        <v>66.8</v>
      </c>
      <c r="I371" s="2">
        <v>7.3</v>
      </c>
      <c r="J371" s="2" t="s">
        <v>553</v>
      </c>
      <c r="K371" s="2" t="s">
        <v>84</v>
      </c>
      <c r="L371" s="2" t="s">
        <v>119</v>
      </c>
      <c r="M371" s="2" t="s">
        <v>1303</v>
      </c>
      <c r="N371" s="2" t="s">
        <v>1301</v>
      </c>
      <c r="O371" s="2">
        <v>0.01</v>
      </c>
      <c r="P371" s="2">
        <v>0.01</v>
      </c>
      <c r="Q371" s="2">
        <v>0.01</v>
      </c>
      <c r="R371" s="2">
        <v>100</v>
      </c>
      <c r="S371" s="2" t="s">
        <v>83</v>
      </c>
      <c r="T371" s="2" t="s">
        <v>83</v>
      </c>
      <c r="U371" s="2" t="s">
        <v>83</v>
      </c>
      <c r="V371" s="2" t="s">
        <v>83</v>
      </c>
      <c r="W371" s="2" t="s">
        <v>83</v>
      </c>
      <c r="X371" s="2" t="s">
        <v>83</v>
      </c>
      <c r="Y371" s="2">
        <v>500</v>
      </c>
      <c r="Z371" s="2" t="s">
        <v>83</v>
      </c>
      <c r="AA371" s="2" t="s">
        <v>83</v>
      </c>
      <c r="AB371" s="2" t="s">
        <v>83</v>
      </c>
      <c r="AC371" s="2" t="s">
        <v>83</v>
      </c>
      <c r="AD371" s="2">
        <v>12090.0634765625</v>
      </c>
      <c r="AE371" s="2" t="s">
        <v>83</v>
      </c>
      <c r="AF371" s="2" t="s">
        <v>83</v>
      </c>
      <c r="AG371" s="2">
        <v>44272.203125</v>
      </c>
      <c r="AH371" s="2" t="s">
        <v>83</v>
      </c>
      <c r="AI371" s="2" t="s">
        <v>83</v>
      </c>
      <c r="AJ371" s="2" t="s">
        <v>83</v>
      </c>
      <c r="AK371" s="2" t="s">
        <v>83</v>
      </c>
      <c r="AL371" s="2" t="s">
        <v>83</v>
      </c>
      <c r="AM371" s="2" t="s">
        <v>83</v>
      </c>
      <c r="AN371" s="2" t="s">
        <v>83</v>
      </c>
      <c r="AO371" s="2" t="s">
        <v>83</v>
      </c>
      <c r="AP371" s="2" t="s">
        <v>83</v>
      </c>
      <c r="AQ371" s="2" t="s">
        <v>83</v>
      </c>
      <c r="AR371" s="2" t="s">
        <v>83</v>
      </c>
      <c r="AS371" s="2" t="s">
        <v>83</v>
      </c>
      <c r="AT371" s="2" t="s">
        <v>83</v>
      </c>
      <c r="AU371" s="2" t="s">
        <v>83</v>
      </c>
      <c r="AV371" s="2" t="s">
        <v>83</v>
      </c>
      <c r="AW371" s="2" t="s">
        <v>83</v>
      </c>
      <c r="AX371" s="2" t="s">
        <v>83</v>
      </c>
      <c r="AY371" s="2" t="s">
        <v>83</v>
      </c>
      <c r="AZ371" s="2" t="s">
        <v>83</v>
      </c>
      <c r="BA371" s="2" t="s">
        <v>83</v>
      </c>
      <c r="BB371" s="2" t="s">
        <v>83</v>
      </c>
      <c r="BC371" s="2" t="s">
        <v>79</v>
      </c>
      <c r="BD371" s="2" t="s">
        <v>79</v>
      </c>
      <c r="BE371" s="2" t="s">
        <v>79</v>
      </c>
      <c r="BF371" s="2" t="s">
        <v>79</v>
      </c>
      <c r="BG371" s="2" t="s">
        <v>79</v>
      </c>
      <c r="BH371" s="2" t="s">
        <v>98</v>
      </c>
      <c r="BI371" s="2" t="s">
        <v>98</v>
      </c>
      <c r="BJ371" s="2" t="s">
        <v>98</v>
      </c>
      <c r="BK371" s="2" t="s">
        <v>98</v>
      </c>
      <c r="BL371" s="2" t="s">
        <v>98</v>
      </c>
      <c r="BM371" s="2" t="s">
        <v>98</v>
      </c>
      <c r="BN371" s="2" t="s">
        <v>98</v>
      </c>
      <c r="BO371" s="2" t="s">
        <v>98</v>
      </c>
      <c r="BP371" s="2" t="s">
        <v>98</v>
      </c>
      <c r="BQ371" s="2" t="s">
        <v>98</v>
      </c>
      <c r="BR371" s="2" t="s">
        <v>98</v>
      </c>
      <c r="BS371" s="2" t="s">
        <v>98</v>
      </c>
      <c r="BT371" s="2" t="s">
        <v>98</v>
      </c>
      <c r="BU371" s="2" t="s">
        <v>98</v>
      </c>
      <c r="BV371" s="2" t="s">
        <v>98</v>
      </c>
      <c r="BW371" s="2" t="s">
        <v>98</v>
      </c>
      <c r="BX371" s="2" t="s">
        <v>98</v>
      </c>
      <c r="BY371" s="2" t="s">
        <v>98</v>
      </c>
      <c r="BZ371" s="2" t="s">
        <v>98</v>
      </c>
      <c r="CA371" s="2" t="s">
        <v>98</v>
      </c>
      <c r="CB371" t="e">
        <f>TTEST(AS371:AW371,AI371:AM371,2,2)</f>
        <v>#DIV/0!</v>
      </c>
      <c r="CC371" t="e">
        <f>TTEST(AD371:AH371,AI371:AM371,2,2)</f>
        <v>#DIV/0!</v>
      </c>
      <c r="CD371" t="e">
        <f>TTEST(AN371:AR371,AI371:AM371,2,2)</f>
        <v>#DIV/0!</v>
      </c>
      <c r="CE371" t="e">
        <f>TTEST(AX371:BB371,AI371:AM371,2,2)</f>
        <v>#DIV/0!</v>
      </c>
      <c r="CF371">
        <v>347</v>
      </c>
      <c r="CG371">
        <v>361</v>
      </c>
      <c r="CH371">
        <v>365</v>
      </c>
      <c r="CI371">
        <v>368</v>
      </c>
      <c r="CJ371">
        <f>0.05*CF371/464</f>
        <v>3.7392241379310347E-2</v>
      </c>
      <c r="CK371">
        <f>0.05*CG371/464</f>
        <v>3.8900862068965522E-2</v>
      </c>
      <c r="CL371">
        <f>0.05*CH371/464</f>
        <v>3.9331896551724137E-2</v>
      </c>
      <c r="CM371">
        <f>0.05*CI371/464</f>
        <v>3.9655172413793106E-2</v>
      </c>
      <c r="CN371" t="e">
        <f>IF(CB371&lt;CJ371,"yes","no")</f>
        <v>#DIV/0!</v>
      </c>
      <c r="CO371" t="e">
        <f>IF(CC371&lt;CK371,"yes","no")</f>
        <v>#DIV/0!</v>
      </c>
      <c r="CP371" t="e">
        <f>IF(CD371&lt;CL371,"yes","no")</f>
        <v>#DIV/0!</v>
      </c>
      <c r="CQ371" t="e">
        <f>IF(CE371&lt;CM371,"yes","no")</f>
        <v>#DIV/0!</v>
      </c>
      <c r="CR371" t="e">
        <f>TTEST(AS371:AW371,AD371:AH371,2,2)</f>
        <v>#DIV/0!</v>
      </c>
      <c r="CS371" t="e">
        <f>TTEST(AS371:AW371,AN371:AR371,2,2)</f>
        <v>#DIV/0!</v>
      </c>
      <c r="CT371" t="e">
        <f>TTEST(AS371:AW371,AX371:BB371,2,2)</f>
        <v>#DIV/0!</v>
      </c>
      <c r="CU371">
        <v>365</v>
      </c>
      <c r="CV371">
        <v>368</v>
      </c>
      <c r="CW371">
        <v>370</v>
      </c>
      <c r="CX371">
        <f t="shared" si="15"/>
        <v>3.9331896551724137E-2</v>
      </c>
      <c r="CY371">
        <f t="shared" si="16"/>
        <v>3.9655172413793106E-2</v>
      </c>
      <c r="CZ371">
        <f t="shared" si="17"/>
        <v>3.9870689655172417E-2</v>
      </c>
      <c r="DA371" t="e">
        <f>IF(CR371&lt;CX371,"yes","no")</f>
        <v>#DIV/0!</v>
      </c>
      <c r="DB371" t="e">
        <f>IF(CS371&lt;CY371,"yes","no")</f>
        <v>#DIV/0!</v>
      </c>
      <c r="DC371" t="e">
        <f>IF(CT371&lt;CZ371,"yes","no")</f>
        <v>#DIV/0!</v>
      </c>
    </row>
    <row r="372" spans="1:107" x14ac:dyDescent="0.2">
      <c r="A372" s="2" t="b">
        <v>0</v>
      </c>
      <c r="B372" s="2" t="s">
        <v>79</v>
      </c>
      <c r="C372" s="2" t="s">
        <v>80</v>
      </c>
      <c r="D372" s="2" t="s">
        <v>1308</v>
      </c>
      <c r="E372" s="2" t="s">
        <v>1309</v>
      </c>
      <c r="F372" s="2">
        <v>1</v>
      </c>
      <c r="G372" s="2">
        <v>1</v>
      </c>
      <c r="H372" s="2">
        <v>11.7</v>
      </c>
      <c r="I372" s="2">
        <v>4.92</v>
      </c>
      <c r="J372" s="2" t="s">
        <v>83</v>
      </c>
      <c r="K372" s="2" t="s">
        <v>957</v>
      </c>
      <c r="L372" s="2" t="s">
        <v>119</v>
      </c>
      <c r="M372" s="2" t="s">
        <v>83</v>
      </c>
      <c r="N372" s="2" t="s">
        <v>1310</v>
      </c>
      <c r="O372" s="2">
        <v>2.677</v>
      </c>
      <c r="P372" s="2">
        <v>0.01</v>
      </c>
      <c r="Q372" s="2">
        <v>1.1499999999999999</v>
      </c>
      <c r="R372" s="2">
        <v>100</v>
      </c>
      <c r="S372" s="2">
        <v>100</v>
      </c>
      <c r="T372" s="2" t="s">
        <v>83</v>
      </c>
      <c r="U372" s="2">
        <v>100</v>
      </c>
      <c r="V372" s="2">
        <v>0.01</v>
      </c>
      <c r="W372" s="2">
        <v>0.42899999999999999</v>
      </c>
      <c r="X372" s="2">
        <v>100</v>
      </c>
      <c r="Y372" s="2">
        <v>103.6</v>
      </c>
      <c r="Z372" s="2" t="s">
        <v>83</v>
      </c>
      <c r="AA372" s="2">
        <v>277.3</v>
      </c>
      <c r="AB372" s="2" t="s">
        <v>83</v>
      </c>
      <c r="AC372" s="2">
        <v>119.1</v>
      </c>
      <c r="AD372" s="2" t="s">
        <v>83</v>
      </c>
      <c r="AE372" s="2" t="s">
        <v>83</v>
      </c>
      <c r="AF372" s="2" t="s">
        <v>83</v>
      </c>
      <c r="AG372" s="2">
        <v>359099.71875</v>
      </c>
      <c r="AH372" s="2" t="s">
        <v>83</v>
      </c>
      <c r="AI372" s="2" t="s">
        <v>83</v>
      </c>
      <c r="AJ372" s="2" t="s">
        <v>83</v>
      </c>
      <c r="AK372" s="2" t="s">
        <v>83</v>
      </c>
      <c r="AL372" s="2" t="s">
        <v>83</v>
      </c>
      <c r="AM372" s="2" t="s">
        <v>83</v>
      </c>
      <c r="AN372" s="2" t="s">
        <v>83</v>
      </c>
      <c r="AO372" s="2" t="s">
        <v>83</v>
      </c>
      <c r="AP372" s="2" t="s">
        <v>83</v>
      </c>
      <c r="AQ372" s="2" t="s">
        <v>83</v>
      </c>
      <c r="AR372" s="2">
        <v>21246.7265625</v>
      </c>
      <c r="AS372" s="2" t="s">
        <v>83</v>
      </c>
      <c r="AT372" s="2" t="s">
        <v>83</v>
      </c>
      <c r="AU372" s="2" t="s">
        <v>83</v>
      </c>
      <c r="AV372" s="2" t="s">
        <v>83</v>
      </c>
      <c r="AW372" s="2" t="s">
        <v>83</v>
      </c>
      <c r="AX372" s="2" t="s">
        <v>83</v>
      </c>
      <c r="AY372" s="2">
        <v>16815.8359375</v>
      </c>
      <c r="AZ372" s="2" t="s">
        <v>83</v>
      </c>
      <c r="BA372" s="2" t="s">
        <v>83</v>
      </c>
      <c r="BB372" s="2">
        <v>33316.12890625</v>
      </c>
      <c r="BC372" s="2" t="s">
        <v>98</v>
      </c>
      <c r="BD372" s="2" t="s">
        <v>98</v>
      </c>
      <c r="BE372" s="2" t="s">
        <v>98</v>
      </c>
      <c r="BF372" s="2" t="s">
        <v>79</v>
      </c>
      <c r="BG372" s="2" t="s">
        <v>98</v>
      </c>
      <c r="BH372" s="2" t="s">
        <v>98</v>
      </c>
      <c r="BI372" s="2" t="s">
        <v>98</v>
      </c>
      <c r="BJ372" s="2" t="s">
        <v>98</v>
      </c>
      <c r="BK372" s="2" t="s">
        <v>98</v>
      </c>
      <c r="BL372" s="2" t="s">
        <v>98</v>
      </c>
      <c r="BM372" s="2" t="s">
        <v>98</v>
      </c>
      <c r="BN372" s="2" t="s">
        <v>98</v>
      </c>
      <c r="BO372" s="2" t="s">
        <v>98</v>
      </c>
      <c r="BP372" s="2" t="s">
        <v>98</v>
      </c>
      <c r="BQ372" s="2" t="s">
        <v>91</v>
      </c>
      <c r="BR372" s="2" t="s">
        <v>98</v>
      </c>
      <c r="BS372" s="2" t="s">
        <v>98</v>
      </c>
      <c r="BT372" s="2" t="s">
        <v>98</v>
      </c>
      <c r="BU372" s="2" t="s">
        <v>98</v>
      </c>
      <c r="BV372" s="2" t="s">
        <v>98</v>
      </c>
      <c r="BW372" s="2" t="s">
        <v>98</v>
      </c>
      <c r="BX372" s="2" t="s">
        <v>91</v>
      </c>
      <c r="BY372" s="2" t="s">
        <v>98</v>
      </c>
      <c r="BZ372" s="2" t="s">
        <v>98</v>
      </c>
      <c r="CA372" s="2" t="s">
        <v>91</v>
      </c>
      <c r="CB372" t="e">
        <f>TTEST(AS372:AW372,AI372:AM372,2,2)</f>
        <v>#DIV/0!</v>
      </c>
      <c r="CC372" t="e">
        <f>TTEST(AD372:AH372,AI372:AM372,2,2)</f>
        <v>#DIV/0!</v>
      </c>
      <c r="CD372" t="e">
        <f>TTEST(AN372:AR372,AI372:AM372,2,2)</f>
        <v>#DIV/0!</v>
      </c>
      <c r="CE372" t="e">
        <f>TTEST(AX372:BB372,AI372:AM372,2,2)</f>
        <v>#DIV/0!</v>
      </c>
      <c r="CF372">
        <v>348</v>
      </c>
      <c r="CG372">
        <v>362</v>
      </c>
      <c r="CH372">
        <v>366</v>
      </c>
      <c r="CI372">
        <v>369</v>
      </c>
      <c r="CJ372">
        <f>0.05*CF372/464</f>
        <v>3.7500000000000006E-2</v>
      </c>
      <c r="CK372">
        <f>0.05*CG372/464</f>
        <v>3.9008620689655174E-2</v>
      </c>
      <c r="CL372">
        <f>0.05*CH372/464</f>
        <v>3.9439655172413796E-2</v>
      </c>
      <c r="CM372">
        <f>0.05*CI372/464</f>
        <v>3.9762931034482758E-2</v>
      </c>
      <c r="CN372" t="e">
        <f>IF(CB372&lt;CJ372,"yes","no")</f>
        <v>#DIV/0!</v>
      </c>
      <c r="CO372" t="e">
        <f>IF(CC372&lt;CK372,"yes","no")</f>
        <v>#DIV/0!</v>
      </c>
      <c r="CP372" t="e">
        <f>IF(CD372&lt;CL372,"yes","no")</f>
        <v>#DIV/0!</v>
      </c>
      <c r="CQ372" t="e">
        <f>IF(CE372&lt;CM372,"yes","no")</f>
        <v>#DIV/0!</v>
      </c>
      <c r="CR372" t="e">
        <f>TTEST(AS372:AW372,AD372:AH372,2,2)</f>
        <v>#DIV/0!</v>
      </c>
      <c r="CS372" t="e">
        <f>TTEST(AS372:AW372,AN372:AR372,2,2)</f>
        <v>#DIV/0!</v>
      </c>
      <c r="CT372" t="e">
        <f>TTEST(AS372:AW372,AX372:BB372,2,2)</f>
        <v>#DIV/0!</v>
      </c>
      <c r="CU372">
        <v>366</v>
      </c>
      <c r="CV372">
        <v>369</v>
      </c>
      <c r="CW372">
        <v>371</v>
      </c>
      <c r="CX372">
        <f t="shared" si="15"/>
        <v>3.9439655172413796E-2</v>
      </c>
      <c r="CY372">
        <f t="shared" si="16"/>
        <v>3.9762931034482758E-2</v>
      </c>
      <c r="CZ372">
        <f t="shared" si="17"/>
        <v>3.9978448275862069E-2</v>
      </c>
      <c r="DA372" t="e">
        <f>IF(CR372&lt;CX372,"yes","no")</f>
        <v>#DIV/0!</v>
      </c>
      <c r="DB372" t="e">
        <f>IF(CS372&lt;CY372,"yes","no")</f>
        <v>#DIV/0!</v>
      </c>
      <c r="DC372" t="e">
        <f>IF(CT372&lt;CZ372,"yes","no")</f>
        <v>#DIV/0!</v>
      </c>
    </row>
    <row r="373" spans="1:107" x14ac:dyDescent="0.2">
      <c r="A373" s="2" t="b">
        <v>0</v>
      </c>
      <c r="B373" s="2" t="s">
        <v>79</v>
      </c>
      <c r="C373" s="2" t="s">
        <v>80</v>
      </c>
      <c r="D373" s="2" t="s">
        <v>1311</v>
      </c>
      <c r="E373" s="2" t="s">
        <v>1312</v>
      </c>
      <c r="F373" s="2">
        <v>1</v>
      </c>
      <c r="G373" s="2">
        <v>1</v>
      </c>
      <c r="H373" s="2">
        <v>30</v>
      </c>
      <c r="I373" s="2">
        <v>5.62</v>
      </c>
      <c r="J373" s="2" t="s">
        <v>83</v>
      </c>
      <c r="K373" s="2" t="s">
        <v>83</v>
      </c>
      <c r="L373" s="2" t="s">
        <v>83</v>
      </c>
      <c r="M373" s="2" t="s">
        <v>1313</v>
      </c>
      <c r="N373" s="2" t="s">
        <v>1311</v>
      </c>
      <c r="O373" s="2" t="s">
        <v>83</v>
      </c>
      <c r="P373" s="2" t="s">
        <v>83</v>
      </c>
      <c r="Q373" s="2" t="s">
        <v>83</v>
      </c>
      <c r="R373" s="2" t="s">
        <v>83</v>
      </c>
      <c r="S373" s="2" t="s">
        <v>83</v>
      </c>
      <c r="T373" s="2" t="s">
        <v>83</v>
      </c>
      <c r="U373" s="2" t="s">
        <v>83</v>
      </c>
      <c r="V373" s="2" t="s">
        <v>83</v>
      </c>
      <c r="W373" s="2" t="s">
        <v>83</v>
      </c>
      <c r="X373" s="2" t="s">
        <v>83</v>
      </c>
      <c r="Y373" s="2" t="s">
        <v>83</v>
      </c>
      <c r="Z373" s="2" t="s">
        <v>83</v>
      </c>
      <c r="AA373" s="2" t="s">
        <v>83</v>
      </c>
      <c r="AB373" s="2" t="s">
        <v>83</v>
      </c>
      <c r="AC373" s="2" t="s">
        <v>83</v>
      </c>
      <c r="AD373" s="2" t="s">
        <v>83</v>
      </c>
      <c r="AE373" s="2" t="s">
        <v>83</v>
      </c>
      <c r="AF373" s="2" t="s">
        <v>83</v>
      </c>
      <c r="AG373" s="2" t="s">
        <v>83</v>
      </c>
      <c r="AH373" s="2" t="s">
        <v>83</v>
      </c>
      <c r="AI373" s="2" t="s">
        <v>83</v>
      </c>
      <c r="AJ373" s="2" t="s">
        <v>83</v>
      </c>
      <c r="AK373" s="2" t="s">
        <v>83</v>
      </c>
      <c r="AL373" s="2" t="s">
        <v>83</v>
      </c>
      <c r="AM373" s="2" t="s">
        <v>83</v>
      </c>
      <c r="AN373" s="2" t="s">
        <v>83</v>
      </c>
      <c r="AO373" s="2" t="s">
        <v>83</v>
      </c>
      <c r="AP373" s="2" t="s">
        <v>83</v>
      </c>
      <c r="AQ373" s="2" t="s">
        <v>83</v>
      </c>
      <c r="AR373" s="2" t="s">
        <v>83</v>
      </c>
      <c r="AS373" s="2" t="s">
        <v>83</v>
      </c>
      <c r="AT373" s="2" t="s">
        <v>83</v>
      </c>
      <c r="AU373" s="2" t="s">
        <v>83</v>
      </c>
      <c r="AV373" s="2" t="s">
        <v>83</v>
      </c>
      <c r="AW373" s="2" t="s">
        <v>83</v>
      </c>
      <c r="AX373" s="2" t="s">
        <v>83</v>
      </c>
      <c r="AY373" s="2" t="s">
        <v>83</v>
      </c>
      <c r="AZ373" s="2" t="s">
        <v>83</v>
      </c>
      <c r="BA373" s="2" t="s">
        <v>83</v>
      </c>
      <c r="BB373" s="2" t="s">
        <v>83</v>
      </c>
      <c r="BC373" s="2" t="s">
        <v>98</v>
      </c>
      <c r="BD373" s="2" t="s">
        <v>98</v>
      </c>
      <c r="BE373" s="2" t="s">
        <v>98</v>
      </c>
      <c r="BF373" s="2" t="s">
        <v>79</v>
      </c>
      <c r="BG373" s="2" t="s">
        <v>98</v>
      </c>
      <c r="BH373" s="2" t="s">
        <v>98</v>
      </c>
      <c r="BI373" s="2" t="s">
        <v>98</v>
      </c>
      <c r="BJ373" s="2" t="s">
        <v>98</v>
      </c>
      <c r="BK373" s="2" t="s">
        <v>98</v>
      </c>
      <c r="BL373" s="2" t="s">
        <v>98</v>
      </c>
      <c r="BM373" s="2" t="s">
        <v>98</v>
      </c>
      <c r="BN373" s="2" t="s">
        <v>98</v>
      </c>
      <c r="BO373" s="2" t="s">
        <v>98</v>
      </c>
      <c r="BP373" s="2" t="s">
        <v>98</v>
      </c>
      <c r="BQ373" s="2" t="s">
        <v>98</v>
      </c>
      <c r="BR373" s="2" t="s">
        <v>98</v>
      </c>
      <c r="BS373" s="2" t="s">
        <v>98</v>
      </c>
      <c r="BT373" s="2" t="s">
        <v>98</v>
      </c>
      <c r="BU373" s="2" t="s">
        <v>98</v>
      </c>
      <c r="BV373" s="2" t="s">
        <v>98</v>
      </c>
      <c r="BW373" s="2" t="s">
        <v>98</v>
      </c>
      <c r="BX373" s="2" t="s">
        <v>98</v>
      </c>
      <c r="BY373" s="2" t="s">
        <v>98</v>
      </c>
      <c r="BZ373" s="2" t="s">
        <v>98</v>
      </c>
      <c r="CA373" s="2" t="s">
        <v>98</v>
      </c>
      <c r="CB373" t="e">
        <f>TTEST(AS373:AW373,AI373:AM373,2,2)</f>
        <v>#DIV/0!</v>
      </c>
      <c r="CC373" t="e">
        <f>TTEST(AD373:AH373,AI373:AM373,2,2)</f>
        <v>#DIV/0!</v>
      </c>
      <c r="CD373" t="e">
        <f>TTEST(AN373:AR373,AI373:AM373,2,2)</f>
        <v>#DIV/0!</v>
      </c>
      <c r="CE373" t="e">
        <f>TTEST(AX373:BB373,AI373:AM373,2,2)</f>
        <v>#DIV/0!</v>
      </c>
      <c r="CF373">
        <v>349</v>
      </c>
      <c r="CG373">
        <v>363</v>
      </c>
      <c r="CH373">
        <v>367</v>
      </c>
      <c r="CI373">
        <v>370</v>
      </c>
      <c r="CJ373">
        <f>0.05*CF373/464</f>
        <v>3.7607758620689651E-2</v>
      </c>
      <c r="CK373">
        <f>0.05*CG373/464</f>
        <v>3.9116379310344833E-2</v>
      </c>
      <c r="CL373">
        <f>0.05*CH373/464</f>
        <v>3.9547413793103454E-2</v>
      </c>
      <c r="CM373">
        <f>0.05*CI373/464</f>
        <v>3.9870689655172417E-2</v>
      </c>
      <c r="CN373" t="e">
        <f>IF(CB373&lt;CJ373,"yes","no")</f>
        <v>#DIV/0!</v>
      </c>
      <c r="CO373" t="e">
        <f>IF(CC373&lt;CK373,"yes","no")</f>
        <v>#DIV/0!</v>
      </c>
      <c r="CP373" t="e">
        <f>IF(CD373&lt;CL373,"yes","no")</f>
        <v>#DIV/0!</v>
      </c>
      <c r="CQ373" t="e">
        <f>IF(CE373&lt;CM373,"yes","no")</f>
        <v>#DIV/0!</v>
      </c>
      <c r="CR373" t="e">
        <f>TTEST(AS373:AW373,AD373:AH373,2,2)</f>
        <v>#DIV/0!</v>
      </c>
      <c r="CS373" t="e">
        <f>TTEST(AS373:AW373,AN373:AR373,2,2)</f>
        <v>#DIV/0!</v>
      </c>
      <c r="CT373" t="e">
        <f>TTEST(AS373:AW373,AX373:BB373,2,2)</f>
        <v>#DIV/0!</v>
      </c>
      <c r="CU373">
        <v>367</v>
      </c>
      <c r="CV373">
        <v>370</v>
      </c>
      <c r="CW373">
        <v>372</v>
      </c>
      <c r="CX373">
        <f t="shared" si="15"/>
        <v>3.9547413793103454E-2</v>
      </c>
      <c r="CY373">
        <f t="shared" si="16"/>
        <v>3.9870689655172417E-2</v>
      </c>
      <c r="CZ373">
        <f t="shared" si="17"/>
        <v>4.0086206896551728E-2</v>
      </c>
      <c r="DA373" t="e">
        <f>IF(CR373&lt;CX373,"yes","no")</f>
        <v>#DIV/0!</v>
      </c>
      <c r="DB373" t="e">
        <f>IF(CS373&lt;CY373,"yes","no")</f>
        <v>#DIV/0!</v>
      </c>
      <c r="DC373" t="e">
        <f>IF(CT373&lt;CZ373,"yes","no")</f>
        <v>#DIV/0!</v>
      </c>
    </row>
    <row r="374" spans="1:107" x14ac:dyDescent="0.2">
      <c r="A374" s="2" t="b">
        <v>0</v>
      </c>
      <c r="B374" s="2" t="s">
        <v>79</v>
      </c>
      <c r="C374" s="2" t="s">
        <v>80</v>
      </c>
      <c r="D374" s="2" t="s">
        <v>1317</v>
      </c>
      <c r="E374" s="2" t="s">
        <v>1318</v>
      </c>
      <c r="F374" s="2">
        <v>1</v>
      </c>
      <c r="G374" s="2">
        <v>1</v>
      </c>
      <c r="H374" s="2">
        <v>118.4</v>
      </c>
      <c r="I374" s="2">
        <v>4.93</v>
      </c>
      <c r="J374" s="2" t="s">
        <v>980</v>
      </c>
      <c r="K374" s="2" t="s">
        <v>540</v>
      </c>
      <c r="L374" s="2" t="s">
        <v>119</v>
      </c>
      <c r="M374" s="2" t="s">
        <v>1319</v>
      </c>
      <c r="N374" s="2" t="s">
        <v>1317</v>
      </c>
      <c r="O374" s="2" t="s">
        <v>83</v>
      </c>
      <c r="P374" s="2" t="s">
        <v>83</v>
      </c>
      <c r="Q374" s="2" t="s">
        <v>83</v>
      </c>
      <c r="R374" s="2" t="s">
        <v>83</v>
      </c>
      <c r="S374" s="2" t="s">
        <v>83</v>
      </c>
      <c r="T374" s="2" t="s">
        <v>83</v>
      </c>
      <c r="U374" s="2" t="s">
        <v>83</v>
      </c>
      <c r="V374" s="2" t="s">
        <v>83</v>
      </c>
      <c r="W374" s="2" t="s">
        <v>83</v>
      </c>
      <c r="X374" s="2" t="s">
        <v>83</v>
      </c>
      <c r="Y374" s="2" t="s">
        <v>83</v>
      </c>
      <c r="Z374" s="2" t="s">
        <v>83</v>
      </c>
      <c r="AA374" s="2" t="s">
        <v>83</v>
      </c>
      <c r="AB374" s="2" t="s">
        <v>83</v>
      </c>
      <c r="AC374" s="2" t="s">
        <v>83</v>
      </c>
      <c r="AD374" s="2" t="s">
        <v>83</v>
      </c>
      <c r="AE374" s="2" t="s">
        <v>83</v>
      </c>
      <c r="AF374" s="2" t="s">
        <v>83</v>
      </c>
      <c r="AG374" s="2" t="s">
        <v>83</v>
      </c>
      <c r="AH374" s="2" t="s">
        <v>83</v>
      </c>
      <c r="AI374" s="2" t="s">
        <v>83</v>
      </c>
      <c r="AJ374" s="2" t="s">
        <v>83</v>
      </c>
      <c r="AK374" s="2" t="s">
        <v>83</v>
      </c>
      <c r="AL374" s="2" t="s">
        <v>83</v>
      </c>
      <c r="AM374" s="2" t="s">
        <v>83</v>
      </c>
      <c r="AN374" s="2" t="s">
        <v>83</v>
      </c>
      <c r="AO374" s="2" t="s">
        <v>83</v>
      </c>
      <c r="AP374" s="2" t="s">
        <v>83</v>
      </c>
      <c r="AQ374" s="2" t="s">
        <v>83</v>
      </c>
      <c r="AR374" s="2" t="s">
        <v>83</v>
      </c>
      <c r="AS374" s="2" t="s">
        <v>83</v>
      </c>
      <c r="AT374" s="2" t="s">
        <v>83</v>
      </c>
      <c r="AU374" s="2" t="s">
        <v>83</v>
      </c>
      <c r="AV374" s="2" t="s">
        <v>83</v>
      </c>
      <c r="AW374" s="2" t="s">
        <v>83</v>
      </c>
      <c r="AX374" s="2" t="s">
        <v>83</v>
      </c>
      <c r="AY374" s="2" t="s">
        <v>83</v>
      </c>
      <c r="AZ374" s="2" t="s">
        <v>83</v>
      </c>
      <c r="BA374" s="2" t="s">
        <v>83</v>
      </c>
      <c r="BB374" s="2" t="s">
        <v>83</v>
      </c>
      <c r="BC374" s="2" t="s">
        <v>98</v>
      </c>
      <c r="BD374" s="2" t="s">
        <v>98</v>
      </c>
      <c r="BE374" s="2" t="s">
        <v>98</v>
      </c>
      <c r="BF374" s="2" t="s">
        <v>98</v>
      </c>
      <c r="BG374" s="2" t="s">
        <v>79</v>
      </c>
      <c r="BH374" s="2" t="s">
        <v>98</v>
      </c>
      <c r="BI374" s="2" t="s">
        <v>98</v>
      </c>
      <c r="BJ374" s="2" t="s">
        <v>98</v>
      </c>
      <c r="BK374" s="2" t="s">
        <v>98</v>
      </c>
      <c r="BL374" s="2" t="s">
        <v>98</v>
      </c>
      <c r="BM374" s="2" t="s">
        <v>98</v>
      </c>
      <c r="BN374" s="2" t="s">
        <v>98</v>
      </c>
      <c r="BO374" s="2" t="s">
        <v>98</v>
      </c>
      <c r="BP374" s="2" t="s">
        <v>98</v>
      </c>
      <c r="BQ374" s="2" t="s">
        <v>98</v>
      </c>
      <c r="BR374" s="2" t="s">
        <v>98</v>
      </c>
      <c r="BS374" s="2" t="s">
        <v>98</v>
      </c>
      <c r="BT374" s="2" t="s">
        <v>98</v>
      </c>
      <c r="BU374" s="2" t="s">
        <v>98</v>
      </c>
      <c r="BV374" s="2" t="s">
        <v>98</v>
      </c>
      <c r="BW374" s="2" t="s">
        <v>98</v>
      </c>
      <c r="BX374" s="2" t="s">
        <v>98</v>
      </c>
      <c r="BY374" s="2" t="s">
        <v>98</v>
      </c>
      <c r="BZ374" s="2" t="s">
        <v>98</v>
      </c>
      <c r="CA374" s="2" t="s">
        <v>98</v>
      </c>
      <c r="CB374" t="e">
        <f>TTEST(AS374:AW374,AI374:AM374,2,2)</f>
        <v>#DIV/0!</v>
      </c>
      <c r="CC374" t="e">
        <f>TTEST(AD374:AH374,AI374:AM374,2,2)</f>
        <v>#DIV/0!</v>
      </c>
      <c r="CD374" t="e">
        <f>TTEST(AN374:AR374,AI374:AM374,2,2)</f>
        <v>#DIV/0!</v>
      </c>
      <c r="CE374" t="e">
        <f>TTEST(AX374:BB374,AI374:AM374,2,2)</f>
        <v>#DIV/0!</v>
      </c>
      <c r="CF374">
        <v>350</v>
      </c>
      <c r="CG374">
        <v>364</v>
      </c>
      <c r="CH374">
        <v>368</v>
      </c>
      <c r="CI374">
        <v>371</v>
      </c>
      <c r="CJ374">
        <f>0.05*CF374/464</f>
        <v>3.7715517241379309E-2</v>
      </c>
      <c r="CK374">
        <f>0.05*CG374/464</f>
        <v>3.9224137931034478E-2</v>
      </c>
      <c r="CL374">
        <f>0.05*CH374/464</f>
        <v>3.9655172413793106E-2</v>
      </c>
      <c r="CM374">
        <f>0.05*CI374/464</f>
        <v>3.9978448275862069E-2</v>
      </c>
      <c r="CN374" t="e">
        <f>IF(CB374&lt;CJ374,"yes","no")</f>
        <v>#DIV/0!</v>
      </c>
      <c r="CO374" t="e">
        <f>IF(CC374&lt;CK374,"yes","no")</f>
        <v>#DIV/0!</v>
      </c>
      <c r="CP374" t="e">
        <f>IF(CD374&lt;CL374,"yes","no")</f>
        <v>#DIV/0!</v>
      </c>
      <c r="CQ374" t="e">
        <f>IF(CE374&lt;CM374,"yes","no")</f>
        <v>#DIV/0!</v>
      </c>
      <c r="CR374" t="e">
        <f>TTEST(AS374:AW374,AD374:AH374,2,2)</f>
        <v>#DIV/0!</v>
      </c>
      <c r="CS374" t="e">
        <f>TTEST(AS374:AW374,AN374:AR374,2,2)</f>
        <v>#DIV/0!</v>
      </c>
      <c r="CT374" t="e">
        <f>TTEST(AS374:AW374,AX374:BB374,2,2)</f>
        <v>#DIV/0!</v>
      </c>
      <c r="CU374">
        <v>368</v>
      </c>
      <c r="CV374">
        <v>371</v>
      </c>
      <c r="CW374">
        <v>373</v>
      </c>
      <c r="CX374">
        <f t="shared" si="15"/>
        <v>3.9655172413793106E-2</v>
      </c>
      <c r="CY374">
        <f t="shared" si="16"/>
        <v>3.9978448275862069E-2</v>
      </c>
      <c r="CZ374">
        <f t="shared" si="17"/>
        <v>4.0193965517241387E-2</v>
      </c>
      <c r="DA374" t="e">
        <f>IF(CR374&lt;CX374,"yes","no")</f>
        <v>#DIV/0!</v>
      </c>
      <c r="DB374" t="e">
        <f>IF(CS374&lt;CY374,"yes","no")</f>
        <v>#DIV/0!</v>
      </c>
      <c r="DC374" t="e">
        <f>IF(CT374&lt;CZ374,"yes","no")</f>
        <v>#DIV/0!</v>
      </c>
    </row>
    <row r="375" spans="1:107" x14ac:dyDescent="0.2">
      <c r="A375" s="2" t="b">
        <v>0</v>
      </c>
      <c r="B375" s="2" t="s">
        <v>79</v>
      </c>
      <c r="C375" s="2" t="s">
        <v>80</v>
      </c>
      <c r="D375" s="2" t="s">
        <v>1320</v>
      </c>
      <c r="E375" s="2" t="s">
        <v>1321</v>
      </c>
      <c r="F375" s="2">
        <v>1</v>
      </c>
      <c r="G375" s="2">
        <v>1</v>
      </c>
      <c r="H375" s="2">
        <v>51.9</v>
      </c>
      <c r="I375" s="2">
        <v>8.51</v>
      </c>
      <c r="J375" s="2" t="s">
        <v>135</v>
      </c>
      <c r="K375" s="2" t="s">
        <v>654</v>
      </c>
      <c r="L375" s="2" t="s">
        <v>643</v>
      </c>
      <c r="M375" s="2" t="s">
        <v>1322</v>
      </c>
      <c r="N375" s="2" t="s">
        <v>1320</v>
      </c>
      <c r="O375" s="2">
        <v>0.01</v>
      </c>
      <c r="P375" s="2">
        <v>0.01</v>
      </c>
      <c r="Q375" s="2">
        <v>0.01</v>
      </c>
      <c r="R375" s="2">
        <v>100</v>
      </c>
      <c r="S375" s="2" t="s">
        <v>83</v>
      </c>
      <c r="T375" s="2" t="s">
        <v>83</v>
      </c>
      <c r="U375" s="2" t="s">
        <v>83</v>
      </c>
      <c r="V375" s="2" t="s">
        <v>83</v>
      </c>
      <c r="W375" s="2" t="s">
        <v>83</v>
      </c>
      <c r="X375" s="2" t="s">
        <v>83</v>
      </c>
      <c r="Y375" s="2">
        <v>500</v>
      </c>
      <c r="Z375" s="2" t="s">
        <v>83</v>
      </c>
      <c r="AA375" s="2" t="s">
        <v>83</v>
      </c>
      <c r="AB375" s="2" t="s">
        <v>83</v>
      </c>
      <c r="AC375" s="2" t="s">
        <v>83</v>
      </c>
      <c r="AD375" s="2" t="s">
        <v>83</v>
      </c>
      <c r="AE375" s="2" t="s">
        <v>83</v>
      </c>
      <c r="AF375" s="2" t="s">
        <v>83</v>
      </c>
      <c r="AG375" s="2">
        <v>292499.4375</v>
      </c>
      <c r="AH375" s="2" t="s">
        <v>83</v>
      </c>
      <c r="AI375" s="2" t="s">
        <v>83</v>
      </c>
      <c r="AJ375" s="2" t="s">
        <v>83</v>
      </c>
      <c r="AK375" s="2" t="s">
        <v>83</v>
      </c>
      <c r="AL375" s="2" t="s">
        <v>83</v>
      </c>
      <c r="AM375" s="2" t="s">
        <v>83</v>
      </c>
      <c r="AN375" s="2" t="s">
        <v>83</v>
      </c>
      <c r="AO375" s="2" t="s">
        <v>83</v>
      </c>
      <c r="AP375" s="2" t="s">
        <v>83</v>
      </c>
      <c r="AQ375" s="2" t="s">
        <v>83</v>
      </c>
      <c r="AR375" s="2" t="s">
        <v>83</v>
      </c>
      <c r="AS375" s="2" t="s">
        <v>83</v>
      </c>
      <c r="AT375" s="2" t="s">
        <v>83</v>
      </c>
      <c r="AU375" s="2" t="s">
        <v>83</v>
      </c>
      <c r="AV375" s="2" t="s">
        <v>83</v>
      </c>
      <c r="AW375" s="2" t="s">
        <v>83</v>
      </c>
      <c r="AX375" s="2" t="s">
        <v>83</v>
      </c>
      <c r="AY375" s="2" t="s">
        <v>83</v>
      </c>
      <c r="AZ375" s="2" t="s">
        <v>83</v>
      </c>
      <c r="BA375" s="2" t="s">
        <v>83</v>
      </c>
      <c r="BB375" s="2" t="s">
        <v>83</v>
      </c>
      <c r="BC375" s="2" t="s">
        <v>98</v>
      </c>
      <c r="BD375" s="2" t="s">
        <v>98</v>
      </c>
      <c r="BE375" s="2" t="s">
        <v>98</v>
      </c>
      <c r="BF375" s="2" t="s">
        <v>79</v>
      </c>
      <c r="BG375" s="2" t="s">
        <v>98</v>
      </c>
      <c r="BH375" s="2" t="s">
        <v>98</v>
      </c>
      <c r="BI375" s="2" t="s">
        <v>98</v>
      </c>
      <c r="BJ375" s="2" t="s">
        <v>98</v>
      </c>
      <c r="BK375" s="2" t="s">
        <v>98</v>
      </c>
      <c r="BL375" s="2" t="s">
        <v>98</v>
      </c>
      <c r="BM375" s="2" t="s">
        <v>98</v>
      </c>
      <c r="BN375" s="2" t="s">
        <v>98</v>
      </c>
      <c r="BO375" s="2" t="s">
        <v>98</v>
      </c>
      <c r="BP375" s="2" t="s">
        <v>98</v>
      </c>
      <c r="BQ375" s="2" t="s">
        <v>98</v>
      </c>
      <c r="BR375" s="2" t="s">
        <v>98</v>
      </c>
      <c r="BS375" s="2" t="s">
        <v>98</v>
      </c>
      <c r="BT375" s="2" t="s">
        <v>98</v>
      </c>
      <c r="BU375" s="2" t="s">
        <v>98</v>
      </c>
      <c r="BV375" s="2" t="s">
        <v>98</v>
      </c>
      <c r="BW375" s="2" t="s">
        <v>98</v>
      </c>
      <c r="BX375" s="2" t="s">
        <v>98</v>
      </c>
      <c r="BY375" s="2" t="s">
        <v>98</v>
      </c>
      <c r="BZ375" s="2" t="s">
        <v>98</v>
      </c>
      <c r="CA375" s="2" t="s">
        <v>98</v>
      </c>
      <c r="CB375" t="e">
        <f>TTEST(AS375:AW375,AI375:AM375,2,2)</f>
        <v>#DIV/0!</v>
      </c>
      <c r="CC375" t="e">
        <f>TTEST(AD375:AH375,AI375:AM375,2,2)</f>
        <v>#DIV/0!</v>
      </c>
      <c r="CD375" t="e">
        <f>TTEST(AN375:AR375,AI375:AM375,2,2)</f>
        <v>#DIV/0!</v>
      </c>
      <c r="CE375" t="e">
        <f>TTEST(AX375:BB375,AI375:AM375,2,2)</f>
        <v>#DIV/0!</v>
      </c>
      <c r="CF375">
        <v>351</v>
      </c>
      <c r="CG375">
        <v>365</v>
      </c>
      <c r="CH375">
        <v>369</v>
      </c>
      <c r="CI375">
        <v>372</v>
      </c>
      <c r="CJ375">
        <f>0.05*CF375/464</f>
        <v>3.7823275862068968E-2</v>
      </c>
      <c r="CK375">
        <f>0.05*CG375/464</f>
        <v>3.9331896551724137E-2</v>
      </c>
      <c r="CL375">
        <f>0.05*CH375/464</f>
        <v>3.9762931034482758E-2</v>
      </c>
      <c r="CM375">
        <f>0.05*CI375/464</f>
        <v>4.0086206896551728E-2</v>
      </c>
      <c r="CN375" t="e">
        <f>IF(CB375&lt;CJ375,"yes","no")</f>
        <v>#DIV/0!</v>
      </c>
      <c r="CO375" t="e">
        <f>IF(CC375&lt;CK375,"yes","no")</f>
        <v>#DIV/0!</v>
      </c>
      <c r="CP375" t="e">
        <f>IF(CD375&lt;CL375,"yes","no")</f>
        <v>#DIV/0!</v>
      </c>
      <c r="CQ375" t="e">
        <f>IF(CE375&lt;CM375,"yes","no")</f>
        <v>#DIV/0!</v>
      </c>
      <c r="CR375" t="e">
        <f>TTEST(AS375:AW375,AD375:AH375,2,2)</f>
        <v>#DIV/0!</v>
      </c>
      <c r="CS375" t="e">
        <f>TTEST(AS375:AW375,AN375:AR375,2,2)</f>
        <v>#DIV/0!</v>
      </c>
      <c r="CT375" t="e">
        <f>TTEST(AS375:AW375,AX375:BB375,2,2)</f>
        <v>#DIV/0!</v>
      </c>
      <c r="CU375">
        <v>369</v>
      </c>
      <c r="CV375">
        <v>372</v>
      </c>
      <c r="CW375">
        <v>374</v>
      </c>
      <c r="CX375">
        <f t="shared" si="15"/>
        <v>3.9762931034482758E-2</v>
      </c>
      <c r="CY375">
        <f t="shared" si="16"/>
        <v>4.0086206896551728E-2</v>
      </c>
      <c r="CZ375">
        <f t="shared" si="17"/>
        <v>4.0301724137931032E-2</v>
      </c>
      <c r="DA375" t="e">
        <f>IF(CR375&lt;CX375,"yes","no")</f>
        <v>#DIV/0!</v>
      </c>
      <c r="DB375" t="e">
        <f>IF(CS375&lt;CY375,"yes","no")</f>
        <v>#DIV/0!</v>
      </c>
      <c r="DC375" t="e">
        <f>IF(CT375&lt;CZ375,"yes","no")</f>
        <v>#DIV/0!</v>
      </c>
    </row>
    <row r="376" spans="1:107" x14ac:dyDescent="0.2">
      <c r="A376" s="2" t="b">
        <v>0</v>
      </c>
      <c r="B376" s="2" t="s">
        <v>79</v>
      </c>
      <c r="C376" s="2" t="s">
        <v>80</v>
      </c>
      <c r="D376" s="2" t="s">
        <v>1323</v>
      </c>
      <c r="E376" s="2" t="s">
        <v>1324</v>
      </c>
      <c r="F376" s="2">
        <v>2</v>
      </c>
      <c r="G376" s="2">
        <v>2</v>
      </c>
      <c r="H376" s="2">
        <v>57</v>
      </c>
      <c r="I376" s="2">
        <v>6.21</v>
      </c>
      <c r="J376" s="2" t="s">
        <v>1325</v>
      </c>
      <c r="K376" s="2" t="s">
        <v>1141</v>
      </c>
      <c r="L376" s="2" t="s">
        <v>119</v>
      </c>
      <c r="M376" s="2" t="s">
        <v>1326</v>
      </c>
      <c r="N376" s="2" t="s">
        <v>1323</v>
      </c>
      <c r="O376" s="2">
        <v>100</v>
      </c>
      <c r="P376" s="2" t="s">
        <v>83</v>
      </c>
      <c r="Q376" s="2" t="s">
        <v>83</v>
      </c>
      <c r="R376" s="2" t="s">
        <v>83</v>
      </c>
      <c r="S376" s="2">
        <v>100</v>
      </c>
      <c r="T376" s="2" t="s">
        <v>83</v>
      </c>
      <c r="U376" s="2" t="s">
        <v>83</v>
      </c>
      <c r="V376" s="2">
        <v>0.01</v>
      </c>
      <c r="W376" s="2">
        <v>0.01</v>
      </c>
      <c r="X376" s="2" t="s">
        <v>83</v>
      </c>
      <c r="Y376" s="2" t="s">
        <v>83</v>
      </c>
      <c r="Z376" s="2" t="s">
        <v>83</v>
      </c>
      <c r="AA376" s="2">
        <v>500</v>
      </c>
      <c r="AB376" s="2" t="s">
        <v>83</v>
      </c>
      <c r="AC376" s="2" t="s">
        <v>83</v>
      </c>
      <c r="AD376" s="2" t="s">
        <v>83</v>
      </c>
      <c r="AE376" s="2" t="s">
        <v>83</v>
      </c>
      <c r="AF376" s="2" t="s">
        <v>83</v>
      </c>
      <c r="AG376" s="2" t="s">
        <v>83</v>
      </c>
      <c r="AH376" s="2" t="s">
        <v>83</v>
      </c>
      <c r="AI376" s="2" t="s">
        <v>83</v>
      </c>
      <c r="AJ376" s="2" t="s">
        <v>83</v>
      </c>
      <c r="AK376" s="2" t="s">
        <v>83</v>
      </c>
      <c r="AL376" s="2" t="s">
        <v>83</v>
      </c>
      <c r="AM376" s="2" t="s">
        <v>83</v>
      </c>
      <c r="AN376" s="2">
        <v>15100.44921875</v>
      </c>
      <c r="AO376" s="2">
        <v>12015.8984375</v>
      </c>
      <c r="AP376" s="2" t="s">
        <v>83</v>
      </c>
      <c r="AQ376" s="2">
        <v>7176.39013671875</v>
      </c>
      <c r="AR376" s="2">
        <v>15833.3857421875</v>
      </c>
      <c r="AS376" s="2" t="s">
        <v>83</v>
      </c>
      <c r="AT376" s="2" t="s">
        <v>83</v>
      </c>
      <c r="AU376" s="2" t="s">
        <v>83</v>
      </c>
      <c r="AV376" s="2" t="s">
        <v>83</v>
      </c>
      <c r="AW376" s="2" t="s">
        <v>83</v>
      </c>
      <c r="AX376" s="2" t="s">
        <v>83</v>
      </c>
      <c r="AY376" s="2" t="s">
        <v>83</v>
      </c>
      <c r="AZ376" s="2" t="s">
        <v>83</v>
      </c>
      <c r="BA376" s="2" t="s">
        <v>83</v>
      </c>
      <c r="BB376" s="2" t="s">
        <v>83</v>
      </c>
      <c r="BC376" s="2" t="s">
        <v>79</v>
      </c>
      <c r="BD376" s="2" t="s">
        <v>98</v>
      </c>
      <c r="BE376" s="2" t="s">
        <v>79</v>
      </c>
      <c r="BF376" s="2" t="s">
        <v>79</v>
      </c>
      <c r="BG376" s="2" t="s">
        <v>79</v>
      </c>
      <c r="BH376" s="2" t="s">
        <v>98</v>
      </c>
      <c r="BI376" s="2" t="s">
        <v>98</v>
      </c>
      <c r="BJ376" s="2" t="s">
        <v>98</v>
      </c>
      <c r="BK376" s="2" t="s">
        <v>98</v>
      </c>
      <c r="BL376" s="2" t="s">
        <v>98</v>
      </c>
      <c r="BM376" s="2" t="s">
        <v>91</v>
      </c>
      <c r="BN376" s="2" t="s">
        <v>91</v>
      </c>
      <c r="BO376" s="2" t="s">
        <v>98</v>
      </c>
      <c r="BP376" s="2" t="s">
        <v>91</v>
      </c>
      <c r="BQ376" s="2" t="s">
        <v>79</v>
      </c>
      <c r="BR376" s="2" t="s">
        <v>98</v>
      </c>
      <c r="BS376" s="2" t="s">
        <v>98</v>
      </c>
      <c r="BT376" s="2" t="s">
        <v>98</v>
      </c>
      <c r="BU376" s="2" t="s">
        <v>98</v>
      </c>
      <c r="BV376" s="2" t="s">
        <v>98</v>
      </c>
      <c r="BW376" s="2" t="s">
        <v>98</v>
      </c>
      <c r="BX376" s="2" t="s">
        <v>98</v>
      </c>
      <c r="BY376" s="2" t="s">
        <v>98</v>
      </c>
      <c r="BZ376" s="2" t="s">
        <v>98</v>
      </c>
      <c r="CA376" s="2" t="s">
        <v>98</v>
      </c>
      <c r="CB376" t="e">
        <f>TTEST(AS376:AW376,AI376:AM376,2,2)</f>
        <v>#DIV/0!</v>
      </c>
      <c r="CC376" t="e">
        <f>TTEST(AD376:AH376,AI376:AM376,2,2)</f>
        <v>#DIV/0!</v>
      </c>
      <c r="CD376" t="e">
        <f>TTEST(AN376:AR376,AI376:AM376,2,2)</f>
        <v>#DIV/0!</v>
      </c>
      <c r="CE376" t="e">
        <f>TTEST(AX376:BB376,AI376:AM376,2,2)</f>
        <v>#DIV/0!</v>
      </c>
      <c r="CF376">
        <v>352</v>
      </c>
      <c r="CG376">
        <v>366</v>
      </c>
      <c r="CH376">
        <v>370</v>
      </c>
      <c r="CI376">
        <v>373</v>
      </c>
      <c r="CJ376">
        <f>0.05*CF376/464</f>
        <v>3.7931034482758627E-2</v>
      </c>
      <c r="CK376">
        <f>0.05*CG376/464</f>
        <v>3.9439655172413796E-2</v>
      </c>
      <c r="CL376">
        <f>0.05*CH376/464</f>
        <v>3.9870689655172417E-2</v>
      </c>
      <c r="CM376">
        <f>0.05*CI376/464</f>
        <v>4.0193965517241387E-2</v>
      </c>
      <c r="CN376" t="e">
        <f>IF(CB376&lt;CJ376,"yes","no")</f>
        <v>#DIV/0!</v>
      </c>
      <c r="CO376" t="e">
        <f>IF(CC376&lt;CK376,"yes","no")</f>
        <v>#DIV/0!</v>
      </c>
      <c r="CP376" t="e">
        <f>IF(CD376&lt;CL376,"yes","no")</f>
        <v>#DIV/0!</v>
      </c>
      <c r="CQ376" t="e">
        <f>IF(CE376&lt;CM376,"yes","no")</f>
        <v>#DIV/0!</v>
      </c>
      <c r="CR376" t="e">
        <f>TTEST(AS376:AW376,AD376:AH376,2,2)</f>
        <v>#DIV/0!</v>
      </c>
      <c r="CS376" t="e">
        <f>TTEST(AS376:AW376,AN376:AR376,2,2)</f>
        <v>#DIV/0!</v>
      </c>
      <c r="CT376" t="e">
        <f>TTEST(AS376:AW376,AX376:BB376,2,2)</f>
        <v>#DIV/0!</v>
      </c>
      <c r="CU376">
        <v>370</v>
      </c>
      <c r="CV376">
        <v>373</v>
      </c>
      <c r="CW376">
        <v>375</v>
      </c>
      <c r="CX376">
        <f t="shared" si="15"/>
        <v>3.9870689655172417E-2</v>
      </c>
      <c r="CY376">
        <f t="shared" si="16"/>
        <v>4.0193965517241387E-2</v>
      </c>
      <c r="CZ376">
        <f t="shared" si="17"/>
        <v>4.0409482758620691E-2</v>
      </c>
      <c r="DA376" t="e">
        <f>IF(CR376&lt;CX376,"yes","no")</f>
        <v>#DIV/0!</v>
      </c>
      <c r="DB376" t="e">
        <f>IF(CS376&lt;CY376,"yes","no")</f>
        <v>#DIV/0!</v>
      </c>
      <c r="DC376" t="e">
        <f>IF(CT376&lt;CZ376,"yes","no")</f>
        <v>#DIV/0!</v>
      </c>
    </row>
    <row r="377" spans="1:107" x14ac:dyDescent="0.2">
      <c r="A377" s="2" t="b">
        <v>0</v>
      </c>
      <c r="B377" s="2" t="s">
        <v>79</v>
      </c>
      <c r="C377" s="2" t="s">
        <v>80</v>
      </c>
      <c r="D377" s="2" t="s">
        <v>1327</v>
      </c>
      <c r="E377" s="2" t="s">
        <v>1328</v>
      </c>
      <c r="F377" s="2">
        <v>1</v>
      </c>
      <c r="G377" s="2">
        <v>1</v>
      </c>
      <c r="H377" s="2">
        <v>19.2</v>
      </c>
      <c r="I377" s="2">
        <v>6.77</v>
      </c>
      <c r="J377" s="2" t="s">
        <v>83</v>
      </c>
      <c r="K377" s="2" t="s">
        <v>83</v>
      </c>
      <c r="L377" s="2" t="s">
        <v>83</v>
      </c>
      <c r="M377" s="2" t="s">
        <v>83</v>
      </c>
      <c r="N377" s="2" t="s">
        <v>1327</v>
      </c>
      <c r="O377" s="2">
        <v>2.29</v>
      </c>
      <c r="P377" s="2">
        <v>0.01</v>
      </c>
      <c r="Q377" s="2">
        <v>0.01</v>
      </c>
      <c r="R377" s="2">
        <v>100</v>
      </c>
      <c r="S377" s="2">
        <v>100</v>
      </c>
      <c r="T377" s="2" t="s">
        <v>83</v>
      </c>
      <c r="U377" s="2" t="s">
        <v>83</v>
      </c>
      <c r="V377" s="2">
        <v>0.01</v>
      </c>
      <c r="W377" s="2">
        <v>0.01</v>
      </c>
      <c r="X377" s="2" t="s">
        <v>83</v>
      </c>
      <c r="Y377" s="2">
        <v>147</v>
      </c>
      <c r="Z377" s="2" t="s">
        <v>83</v>
      </c>
      <c r="AA377" s="2">
        <v>353</v>
      </c>
      <c r="AB377" s="2" t="s">
        <v>83</v>
      </c>
      <c r="AC377" s="2" t="s">
        <v>83</v>
      </c>
      <c r="AD377" s="2">
        <v>339333.0625</v>
      </c>
      <c r="AE377" s="2">
        <v>284430.25</v>
      </c>
      <c r="AF377" s="2">
        <v>214972.25</v>
      </c>
      <c r="AG377" s="2">
        <v>237544.03125</v>
      </c>
      <c r="AH377" s="2">
        <v>222917.09375</v>
      </c>
      <c r="AI377" s="2" t="s">
        <v>83</v>
      </c>
      <c r="AJ377" s="2" t="s">
        <v>83</v>
      </c>
      <c r="AK377" s="2" t="s">
        <v>83</v>
      </c>
      <c r="AL377" s="2" t="s">
        <v>83</v>
      </c>
      <c r="AM377" s="2" t="s">
        <v>83</v>
      </c>
      <c r="AN377" s="2">
        <v>10194.2314453125</v>
      </c>
      <c r="AO377" s="2" t="s">
        <v>83</v>
      </c>
      <c r="AP377" s="2">
        <v>25094.865234375</v>
      </c>
      <c r="AQ377" s="2">
        <v>12022.7685546875</v>
      </c>
      <c r="AR377" s="2">
        <v>11161.91796875</v>
      </c>
      <c r="AS377" s="2" t="s">
        <v>83</v>
      </c>
      <c r="AT377" s="2" t="s">
        <v>83</v>
      </c>
      <c r="AU377" s="2" t="s">
        <v>83</v>
      </c>
      <c r="AV377" s="2" t="s">
        <v>83</v>
      </c>
      <c r="AW377" s="2" t="s">
        <v>83</v>
      </c>
      <c r="AX377" s="2" t="s">
        <v>83</v>
      </c>
      <c r="AY377" s="2" t="s">
        <v>83</v>
      </c>
      <c r="AZ377" s="2" t="s">
        <v>83</v>
      </c>
      <c r="BA377" s="2" t="s">
        <v>83</v>
      </c>
      <c r="BB377" s="2" t="s">
        <v>83</v>
      </c>
      <c r="BC377" s="2" t="s">
        <v>79</v>
      </c>
      <c r="BD377" s="2" t="s">
        <v>79</v>
      </c>
      <c r="BE377" s="2" t="s">
        <v>79</v>
      </c>
      <c r="BF377" s="2" t="s">
        <v>79</v>
      </c>
      <c r="BG377" s="2" t="s">
        <v>79</v>
      </c>
      <c r="BH377" s="2" t="s">
        <v>98</v>
      </c>
      <c r="BI377" s="2" t="s">
        <v>98</v>
      </c>
      <c r="BJ377" s="2" t="s">
        <v>98</v>
      </c>
      <c r="BK377" s="2" t="s">
        <v>98</v>
      </c>
      <c r="BL377" s="2" t="s">
        <v>98</v>
      </c>
      <c r="BM377" s="2" t="s">
        <v>91</v>
      </c>
      <c r="BN377" s="2" t="s">
        <v>98</v>
      </c>
      <c r="BO377" s="2" t="s">
        <v>91</v>
      </c>
      <c r="BP377" s="2" t="s">
        <v>91</v>
      </c>
      <c r="BQ377" s="2" t="s">
        <v>91</v>
      </c>
      <c r="BR377" s="2" t="s">
        <v>98</v>
      </c>
      <c r="BS377" s="2" t="s">
        <v>98</v>
      </c>
      <c r="BT377" s="2" t="s">
        <v>98</v>
      </c>
      <c r="BU377" s="2" t="s">
        <v>98</v>
      </c>
      <c r="BV377" s="2" t="s">
        <v>98</v>
      </c>
      <c r="BW377" s="2" t="s">
        <v>98</v>
      </c>
      <c r="BX377" s="2" t="s">
        <v>98</v>
      </c>
      <c r="BY377" s="2" t="s">
        <v>98</v>
      </c>
      <c r="BZ377" s="2" t="s">
        <v>98</v>
      </c>
      <c r="CA377" s="2" t="s">
        <v>98</v>
      </c>
      <c r="CB377" t="e">
        <f>TTEST(AS377:AW377,AI377:AM377,2,2)</f>
        <v>#DIV/0!</v>
      </c>
      <c r="CC377" t="e">
        <f>TTEST(AD377:AH377,AI377:AM377,2,2)</f>
        <v>#DIV/0!</v>
      </c>
      <c r="CD377" t="e">
        <f>TTEST(AN377:AR377,AI377:AM377,2,2)</f>
        <v>#DIV/0!</v>
      </c>
      <c r="CE377" t="e">
        <f>TTEST(AX377:BB377,AI377:AM377,2,2)</f>
        <v>#DIV/0!</v>
      </c>
      <c r="CF377">
        <v>353</v>
      </c>
      <c r="CG377">
        <v>367</v>
      </c>
      <c r="CH377">
        <v>371</v>
      </c>
      <c r="CI377">
        <v>374</v>
      </c>
      <c r="CJ377">
        <f>0.05*CF377/464</f>
        <v>3.8038793103448279E-2</v>
      </c>
      <c r="CK377">
        <f>0.05*CG377/464</f>
        <v>3.9547413793103454E-2</v>
      </c>
      <c r="CL377">
        <f>0.05*CH377/464</f>
        <v>3.9978448275862069E-2</v>
      </c>
      <c r="CM377">
        <f>0.05*CI377/464</f>
        <v>4.0301724137931032E-2</v>
      </c>
      <c r="CN377" t="e">
        <f>IF(CB377&lt;CJ377,"yes","no")</f>
        <v>#DIV/0!</v>
      </c>
      <c r="CO377" t="e">
        <f>IF(CC377&lt;CK377,"yes","no")</f>
        <v>#DIV/0!</v>
      </c>
      <c r="CP377" t="e">
        <f>IF(CD377&lt;CL377,"yes","no")</f>
        <v>#DIV/0!</v>
      </c>
      <c r="CQ377" t="e">
        <f>IF(CE377&lt;CM377,"yes","no")</f>
        <v>#DIV/0!</v>
      </c>
      <c r="CR377" t="e">
        <f>TTEST(AS377:AW377,AD377:AH377,2,2)</f>
        <v>#DIV/0!</v>
      </c>
      <c r="CS377" t="e">
        <f>TTEST(AS377:AW377,AN377:AR377,2,2)</f>
        <v>#DIV/0!</v>
      </c>
      <c r="CT377" t="e">
        <f>TTEST(AS377:AW377,AX377:BB377,2,2)</f>
        <v>#DIV/0!</v>
      </c>
      <c r="CU377">
        <v>371</v>
      </c>
      <c r="CV377">
        <v>374</v>
      </c>
      <c r="CW377">
        <v>376</v>
      </c>
      <c r="CX377">
        <f t="shared" si="15"/>
        <v>3.9978448275862069E-2</v>
      </c>
      <c r="CY377">
        <f t="shared" si="16"/>
        <v>4.0301724137931032E-2</v>
      </c>
      <c r="CZ377">
        <f t="shared" si="17"/>
        <v>4.0517241379310349E-2</v>
      </c>
      <c r="DA377" t="e">
        <f>IF(CR377&lt;CX377,"yes","no")</f>
        <v>#DIV/0!</v>
      </c>
      <c r="DB377" t="e">
        <f>IF(CS377&lt;CY377,"yes","no")</f>
        <v>#DIV/0!</v>
      </c>
      <c r="DC377" t="e">
        <f>IF(CT377&lt;CZ377,"yes","no")</f>
        <v>#DIV/0!</v>
      </c>
    </row>
    <row r="378" spans="1:107" x14ac:dyDescent="0.2">
      <c r="A378" s="2" t="b">
        <v>0</v>
      </c>
      <c r="B378" s="2" t="s">
        <v>79</v>
      </c>
      <c r="C378" s="2" t="s">
        <v>80</v>
      </c>
      <c r="D378" s="2" t="s">
        <v>1335</v>
      </c>
      <c r="E378" s="2" t="s">
        <v>1336</v>
      </c>
      <c r="F378" s="2">
        <v>2</v>
      </c>
      <c r="G378" s="2">
        <v>1</v>
      </c>
      <c r="H378" s="2">
        <v>16.8</v>
      </c>
      <c r="I378" s="2">
        <v>7.81</v>
      </c>
      <c r="J378" s="2" t="s">
        <v>83</v>
      </c>
      <c r="K378" s="2" t="s">
        <v>83</v>
      </c>
      <c r="L378" s="2" t="s">
        <v>119</v>
      </c>
      <c r="M378" s="2" t="s">
        <v>83</v>
      </c>
      <c r="N378" s="2" t="s">
        <v>1335</v>
      </c>
      <c r="O378" s="2" t="s">
        <v>83</v>
      </c>
      <c r="P378" s="2" t="s">
        <v>83</v>
      </c>
      <c r="Q378" s="2" t="s">
        <v>83</v>
      </c>
      <c r="R378" s="2" t="s">
        <v>83</v>
      </c>
      <c r="S378" s="2" t="s">
        <v>83</v>
      </c>
      <c r="T378" s="2" t="s">
        <v>83</v>
      </c>
      <c r="U378" s="2" t="s">
        <v>83</v>
      </c>
      <c r="V378" s="2" t="s">
        <v>83</v>
      </c>
      <c r="W378" s="2" t="s">
        <v>83</v>
      </c>
      <c r="X378" s="2" t="s">
        <v>83</v>
      </c>
      <c r="Y378" s="2" t="s">
        <v>83</v>
      </c>
      <c r="Z378" s="2" t="s">
        <v>83</v>
      </c>
      <c r="AA378" s="2" t="s">
        <v>83</v>
      </c>
      <c r="AB378" s="2" t="s">
        <v>83</v>
      </c>
      <c r="AC378" s="2" t="s">
        <v>83</v>
      </c>
      <c r="AD378" s="2" t="s">
        <v>83</v>
      </c>
      <c r="AE378" s="2" t="s">
        <v>83</v>
      </c>
      <c r="AF378" s="2" t="s">
        <v>83</v>
      </c>
      <c r="AG378" s="2" t="s">
        <v>83</v>
      </c>
      <c r="AH378" s="2" t="s">
        <v>83</v>
      </c>
      <c r="AI378" s="2" t="s">
        <v>83</v>
      </c>
      <c r="AJ378" s="2" t="s">
        <v>83</v>
      </c>
      <c r="AK378" s="2" t="s">
        <v>83</v>
      </c>
      <c r="AL378" s="2" t="s">
        <v>83</v>
      </c>
      <c r="AM378" s="2" t="s">
        <v>83</v>
      </c>
      <c r="AN378" s="2" t="s">
        <v>83</v>
      </c>
      <c r="AO378" s="2" t="s">
        <v>83</v>
      </c>
      <c r="AP378" s="2" t="s">
        <v>83</v>
      </c>
      <c r="AQ378" s="2" t="s">
        <v>83</v>
      </c>
      <c r="AR378" s="2" t="s">
        <v>83</v>
      </c>
      <c r="AS378" s="2" t="s">
        <v>83</v>
      </c>
      <c r="AT378" s="2" t="s">
        <v>83</v>
      </c>
      <c r="AU378" s="2" t="s">
        <v>83</v>
      </c>
      <c r="AV378" s="2" t="s">
        <v>83</v>
      </c>
      <c r="AW378" s="2" t="s">
        <v>83</v>
      </c>
      <c r="AX378" s="2" t="s">
        <v>83</v>
      </c>
      <c r="AY378" s="2" t="s">
        <v>83</v>
      </c>
      <c r="AZ378" s="2" t="s">
        <v>83</v>
      </c>
      <c r="BA378" s="2" t="s">
        <v>83</v>
      </c>
      <c r="BB378" s="2" t="s">
        <v>83</v>
      </c>
      <c r="BC378" s="2" t="s">
        <v>79</v>
      </c>
      <c r="BD378" s="2" t="s">
        <v>98</v>
      </c>
      <c r="BE378" s="2" t="s">
        <v>98</v>
      </c>
      <c r="BF378" s="2" t="s">
        <v>79</v>
      </c>
      <c r="BG378" s="2" t="s">
        <v>98</v>
      </c>
      <c r="BH378" s="2" t="s">
        <v>98</v>
      </c>
      <c r="BI378" s="2" t="s">
        <v>98</v>
      </c>
      <c r="BJ378" s="2" t="s">
        <v>98</v>
      </c>
      <c r="BK378" s="2" t="s">
        <v>98</v>
      </c>
      <c r="BL378" s="2" t="s">
        <v>98</v>
      </c>
      <c r="BM378" s="2" t="s">
        <v>98</v>
      </c>
      <c r="BN378" s="2" t="s">
        <v>98</v>
      </c>
      <c r="BO378" s="2" t="s">
        <v>98</v>
      </c>
      <c r="BP378" s="2" t="s">
        <v>98</v>
      </c>
      <c r="BQ378" s="2" t="s">
        <v>98</v>
      </c>
      <c r="BR378" s="2" t="s">
        <v>98</v>
      </c>
      <c r="BS378" s="2" t="s">
        <v>98</v>
      </c>
      <c r="BT378" s="2" t="s">
        <v>98</v>
      </c>
      <c r="BU378" s="2" t="s">
        <v>98</v>
      </c>
      <c r="BV378" s="2" t="s">
        <v>98</v>
      </c>
      <c r="BW378" s="2" t="s">
        <v>98</v>
      </c>
      <c r="BX378" s="2" t="s">
        <v>98</v>
      </c>
      <c r="BY378" s="2" t="s">
        <v>98</v>
      </c>
      <c r="BZ378" s="2" t="s">
        <v>98</v>
      </c>
      <c r="CA378" s="2" t="s">
        <v>98</v>
      </c>
      <c r="CB378" t="e">
        <f>TTEST(AS378:AW378,AI378:AM378,2,2)</f>
        <v>#DIV/0!</v>
      </c>
      <c r="CC378" t="e">
        <f>TTEST(AD378:AH378,AI378:AM378,2,2)</f>
        <v>#DIV/0!</v>
      </c>
      <c r="CD378" t="e">
        <f>TTEST(AN378:AR378,AI378:AM378,2,2)</f>
        <v>#DIV/0!</v>
      </c>
      <c r="CE378" t="e">
        <f>TTEST(AX378:BB378,AI378:AM378,2,2)</f>
        <v>#DIV/0!</v>
      </c>
      <c r="CF378">
        <v>354</v>
      </c>
      <c r="CG378">
        <v>368</v>
      </c>
      <c r="CH378">
        <v>372</v>
      </c>
      <c r="CI378">
        <v>375</v>
      </c>
      <c r="CJ378">
        <f>0.05*CF378/464</f>
        <v>3.8146551724137931E-2</v>
      </c>
      <c r="CK378">
        <f>0.05*CG378/464</f>
        <v>3.9655172413793106E-2</v>
      </c>
      <c r="CL378">
        <f>0.05*CH378/464</f>
        <v>4.0086206896551728E-2</v>
      </c>
      <c r="CM378">
        <f>0.05*CI378/464</f>
        <v>4.0409482758620691E-2</v>
      </c>
      <c r="CN378" t="e">
        <f>IF(CB378&lt;CJ378,"yes","no")</f>
        <v>#DIV/0!</v>
      </c>
      <c r="CO378" t="e">
        <f>IF(CC378&lt;CK378,"yes","no")</f>
        <v>#DIV/0!</v>
      </c>
      <c r="CP378" t="e">
        <f>IF(CD378&lt;CL378,"yes","no")</f>
        <v>#DIV/0!</v>
      </c>
      <c r="CQ378" t="e">
        <f>IF(CE378&lt;CM378,"yes","no")</f>
        <v>#DIV/0!</v>
      </c>
      <c r="CR378" t="e">
        <f>TTEST(AS378:AW378,AD378:AH378,2,2)</f>
        <v>#DIV/0!</v>
      </c>
      <c r="CS378" t="e">
        <f>TTEST(AS378:AW378,AN378:AR378,2,2)</f>
        <v>#DIV/0!</v>
      </c>
      <c r="CT378" t="e">
        <f>TTEST(AS378:AW378,AX378:BB378,2,2)</f>
        <v>#DIV/0!</v>
      </c>
      <c r="CU378">
        <v>372</v>
      </c>
      <c r="CV378">
        <v>375</v>
      </c>
      <c r="CW378">
        <v>377</v>
      </c>
      <c r="CX378">
        <f t="shared" si="15"/>
        <v>4.0086206896551728E-2</v>
      </c>
      <c r="CY378">
        <f t="shared" si="16"/>
        <v>4.0409482758620691E-2</v>
      </c>
      <c r="CZ378">
        <f t="shared" si="17"/>
        <v>4.0625000000000001E-2</v>
      </c>
      <c r="DA378" t="e">
        <f>IF(CR378&lt;CX378,"yes","no")</f>
        <v>#DIV/0!</v>
      </c>
      <c r="DB378" t="e">
        <f>IF(CS378&lt;CY378,"yes","no")</f>
        <v>#DIV/0!</v>
      </c>
      <c r="DC378" t="e">
        <f>IF(CT378&lt;CZ378,"yes","no")</f>
        <v>#DIV/0!</v>
      </c>
    </row>
    <row r="379" spans="1:107" x14ac:dyDescent="0.2">
      <c r="A379" s="2" t="b">
        <v>0</v>
      </c>
      <c r="B379" s="2" t="s">
        <v>79</v>
      </c>
      <c r="C379" s="2" t="s">
        <v>80</v>
      </c>
      <c r="D379" s="2" t="s">
        <v>1337</v>
      </c>
      <c r="E379" s="2" t="s">
        <v>1338</v>
      </c>
      <c r="F379" s="2">
        <v>2</v>
      </c>
      <c r="G379" s="2">
        <v>2</v>
      </c>
      <c r="H379" s="2">
        <v>51.6</v>
      </c>
      <c r="I379" s="2">
        <v>5.88</v>
      </c>
      <c r="J379" s="2" t="s">
        <v>322</v>
      </c>
      <c r="K379" s="2" t="s">
        <v>391</v>
      </c>
      <c r="L379" s="2" t="s">
        <v>119</v>
      </c>
      <c r="M379" s="2" t="s">
        <v>1339</v>
      </c>
      <c r="N379" s="2" t="s">
        <v>1340</v>
      </c>
      <c r="O379" s="2">
        <v>9.2520000000000007</v>
      </c>
      <c r="P379" s="2">
        <v>0.01</v>
      </c>
      <c r="Q379" s="2">
        <v>0.01</v>
      </c>
      <c r="R379" s="2">
        <v>100</v>
      </c>
      <c r="S379" s="2">
        <v>100</v>
      </c>
      <c r="T379" s="2" t="s">
        <v>83</v>
      </c>
      <c r="U379" s="2" t="s">
        <v>83</v>
      </c>
      <c r="V379" s="2">
        <v>0.01</v>
      </c>
      <c r="W379" s="2">
        <v>0.01</v>
      </c>
      <c r="X379" s="2" t="s">
        <v>83</v>
      </c>
      <c r="Y379" s="2">
        <v>46.5</v>
      </c>
      <c r="Z379" s="2" t="s">
        <v>83</v>
      </c>
      <c r="AA379" s="2">
        <v>453.5</v>
      </c>
      <c r="AB379" s="2" t="s">
        <v>83</v>
      </c>
      <c r="AC379" s="2" t="s">
        <v>83</v>
      </c>
      <c r="AD379" s="2">
        <v>79966.2421875</v>
      </c>
      <c r="AE379" s="2">
        <v>49512.7109375</v>
      </c>
      <c r="AF379" s="2">
        <v>28161.072265625</v>
      </c>
      <c r="AG379" s="2">
        <v>55421.9296875</v>
      </c>
      <c r="AH379" s="2">
        <v>45665.30078125</v>
      </c>
      <c r="AI379" s="2" t="s">
        <v>83</v>
      </c>
      <c r="AJ379" s="2" t="s">
        <v>83</v>
      </c>
      <c r="AK379" s="2" t="s">
        <v>83</v>
      </c>
      <c r="AL379" s="2" t="s">
        <v>83</v>
      </c>
      <c r="AM379" s="2" t="s">
        <v>83</v>
      </c>
      <c r="AN379" s="2">
        <v>6753.0009765625</v>
      </c>
      <c r="AO379" s="2">
        <v>10606.3115234375</v>
      </c>
      <c r="AP379" s="2" t="s">
        <v>83</v>
      </c>
      <c r="AQ379" s="2">
        <v>5084.85009765625</v>
      </c>
      <c r="AR379" s="2">
        <v>13201.8984375</v>
      </c>
      <c r="AS379" s="2" t="s">
        <v>83</v>
      </c>
      <c r="AT379" s="2" t="s">
        <v>83</v>
      </c>
      <c r="AU379" s="2" t="s">
        <v>83</v>
      </c>
      <c r="AV379" s="2" t="s">
        <v>83</v>
      </c>
      <c r="AW379" s="2" t="s">
        <v>83</v>
      </c>
      <c r="AX379" s="2" t="s">
        <v>83</v>
      </c>
      <c r="AY379" s="2" t="s">
        <v>83</v>
      </c>
      <c r="AZ379" s="2" t="s">
        <v>83</v>
      </c>
      <c r="BA379" s="2" t="s">
        <v>83</v>
      </c>
      <c r="BB379" s="2" t="s">
        <v>83</v>
      </c>
      <c r="BC379" s="2" t="s">
        <v>91</v>
      </c>
      <c r="BD379" s="2" t="s">
        <v>79</v>
      </c>
      <c r="BE379" s="2" t="s">
        <v>79</v>
      </c>
      <c r="BF379" s="2" t="s">
        <v>79</v>
      </c>
      <c r="BG379" s="2" t="s">
        <v>91</v>
      </c>
      <c r="BH379" s="2" t="s">
        <v>98</v>
      </c>
      <c r="BI379" s="2" t="s">
        <v>98</v>
      </c>
      <c r="BJ379" s="2" t="s">
        <v>98</v>
      </c>
      <c r="BK379" s="2" t="s">
        <v>98</v>
      </c>
      <c r="BL379" s="2" t="s">
        <v>98</v>
      </c>
      <c r="BM379" s="2" t="s">
        <v>91</v>
      </c>
      <c r="BN379" s="2" t="s">
        <v>91</v>
      </c>
      <c r="BO379" s="2" t="s">
        <v>98</v>
      </c>
      <c r="BP379" s="2" t="s">
        <v>91</v>
      </c>
      <c r="BQ379" s="2" t="s">
        <v>91</v>
      </c>
      <c r="BR379" s="2" t="s">
        <v>98</v>
      </c>
      <c r="BS379" s="2" t="s">
        <v>98</v>
      </c>
      <c r="BT379" s="2" t="s">
        <v>98</v>
      </c>
      <c r="BU379" s="2" t="s">
        <v>98</v>
      </c>
      <c r="BV379" s="2" t="s">
        <v>98</v>
      </c>
      <c r="BW379" s="2" t="s">
        <v>98</v>
      </c>
      <c r="BX379" s="2" t="s">
        <v>98</v>
      </c>
      <c r="BY379" s="2" t="s">
        <v>98</v>
      </c>
      <c r="BZ379" s="2" t="s">
        <v>98</v>
      </c>
      <c r="CA379" s="2" t="s">
        <v>98</v>
      </c>
      <c r="CB379" t="e">
        <f>TTEST(AS379:AW379,AI379:AM379,2,2)</f>
        <v>#DIV/0!</v>
      </c>
      <c r="CC379" t="e">
        <f>TTEST(AD379:AH379,AI379:AM379,2,2)</f>
        <v>#DIV/0!</v>
      </c>
      <c r="CD379" t="e">
        <f>TTEST(AN379:AR379,AI379:AM379,2,2)</f>
        <v>#DIV/0!</v>
      </c>
      <c r="CE379" t="e">
        <f>TTEST(AX379:BB379,AI379:AM379,2,2)</f>
        <v>#DIV/0!</v>
      </c>
      <c r="CF379">
        <v>355</v>
      </c>
      <c r="CG379">
        <v>369</v>
      </c>
      <c r="CH379">
        <v>373</v>
      </c>
      <c r="CI379">
        <v>376</v>
      </c>
      <c r="CJ379">
        <f>0.05*CF379/464</f>
        <v>3.8254310344827583E-2</v>
      </c>
      <c r="CK379">
        <f>0.05*CG379/464</f>
        <v>3.9762931034482758E-2</v>
      </c>
      <c r="CL379">
        <f>0.05*CH379/464</f>
        <v>4.0193965517241387E-2</v>
      </c>
      <c r="CM379">
        <f>0.05*CI379/464</f>
        <v>4.0517241379310349E-2</v>
      </c>
      <c r="CN379" t="e">
        <f>IF(CB379&lt;CJ379,"yes","no")</f>
        <v>#DIV/0!</v>
      </c>
      <c r="CO379" t="e">
        <f>IF(CC379&lt;CK379,"yes","no")</f>
        <v>#DIV/0!</v>
      </c>
      <c r="CP379" t="e">
        <f>IF(CD379&lt;CL379,"yes","no")</f>
        <v>#DIV/0!</v>
      </c>
      <c r="CQ379" t="e">
        <f>IF(CE379&lt;CM379,"yes","no")</f>
        <v>#DIV/0!</v>
      </c>
      <c r="CR379" t="e">
        <f>TTEST(AS379:AW379,AD379:AH379,2,2)</f>
        <v>#DIV/0!</v>
      </c>
      <c r="CS379" t="e">
        <f>TTEST(AS379:AW379,AN379:AR379,2,2)</f>
        <v>#DIV/0!</v>
      </c>
      <c r="CT379" t="e">
        <f>TTEST(AS379:AW379,AX379:BB379,2,2)</f>
        <v>#DIV/0!</v>
      </c>
      <c r="CU379">
        <v>373</v>
      </c>
      <c r="CV379">
        <v>376</v>
      </c>
      <c r="CW379">
        <v>378</v>
      </c>
      <c r="CX379">
        <f t="shared" si="15"/>
        <v>4.0193965517241387E-2</v>
      </c>
      <c r="CY379">
        <f t="shared" si="16"/>
        <v>4.0517241379310349E-2</v>
      </c>
      <c r="CZ379">
        <f t="shared" si="17"/>
        <v>4.073275862068966E-2</v>
      </c>
      <c r="DA379" t="e">
        <f>IF(CR379&lt;CX379,"yes","no")</f>
        <v>#DIV/0!</v>
      </c>
      <c r="DB379" t="e">
        <f>IF(CS379&lt;CY379,"yes","no")</f>
        <v>#DIV/0!</v>
      </c>
      <c r="DC379" t="e">
        <f>IF(CT379&lt;CZ379,"yes","no")</f>
        <v>#DIV/0!</v>
      </c>
    </row>
    <row r="380" spans="1:107" x14ac:dyDescent="0.2">
      <c r="A380" s="2" t="b">
        <v>0</v>
      </c>
      <c r="B380" s="2" t="s">
        <v>79</v>
      </c>
      <c r="C380" s="2" t="s">
        <v>80</v>
      </c>
      <c r="D380" s="2" t="s">
        <v>1356</v>
      </c>
      <c r="E380" s="2" t="s">
        <v>1357</v>
      </c>
      <c r="F380" s="2">
        <v>2</v>
      </c>
      <c r="G380" s="2">
        <v>2</v>
      </c>
      <c r="H380" s="2">
        <v>28.8</v>
      </c>
      <c r="I380" s="2">
        <v>7.33</v>
      </c>
      <c r="J380" s="2" t="s">
        <v>83</v>
      </c>
      <c r="K380" s="2" t="s">
        <v>83</v>
      </c>
      <c r="L380" s="2" t="s">
        <v>119</v>
      </c>
      <c r="M380" s="2" t="s">
        <v>1358</v>
      </c>
      <c r="N380" s="2" t="s">
        <v>1356</v>
      </c>
      <c r="O380" s="2">
        <v>0.01</v>
      </c>
      <c r="P380" s="2">
        <v>0.01</v>
      </c>
      <c r="Q380" s="2">
        <v>0.01</v>
      </c>
      <c r="R380" s="2">
        <v>100</v>
      </c>
      <c r="S380" s="2" t="s">
        <v>83</v>
      </c>
      <c r="T380" s="2" t="s">
        <v>83</v>
      </c>
      <c r="U380" s="2" t="s">
        <v>83</v>
      </c>
      <c r="V380" s="2" t="s">
        <v>83</v>
      </c>
      <c r="W380" s="2" t="s">
        <v>83</v>
      </c>
      <c r="X380" s="2" t="s">
        <v>83</v>
      </c>
      <c r="Y380" s="2">
        <v>500</v>
      </c>
      <c r="Z380" s="2" t="s">
        <v>83</v>
      </c>
      <c r="AA380" s="2" t="s">
        <v>83</v>
      </c>
      <c r="AB380" s="2" t="s">
        <v>83</v>
      </c>
      <c r="AC380" s="2" t="s">
        <v>83</v>
      </c>
      <c r="AD380" s="2" t="s">
        <v>83</v>
      </c>
      <c r="AE380" s="2" t="s">
        <v>83</v>
      </c>
      <c r="AF380" s="2" t="s">
        <v>83</v>
      </c>
      <c r="AG380" s="2">
        <v>198048.125</v>
      </c>
      <c r="AH380" s="2" t="s">
        <v>83</v>
      </c>
      <c r="AI380" s="2" t="s">
        <v>83</v>
      </c>
      <c r="AJ380" s="2" t="s">
        <v>83</v>
      </c>
      <c r="AK380" s="2" t="s">
        <v>83</v>
      </c>
      <c r="AL380" s="2" t="s">
        <v>83</v>
      </c>
      <c r="AM380" s="2" t="s">
        <v>83</v>
      </c>
      <c r="AN380" s="2" t="s">
        <v>83</v>
      </c>
      <c r="AO380" s="2" t="s">
        <v>83</v>
      </c>
      <c r="AP380" s="2" t="s">
        <v>83</v>
      </c>
      <c r="AQ380" s="2" t="s">
        <v>83</v>
      </c>
      <c r="AR380" s="2" t="s">
        <v>83</v>
      </c>
      <c r="AS380" s="2" t="s">
        <v>83</v>
      </c>
      <c r="AT380" s="2" t="s">
        <v>83</v>
      </c>
      <c r="AU380" s="2" t="s">
        <v>83</v>
      </c>
      <c r="AV380" s="2" t="s">
        <v>83</v>
      </c>
      <c r="AW380" s="2" t="s">
        <v>83</v>
      </c>
      <c r="AX380" s="2" t="s">
        <v>83</v>
      </c>
      <c r="AY380" s="2" t="s">
        <v>83</v>
      </c>
      <c r="AZ380" s="2" t="s">
        <v>83</v>
      </c>
      <c r="BA380" s="2" t="s">
        <v>83</v>
      </c>
      <c r="BB380" s="2" t="s">
        <v>83</v>
      </c>
      <c r="BC380" s="2" t="s">
        <v>98</v>
      </c>
      <c r="BD380" s="2" t="s">
        <v>98</v>
      </c>
      <c r="BE380" s="2" t="s">
        <v>98</v>
      </c>
      <c r="BF380" s="2" t="s">
        <v>79</v>
      </c>
      <c r="BG380" s="2" t="s">
        <v>98</v>
      </c>
      <c r="BH380" s="2" t="s">
        <v>98</v>
      </c>
      <c r="BI380" s="2" t="s">
        <v>98</v>
      </c>
      <c r="BJ380" s="2" t="s">
        <v>98</v>
      </c>
      <c r="BK380" s="2" t="s">
        <v>98</v>
      </c>
      <c r="BL380" s="2" t="s">
        <v>98</v>
      </c>
      <c r="BM380" s="2" t="s">
        <v>98</v>
      </c>
      <c r="BN380" s="2" t="s">
        <v>98</v>
      </c>
      <c r="BO380" s="2" t="s">
        <v>98</v>
      </c>
      <c r="BP380" s="2" t="s">
        <v>98</v>
      </c>
      <c r="BQ380" s="2" t="s">
        <v>98</v>
      </c>
      <c r="BR380" s="2" t="s">
        <v>98</v>
      </c>
      <c r="BS380" s="2" t="s">
        <v>98</v>
      </c>
      <c r="BT380" s="2" t="s">
        <v>98</v>
      </c>
      <c r="BU380" s="2" t="s">
        <v>98</v>
      </c>
      <c r="BV380" s="2" t="s">
        <v>98</v>
      </c>
      <c r="BW380" s="2" t="s">
        <v>98</v>
      </c>
      <c r="BX380" s="2" t="s">
        <v>98</v>
      </c>
      <c r="BY380" s="2" t="s">
        <v>98</v>
      </c>
      <c r="BZ380" s="2" t="s">
        <v>98</v>
      </c>
      <c r="CA380" s="2" t="s">
        <v>98</v>
      </c>
      <c r="CB380" t="e">
        <f>TTEST(AS380:AW380,AI380:AM380,2,2)</f>
        <v>#DIV/0!</v>
      </c>
      <c r="CC380" t="e">
        <f>TTEST(AD380:AH380,AI380:AM380,2,2)</f>
        <v>#DIV/0!</v>
      </c>
      <c r="CD380" t="e">
        <f>TTEST(AN380:AR380,AI380:AM380,2,2)</f>
        <v>#DIV/0!</v>
      </c>
      <c r="CE380" t="e">
        <f>TTEST(AX380:BB380,AI380:AM380,2,2)</f>
        <v>#DIV/0!</v>
      </c>
      <c r="CF380">
        <v>356</v>
      </c>
      <c r="CG380">
        <v>370</v>
      </c>
      <c r="CH380">
        <v>374</v>
      </c>
      <c r="CI380">
        <v>377</v>
      </c>
      <c r="CJ380">
        <f>0.05*CF380/464</f>
        <v>3.8362068965517242E-2</v>
      </c>
      <c r="CK380">
        <f>0.05*CG380/464</f>
        <v>3.9870689655172417E-2</v>
      </c>
      <c r="CL380">
        <f>0.05*CH380/464</f>
        <v>4.0301724137931032E-2</v>
      </c>
      <c r="CM380">
        <f>0.05*CI380/464</f>
        <v>4.0625000000000001E-2</v>
      </c>
      <c r="CN380" t="e">
        <f>IF(CB380&lt;CJ380,"yes","no")</f>
        <v>#DIV/0!</v>
      </c>
      <c r="CO380" t="e">
        <f>IF(CC380&lt;CK380,"yes","no")</f>
        <v>#DIV/0!</v>
      </c>
      <c r="CP380" t="e">
        <f>IF(CD380&lt;CL380,"yes","no")</f>
        <v>#DIV/0!</v>
      </c>
      <c r="CQ380" t="e">
        <f>IF(CE380&lt;CM380,"yes","no")</f>
        <v>#DIV/0!</v>
      </c>
      <c r="CR380" t="e">
        <f>TTEST(AS380:AW380,AD380:AH380,2,2)</f>
        <v>#DIV/0!</v>
      </c>
      <c r="CS380" t="e">
        <f>TTEST(AS380:AW380,AN380:AR380,2,2)</f>
        <v>#DIV/0!</v>
      </c>
      <c r="CT380" t="e">
        <f>TTEST(AS380:AW380,AX380:BB380,2,2)</f>
        <v>#DIV/0!</v>
      </c>
      <c r="CU380">
        <v>374</v>
      </c>
      <c r="CV380">
        <v>377</v>
      </c>
      <c r="CW380">
        <v>379</v>
      </c>
      <c r="CX380">
        <f t="shared" si="15"/>
        <v>4.0301724137931032E-2</v>
      </c>
      <c r="CY380">
        <f t="shared" si="16"/>
        <v>4.0625000000000001E-2</v>
      </c>
      <c r="CZ380">
        <f t="shared" si="17"/>
        <v>4.0840517241379312E-2</v>
      </c>
      <c r="DA380" t="e">
        <f>IF(CR380&lt;CX380,"yes","no")</f>
        <v>#DIV/0!</v>
      </c>
      <c r="DB380" t="e">
        <f>IF(CS380&lt;CY380,"yes","no")</f>
        <v>#DIV/0!</v>
      </c>
      <c r="DC380" t="e">
        <f>IF(CT380&lt;CZ380,"yes","no")</f>
        <v>#DIV/0!</v>
      </c>
    </row>
    <row r="381" spans="1:107" x14ac:dyDescent="0.2">
      <c r="A381" s="2" t="b">
        <v>0</v>
      </c>
      <c r="B381" s="2" t="s">
        <v>79</v>
      </c>
      <c r="C381" s="2" t="s">
        <v>80</v>
      </c>
      <c r="D381" s="2" t="s">
        <v>1361</v>
      </c>
      <c r="E381" s="2" t="s">
        <v>1362</v>
      </c>
      <c r="F381" s="2">
        <v>1</v>
      </c>
      <c r="G381" s="2">
        <v>1</v>
      </c>
      <c r="H381" s="2">
        <v>37.5</v>
      </c>
      <c r="I381" s="2">
        <v>8.9499999999999993</v>
      </c>
      <c r="J381" s="2" t="s">
        <v>1363</v>
      </c>
      <c r="K381" s="2" t="s">
        <v>807</v>
      </c>
      <c r="L381" s="2" t="s">
        <v>115</v>
      </c>
      <c r="M381" s="2" t="s">
        <v>83</v>
      </c>
      <c r="N381" s="2" t="s">
        <v>1364</v>
      </c>
      <c r="O381" s="2" t="s">
        <v>83</v>
      </c>
      <c r="P381" s="2" t="s">
        <v>83</v>
      </c>
      <c r="Q381" s="2" t="s">
        <v>83</v>
      </c>
      <c r="R381" s="2" t="s">
        <v>83</v>
      </c>
      <c r="S381" s="2" t="s">
        <v>83</v>
      </c>
      <c r="T381" s="2" t="s">
        <v>83</v>
      </c>
      <c r="U381" s="2" t="s">
        <v>83</v>
      </c>
      <c r="V381" s="2" t="s">
        <v>83</v>
      </c>
      <c r="W381" s="2" t="s">
        <v>83</v>
      </c>
      <c r="X381" s="2" t="s">
        <v>83</v>
      </c>
      <c r="Y381" s="2" t="s">
        <v>83</v>
      </c>
      <c r="Z381" s="2" t="s">
        <v>83</v>
      </c>
      <c r="AA381" s="2" t="s">
        <v>83</v>
      </c>
      <c r="AB381" s="2" t="s">
        <v>83</v>
      </c>
      <c r="AC381" s="2" t="s">
        <v>83</v>
      </c>
      <c r="AD381" s="2" t="s">
        <v>83</v>
      </c>
      <c r="AE381" s="2" t="s">
        <v>83</v>
      </c>
      <c r="AF381" s="2" t="s">
        <v>83</v>
      </c>
      <c r="AG381" s="2" t="s">
        <v>83</v>
      </c>
      <c r="AH381" s="2" t="s">
        <v>83</v>
      </c>
      <c r="AI381" s="2" t="s">
        <v>83</v>
      </c>
      <c r="AJ381" s="2" t="s">
        <v>83</v>
      </c>
      <c r="AK381" s="2" t="s">
        <v>83</v>
      </c>
      <c r="AL381" s="2" t="s">
        <v>83</v>
      </c>
      <c r="AM381" s="2" t="s">
        <v>83</v>
      </c>
      <c r="AN381" s="2" t="s">
        <v>83</v>
      </c>
      <c r="AO381" s="2" t="s">
        <v>83</v>
      </c>
      <c r="AP381" s="2" t="s">
        <v>83</v>
      </c>
      <c r="AQ381" s="2" t="s">
        <v>83</v>
      </c>
      <c r="AR381" s="2" t="s">
        <v>83</v>
      </c>
      <c r="AS381" s="2" t="s">
        <v>83</v>
      </c>
      <c r="AT381" s="2" t="s">
        <v>83</v>
      </c>
      <c r="AU381" s="2" t="s">
        <v>83</v>
      </c>
      <c r="AV381" s="2" t="s">
        <v>83</v>
      </c>
      <c r="AW381" s="2" t="s">
        <v>83</v>
      </c>
      <c r="AX381" s="2" t="s">
        <v>83</v>
      </c>
      <c r="AY381" s="2" t="s">
        <v>83</v>
      </c>
      <c r="AZ381" s="2" t="s">
        <v>83</v>
      </c>
      <c r="BA381" s="2" t="s">
        <v>83</v>
      </c>
      <c r="BB381" s="2" t="s">
        <v>83</v>
      </c>
      <c r="BC381" s="2" t="s">
        <v>98</v>
      </c>
      <c r="BD381" s="2" t="s">
        <v>98</v>
      </c>
      <c r="BE381" s="2" t="s">
        <v>98</v>
      </c>
      <c r="BF381" s="2" t="s">
        <v>79</v>
      </c>
      <c r="BG381" s="2" t="s">
        <v>98</v>
      </c>
      <c r="BH381" s="2" t="s">
        <v>98</v>
      </c>
      <c r="BI381" s="2" t="s">
        <v>98</v>
      </c>
      <c r="BJ381" s="2" t="s">
        <v>98</v>
      </c>
      <c r="BK381" s="2" t="s">
        <v>98</v>
      </c>
      <c r="BL381" s="2" t="s">
        <v>98</v>
      </c>
      <c r="BM381" s="2" t="s">
        <v>98</v>
      </c>
      <c r="BN381" s="2" t="s">
        <v>98</v>
      </c>
      <c r="BO381" s="2" t="s">
        <v>98</v>
      </c>
      <c r="BP381" s="2" t="s">
        <v>98</v>
      </c>
      <c r="BQ381" s="2" t="s">
        <v>98</v>
      </c>
      <c r="BR381" s="2" t="s">
        <v>98</v>
      </c>
      <c r="BS381" s="2" t="s">
        <v>98</v>
      </c>
      <c r="BT381" s="2" t="s">
        <v>98</v>
      </c>
      <c r="BU381" s="2" t="s">
        <v>98</v>
      </c>
      <c r="BV381" s="2" t="s">
        <v>98</v>
      </c>
      <c r="BW381" s="2" t="s">
        <v>98</v>
      </c>
      <c r="BX381" s="2" t="s">
        <v>98</v>
      </c>
      <c r="BY381" s="2" t="s">
        <v>98</v>
      </c>
      <c r="BZ381" s="2" t="s">
        <v>98</v>
      </c>
      <c r="CA381" s="2" t="s">
        <v>98</v>
      </c>
      <c r="CB381" t="e">
        <f>TTEST(AS381:AW381,AI381:AM381,2,2)</f>
        <v>#DIV/0!</v>
      </c>
      <c r="CC381" t="e">
        <f>TTEST(AD381:AH381,AI381:AM381,2,2)</f>
        <v>#DIV/0!</v>
      </c>
      <c r="CD381" t="e">
        <f>TTEST(AN381:AR381,AI381:AM381,2,2)</f>
        <v>#DIV/0!</v>
      </c>
      <c r="CE381" t="e">
        <f>TTEST(AX381:BB381,AI381:AM381,2,2)</f>
        <v>#DIV/0!</v>
      </c>
      <c r="CF381">
        <v>357</v>
      </c>
      <c r="CG381">
        <v>371</v>
      </c>
      <c r="CH381">
        <v>375</v>
      </c>
      <c r="CI381">
        <v>378</v>
      </c>
      <c r="CJ381">
        <f>0.05*CF381/464</f>
        <v>3.8469827586206901E-2</v>
      </c>
      <c r="CK381">
        <f>0.05*CG381/464</f>
        <v>3.9978448275862069E-2</v>
      </c>
      <c r="CL381">
        <f>0.05*CH381/464</f>
        <v>4.0409482758620691E-2</v>
      </c>
      <c r="CM381">
        <f>0.05*CI381/464</f>
        <v>4.073275862068966E-2</v>
      </c>
      <c r="CN381" t="e">
        <f>IF(CB381&lt;CJ381,"yes","no")</f>
        <v>#DIV/0!</v>
      </c>
      <c r="CO381" t="e">
        <f>IF(CC381&lt;CK381,"yes","no")</f>
        <v>#DIV/0!</v>
      </c>
      <c r="CP381" t="e">
        <f>IF(CD381&lt;CL381,"yes","no")</f>
        <v>#DIV/0!</v>
      </c>
      <c r="CQ381" t="e">
        <f>IF(CE381&lt;CM381,"yes","no")</f>
        <v>#DIV/0!</v>
      </c>
      <c r="CR381" t="e">
        <f>TTEST(AS381:AW381,AD381:AH381,2,2)</f>
        <v>#DIV/0!</v>
      </c>
      <c r="CS381" t="e">
        <f>TTEST(AS381:AW381,AN381:AR381,2,2)</f>
        <v>#DIV/0!</v>
      </c>
      <c r="CT381" t="e">
        <f>TTEST(AS381:AW381,AX381:BB381,2,2)</f>
        <v>#DIV/0!</v>
      </c>
      <c r="CU381">
        <v>375</v>
      </c>
      <c r="CV381">
        <v>378</v>
      </c>
      <c r="CW381">
        <v>380</v>
      </c>
      <c r="CX381">
        <f t="shared" si="15"/>
        <v>4.0409482758620691E-2</v>
      </c>
      <c r="CY381">
        <f t="shared" si="16"/>
        <v>4.073275862068966E-2</v>
      </c>
      <c r="CZ381">
        <f t="shared" si="17"/>
        <v>4.0948275862068964E-2</v>
      </c>
      <c r="DA381" t="e">
        <f>IF(CR381&lt;CX381,"yes","no")</f>
        <v>#DIV/0!</v>
      </c>
      <c r="DB381" t="e">
        <f>IF(CS381&lt;CY381,"yes","no")</f>
        <v>#DIV/0!</v>
      </c>
      <c r="DC381" t="e">
        <f>IF(CT381&lt;CZ381,"yes","no")</f>
        <v>#DIV/0!</v>
      </c>
    </row>
    <row r="382" spans="1:107" x14ac:dyDescent="0.2">
      <c r="A382" s="2" t="b">
        <v>0</v>
      </c>
      <c r="B382" s="2" t="s">
        <v>79</v>
      </c>
      <c r="C382" s="2" t="s">
        <v>80</v>
      </c>
      <c r="D382" s="2" t="s">
        <v>1379</v>
      </c>
      <c r="E382" s="2" t="s">
        <v>1380</v>
      </c>
      <c r="F382" s="2">
        <v>1</v>
      </c>
      <c r="G382" s="2">
        <v>1</v>
      </c>
      <c r="H382" s="2">
        <v>28.9</v>
      </c>
      <c r="I382" s="2">
        <v>4.93</v>
      </c>
      <c r="J382" s="2" t="s">
        <v>254</v>
      </c>
      <c r="K382" s="2" t="s">
        <v>84</v>
      </c>
      <c r="L382" s="2" t="s">
        <v>83</v>
      </c>
      <c r="M382" s="2" t="s">
        <v>1381</v>
      </c>
      <c r="N382" s="2" t="s">
        <v>1379</v>
      </c>
      <c r="O382" s="2">
        <v>12.956</v>
      </c>
      <c r="P382" s="2">
        <v>0.01</v>
      </c>
      <c r="Q382" s="2">
        <v>0.01</v>
      </c>
      <c r="R382" s="2">
        <v>100</v>
      </c>
      <c r="S382" s="2">
        <v>100</v>
      </c>
      <c r="T382" s="2" t="s">
        <v>83</v>
      </c>
      <c r="U382" s="2" t="s">
        <v>83</v>
      </c>
      <c r="V382" s="2">
        <v>0.01</v>
      </c>
      <c r="W382" s="2">
        <v>0.01</v>
      </c>
      <c r="X382" s="2" t="s">
        <v>83</v>
      </c>
      <c r="Y382" s="2">
        <v>35.5</v>
      </c>
      <c r="Z382" s="2" t="s">
        <v>83</v>
      </c>
      <c r="AA382" s="2">
        <v>464.5</v>
      </c>
      <c r="AB382" s="2" t="s">
        <v>83</v>
      </c>
      <c r="AC382" s="2" t="s">
        <v>83</v>
      </c>
      <c r="AD382" s="2">
        <v>122312.484375</v>
      </c>
      <c r="AE382" s="2">
        <v>123629.953125</v>
      </c>
      <c r="AF382" s="2">
        <v>93607.9375</v>
      </c>
      <c r="AG382" s="2">
        <v>101387.6640625</v>
      </c>
      <c r="AH382" s="2">
        <v>113817.53125</v>
      </c>
      <c r="AI382" s="2" t="s">
        <v>83</v>
      </c>
      <c r="AJ382" s="2" t="s">
        <v>83</v>
      </c>
      <c r="AK382" s="2" t="s">
        <v>83</v>
      </c>
      <c r="AL382" s="2" t="s">
        <v>83</v>
      </c>
      <c r="AM382" s="2" t="s">
        <v>83</v>
      </c>
      <c r="AN382" s="2">
        <v>22120.763671875</v>
      </c>
      <c r="AO382" s="2" t="s">
        <v>83</v>
      </c>
      <c r="AP382" s="2">
        <v>33730.1015625</v>
      </c>
      <c r="AQ382" s="2">
        <v>25736.154296875</v>
      </c>
      <c r="AR382" s="2">
        <v>39320.296875</v>
      </c>
      <c r="AS382" s="2" t="s">
        <v>83</v>
      </c>
      <c r="AT382" s="2" t="s">
        <v>83</v>
      </c>
      <c r="AU382" s="2" t="s">
        <v>83</v>
      </c>
      <c r="AV382" s="2" t="s">
        <v>83</v>
      </c>
      <c r="AW382" s="2" t="s">
        <v>83</v>
      </c>
      <c r="AX382" s="2" t="s">
        <v>83</v>
      </c>
      <c r="AY382" s="2" t="s">
        <v>83</v>
      </c>
      <c r="AZ382" s="2" t="s">
        <v>83</v>
      </c>
      <c r="BA382" s="2" t="s">
        <v>83</v>
      </c>
      <c r="BB382" s="2" t="s">
        <v>83</v>
      </c>
      <c r="BC382" s="2" t="s">
        <v>79</v>
      </c>
      <c r="BD382" s="2" t="s">
        <v>79</v>
      </c>
      <c r="BE382" s="2" t="s">
        <v>79</v>
      </c>
      <c r="BF382" s="2" t="s">
        <v>79</v>
      </c>
      <c r="BG382" s="2" t="s">
        <v>91</v>
      </c>
      <c r="BH382" s="2" t="s">
        <v>98</v>
      </c>
      <c r="BI382" s="2" t="s">
        <v>98</v>
      </c>
      <c r="BJ382" s="2" t="s">
        <v>98</v>
      </c>
      <c r="BK382" s="2" t="s">
        <v>98</v>
      </c>
      <c r="BL382" s="2" t="s">
        <v>98</v>
      </c>
      <c r="BM382" s="2" t="s">
        <v>91</v>
      </c>
      <c r="BN382" s="2" t="s">
        <v>98</v>
      </c>
      <c r="BO382" s="2" t="s">
        <v>91</v>
      </c>
      <c r="BP382" s="2" t="s">
        <v>91</v>
      </c>
      <c r="BQ382" s="2" t="s">
        <v>91</v>
      </c>
      <c r="BR382" s="2" t="s">
        <v>98</v>
      </c>
      <c r="BS382" s="2" t="s">
        <v>98</v>
      </c>
      <c r="BT382" s="2" t="s">
        <v>98</v>
      </c>
      <c r="BU382" s="2" t="s">
        <v>98</v>
      </c>
      <c r="BV382" s="2" t="s">
        <v>98</v>
      </c>
      <c r="BW382" s="2" t="s">
        <v>98</v>
      </c>
      <c r="BX382" s="2" t="s">
        <v>98</v>
      </c>
      <c r="BY382" s="2" t="s">
        <v>98</v>
      </c>
      <c r="BZ382" s="2" t="s">
        <v>98</v>
      </c>
      <c r="CA382" s="2" t="s">
        <v>98</v>
      </c>
      <c r="CB382" t="e">
        <f>TTEST(AS382:AW382,AI382:AM382,2,2)</f>
        <v>#DIV/0!</v>
      </c>
      <c r="CC382" t="e">
        <f>TTEST(AD382:AH382,AI382:AM382,2,2)</f>
        <v>#DIV/0!</v>
      </c>
      <c r="CD382" t="e">
        <f>TTEST(AN382:AR382,AI382:AM382,2,2)</f>
        <v>#DIV/0!</v>
      </c>
      <c r="CE382" t="e">
        <f>TTEST(AX382:BB382,AI382:AM382,2,2)</f>
        <v>#DIV/0!</v>
      </c>
      <c r="CF382">
        <v>358</v>
      </c>
      <c r="CG382">
        <v>372</v>
      </c>
      <c r="CH382">
        <v>376</v>
      </c>
      <c r="CI382">
        <v>379</v>
      </c>
      <c r="CJ382">
        <f>0.05*CF382/464</f>
        <v>3.8577586206896559E-2</v>
      </c>
      <c r="CK382">
        <f>0.05*CG382/464</f>
        <v>4.0086206896551728E-2</v>
      </c>
      <c r="CL382">
        <f>0.05*CH382/464</f>
        <v>4.0517241379310349E-2</v>
      </c>
      <c r="CM382">
        <f>0.05*CI382/464</f>
        <v>4.0840517241379312E-2</v>
      </c>
      <c r="CN382" t="e">
        <f>IF(CB382&lt;CJ382,"yes","no")</f>
        <v>#DIV/0!</v>
      </c>
      <c r="CO382" t="e">
        <f>IF(CC382&lt;CK382,"yes","no")</f>
        <v>#DIV/0!</v>
      </c>
      <c r="CP382" t="e">
        <f>IF(CD382&lt;CL382,"yes","no")</f>
        <v>#DIV/0!</v>
      </c>
      <c r="CQ382" t="e">
        <f>IF(CE382&lt;CM382,"yes","no")</f>
        <v>#DIV/0!</v>
      </c>
      <c r="CR382" t="e">
        <f>TTEST(AS382:AW382,AD382:AH382,2,2)</f>
        <v>#DIV/0!</v>
      </c>
      <c r="CS382" t="e">
        <f>TTEST(AS382:AW382,AN382:AR382,2,2)</f>
        <v>#DIV/0!</v>
      </c>
      <c r="CT382" t="e">
        <f>TTEST(AS382:AW382,AX382:BB382,2,2)</f>
        <v>#DIV/0!</v>
      </c>
      <c r="CU382">
        <v>376</v>
      </c>
      <c r="CV382">
        <v>379</v>
      </c>
      <c r="CW382">
        <v>381</v>
      </c>
      <c r="CX382">
        <f t="shared" si="15"/>
        <v>4.0517241379310349E-2</v>
      </c>
      <c r="CY382">
        <f t="shared" si="16"/>
        <v>4.0840517241379312E-2</v>
      </c>
      <c r="CZ382">
        <f t="shared" si="17"/>
        <v>4.1056034482758623E-2</v>
      </c>
      <c r="DA382" t="e">
        <f>IF(CR382&lt;CX382,"yes","no")</f>
        <v>#DIV/0!</v>
      </c>
      <c r="DB382" t="e">
        <f>IF(CS382&lt;CY382,"yes","no")</f>
        <v>#DIV/0!</v>
      </c>
      <c r="DC382" t="e">
        <f>IF(CT382&lt;CZ382,"yes","no")</f>
        <v>#DIV/0!</v>
      </c>
    </row>
    <row r="383" spans="1:107" x14ac:dyDescent="0.2">
      <c r="A383" s="2" t="b">
        <v>0</v>
      </c>
      <c r="B383" s="2" t="s">
        <v>79</v>
      </c>
      <c r="C383" s="2" t="s">
        <v>80</v>
      </c>
      <c r="D383" s="2" t="s">
        <v>1382</v>
      </c>
      <c r="E383" s="2" t="s">
        <v>1383</v>
      </c>
      <c r="F383" s="2">
        <v>1</v>
      </c>
      <c r="G383" s="2">
        <v>1</v>
      </c>
      <c r="H383" s="2">
        <v>46.4</v>
      </c>
      <c r="I383" s="2">
        <v>7.9</v>
      </c>
      <c r="J383" s="2" t="s">
        <v>135</v>
      </c>
      <c r="K383" s="2" t="s">
        <v>1384</v>
      </c>
      <c r="L383" s="2" t="s">
        <v>119</v>
      </c>
      <c r="M383" s="2" t="s">
        <v>1385</v>
      </c>
      <c r="N383" s="2" t="s">
        <v>1386</v>
      </c>
      <c r="O383" s="2" t="s">
        <v>83</v>
      </c>
      <c r="P383" s="2" t="s">
        <v>83</v>
      </c>
      <c r="Q383" s="2" t="s">
        <v>83</v>
      </c>
      <c r="R383" s="2" t="s">
        <v>83</v>
      </c>
      <c r="S383" s="2" t="s">
        <v>83</v>
      </c>
      <c r="T383" s="2" t="s">
        <v>83</v>
      </c>
      <c r="U383" s="2" t="s">
        <v>83</v>
      </c>
      <c r="V383" s="2" t="s">
        <v>83</v>
      </c>
      <c r="W383" s="2" t="s">
        <v>83</v>
      </c>
      <c r="X383" s="2" t="s">
        <v>83</v>
      </c>
      <c r="Y383" s="2" t="s">
        <v>83</v>
      </c>
      <c r="Z383" s="2" t="s">
        <v>83</v>
      </c>
      <c r="AA383" s="2" t="s">
        <v>83</v>
      </c>
      <c r="AB383" s="2" t="s">
        <v>83</v>
      </c>
      <c r="AC383" s="2" t="s">
        <v>83</v>
      </c>
      <c r="AD383" s="2" t="s">
        <v>83</v>
      </c>
      <c r="AE383" s="2" t="s">
        <v>83</v>
      </c>
      <c r="AF383" s="2" t="s">
        <v>83</v>
      </c>
      <c r="AG383" s="2" t="s">
        <v>83</v>
      </c>
      <c r="AH383" s="2" t="s">
        <v>83</v>
      </c>
      <c r="AI383" s="2" t="s">
        <v>83</v>
      </c>
      <c r="AJ383" s="2" t="s">
        <v>83</v>
      </c>
      <c r="AK383" s="2" t="s">
        <v>83</v>
      </c>
      <c r="AL383" s="2" t="s">
        <v>83</v>
      </c>
      <c r="AM383" s="2" t="s">
        <v>83</v>
      </c>
      <c r="AN383" s="2" t="s">
        <v>83</v>
      </c>
      <c r="AO383" s="2" t="s">
        <v>83</v>
      </c>
      <c r="AP383" s="2" t="s">
        <v>83</v>
      </c>
      <c r="AQ383" s="2" t="s">
        <v>83</v>
      </c>
      <c r="AR383" s="2" t="s">
        <v>83</v>
      </c>
      <c r="AS383" s="2" t="s">
        <v>83</v>
      </c>
      <c r="AT383" s="2" t="s">
        <v>83</v>
      </c>
      <c r="AU383" s="2" t="s">
        <v>83</v>
      </c>
      <c r="AV383" s="2" t="s">
        <v>83</v>
      </c>
      <c r="AW383" s="2" t="s">
        <v>83</v>
      </c>
      <c r="AX383" s="2" t="s">
        <v>83</v>
      </c>
      <c r="AY383" s="2" t="s">
        <v>83</v>
      </c>
      <c r="AZ383" s="2" t="s">
        <v>83</v>
      </c>
      <c r="BA383" s="2" t="s">
        <v>83</v>
      </c>
      <c r="BB383" s="2" t="s">
        <v>83</v>
      </c>
      <c r="BC383" s="2" t="s">
        <v>98</v>
      </c>
      <c r="BD383" s="2" t="s">
        <v>98</v>
      </c>
      <c r="BE383" s="2" t="s">
        <v>98</v>
      </c>
      <c r="BF383" s="2" t="s">
        <v>79</v>
      </c>
      <c r="BG383" s="2" t="s">
        <v>98</v>
      </c>
      <c r="BH383" s="2" t="s">
        <v>98</v>
      </c>
      <c r="BI383" s="2" t="s">
        <v>98</v>
      </c>
      <c r="BJ383" s="2" t="s">
        <v>98</v>
      </c>
      <c r="BK383" s="2" t="s">
        <v>98</v>
      </c>
      <c r="BL383" s="2" t="s">
        <v>98</v>
      </c>
      <c r="BM383" s="2" t="s">
        <v>98</v>
      </c>
      <c r="BN383" s="2" t="s">
        <v>98</v>
      </c>
      <c r="BO383" s="2" t="s">
        <v>98</v>
      </c>
      <c r="BP383" s="2" t="s">
        <v>98</v>
      </c>
      <c r="BQ383" s="2" t="s">
        <v>98</v>
      </c>
      <c r="BR383" s="2" t="s">
        <v>98</v>
      </c>
      <c r="BS383" s="2" t="s">
        <v>98</v>
      </c>
      <c r="BT383" s="2" t="s">
        <v>98</v>
      </c>
      <c r="BU383" s="2" t="s">
        <v>98</v>
      </c>
      <c r="BV383" s="2" t="s">
        <v>98</v>
      </c>
      <c r="BW383" s="2" t="s">
        <v>98</v>
      </c>
      <c r="BX383" s="2" t="s">
        <v>98</v>
      </c>
      <c r="BY383" s="2" t="s">
        <v>98</v>
      </c>
      <c r="BZ383" s="2" t="s">
        <v>98</v>
      </c>
      <c r="CA383" s="2" t="s">
        <v>98</v>
      </c>
      <c r="CB383" t="e">
        <f>TTEST(AS383:AW383,AI383:AM383,2,2)</f>
        <v>#DIV/0!</v>
      </c>
      <c r="CC383" t="e">
        <f>TTEST(AD383:AH383,AI383:AM383,2,2)</f>
        <v>#DIV/0!</v>
      </c>
      <c r="CD383" t="e">
        <f>TTEST(AN383:AR383,AI383:AM383,2,2)</f>
        <v>#DIV/0!</v>
      </c>
      <c r="CE383" t="e">
        <f>TTEST(AX383:BB383,AI383:AM383,2,2)</f>
        <v>#DIV/0!</v>
      </c>
      <c r="CF383">
        <v>359</v>
      </c>
      <c r="CG383">
        <v>373</v>
      </c>
      <c r="CH383">
        <v>377</v>
      </c>
      <c r="CI383">
        <v>380</v>
      </c>
      <c r="CJ383">
        <f>0.05*CF383/464</f>
        <v>3.8685344827586204E-2</v>
      </c>
      <c r="CK383">
        <f>0.05*CG383/464</f>
        <v>4.0193965517241387E-2</v>
      </c>
      <c r="CL383">
        <f>0.05*CH383/464</f>
        <v>4.0625000000000001E-2</v>
      </c>
      <c r="CM383">
        <f>0.05*CI383/464</f>
        <v>4.0948275862068964E-2</v>
      </c>
      <c r="CN383" t="e">
        <f>IF(CB383&lt;CJ383,"yes","no")</f>
        <v>#DIV/0!</v>
      </c>
      <c r="CO383" t="e">
        <f>IF(CC383&lt;CK383,"yes","no")</f>
        <v>#DIV/0!</v>
      </c>
      <c r="CP383" t="e">
        <f>IF(CD383&lt;CL383,"yes","no")</f>
        <v>#DIV/0!</v>
      </c>
      <c r="CQ383" t="e">
        <f>IF(CE383&lt;CM383,"yes","no")</f>
        <v>#DIV/0!</v>
      </c>
      <c r="CR383" t="e">
        <f>TTEST(AS383:AW383,AD383:AH383,2,2)</f>
        <v>#DIV/0!</v>
      </c>
      <c r="CS383" t="e">
        <f>TTEST(AS383:AW383,AN383:AR383,2,2)</f>
        <v>#DIV/0!</v>
      </c>
      <c r="CT383" t="e">
        <f>TTEST(AS383:AW383,AX383:BB383,2,2)</f>
        <v>#DIV/0!</v>
      </c>
      <c r="CU383">
        <v>377</v>
      </c>
      <c r="CV383">
        <v>380</v>
      </c>
      <c r="CW383">
        <v>382</v>
      </c>
      <c r="CX383">
        <f t="shared" si="15"/>
        <v>4.0625000000000001E-2</v>
      </c>
      <c r="CY383">
        <f t="shared" si="16"/>
        <v>4.0948275862068964E-2</v>
      </c>
      <c r="CZ383">
        <f t="shared" si="17"/>
        <v>4.1163793103448282E-2</v>
      </c>
      <c r="DA383" t="e">
        <f>IF(CR383&lt;CX383,"yes","no")</f>
        <v>#DIV/0!</v>
      </c>
      <c r="DB383" t="e">
        <f>IF(CS383&lt;CY383,"yes","no")</f>
        <v>#DIV/0!</v>
      </c>
      <c r="DC383" t="e">
        <f>IF(CT383&lt;CZ383,"yes","no")</f>
        <v>#DIV/0!</v>
      </c>
    </row>
    <row r="384" spans="1:107" x14ac:dyDescent="0.2">
      <c r="A384" s="2" t="b">
        <v>0</v>
      </c>
      <c r="B384" s="2" t="s">
        <v>79</v>
      </c>
      <c r="C384" s="2" t="s">
        <v>80</v>
      </c>
      <c r="D384" s="2" t="s">
        <v>1394</v>
      </c>
      <c r="E384" s="2" t="s">
        <v>1395</v>
      </c>
      <c r="F384" s="2">
        <v>1</v>
      </c>
      <c r="G384" s="2">
        <v>1</v>
      </c>
      <c r="H384" s="2">
        <v>62.9</v>
      </c>
      <c r="I384" s="2">
        <v>7.3</v>
      </c>
      <c r="J384" s="2" t="s">
        <v>588</v>
      </c>
      <c r="K384" s="2" t="s">
        <v>84</v>
      </c>
      <c r="L384" s="2" t="s">
        <v>119</v>
      </c>
      <c r="M384" s="2" t="s">
        <v>1396</v>
      </c>
      <c r="N384" s="2" t="s">
        <v>1394</v>
      </c>
      <c r="O384" s="2">
        <v>0.01</v>
      </c>
      <c r="P384" s="2">
        <v>0.01</v>
      </c>
      <c r="Q384" s="2">
        <v>0.01</v>
      </c>
      <c r="R384" s="2">
        <v>100</v>
      </c>
      <c r="S384" s="2" t="s">
        <v>83</v>
      </c>
      <c r="T384" s="2" t="s">
        <v>83</v>
      </c>
      <c r="U384" s="2" t="s">
        <v>83</v>
      </c>
      <c r="V384" s="2" t="s">
        <v>83</v>
      </c>
      <c r="W384" s="2" t="s">
        <v>83</v>
      </c>
      <c r="X384" s="2" t="s">
        <v>83</v>
      </c>
      <c r="Y384" s="2">
        <v>500</v>
      </c>
      <c r="Z384" s="2" t="s">
        <v>83</v>
      </c>
      <c r="AA384" s="2" t="s">
        <v>83</v>
      </c>
      <c r="AB384" s="2" t="s">
        <v>83</v>
      </c>
      <c r="AC384" s="2" t="s">
        <v>83</v>
      </c>
      <c r="AD384" s="2">
        <v>347147.9375</v>
      </c>
      <c r="AE384" s="2">
        <v>295964.9375</v>
      </c>
      <c r="AF384" s="2">
        <v>193723.984375</v>
      </c>
      <c r="AG384" s="2" t="s">
        <v>83</v>
      </c>
      <c r="AH384" s="2" t="s">
        <v>83</v>
      </c>
      <c r="AI384" s="2" t="s">
        <v>83</v>
      </c>
      <c r="AJ384" s="2" t="s">
        <v>83</v>
      </c>
      <c r="AK384" s="2" t="s">
        <v>83</v>
      </c>
      <c r="AL384" s="2" t="s">
        <v>83</v>
      </c>
      <c r="AM384" s="2" t="s">
        <v>83</v>
      </c>
      <c r="AN384" s="2" t="s">
        <v>83</v>
      </c>
      <c r="AO384" s="2" t="s">
        <v>83</v>
      </c>
      <c r="AP384" s="2" t="s">
        <v>83</v>
      </c>
      <c r="AQ384" s="2" t="s">
        <v>83</v>
      </c>
      <c r="AR384" s="2" t="s">
        <v>83</v>
      </c>
      <c r="AS384" s="2" t="s">
        <v>83</v>
      </c>
      <c r="AT384" s="2" t="s">
        <v>83</v>
      </c>
      <c r="AU384" s="2" t="s">
        <v>83</v>
      </c>
      <c r="AV384" s="2" t="s">
        <v>83</v>
      </c>
      <c r="AW384" s="2" t="s">
        <v>83</v>
      </c>
      <c r="AX384" s="2" t="s">
        <v>83</v>
      </c>
      <c r="AY384" s="2" t="s">
        <v>83</v>
      </c>
      <c r="AZ384" s="2" t="s">
        <v>83</v>
      </c>
      <c r="BA384" s="2" t="s">
        <v>83</v>
      </c>
      <c r="BB384" s="2" t="s">
        <v>83</v>
      </c>
      <c r="BC384" s="2" t="s">
        <v>79</v>
      </c>
      <c r="BD384" s="2" t="s">
        <v>79</v>
      </c>
      <c r="BE384" s="2" t="s">
        <v>91</v>
      </c>
      <c r="BF384" s="2" t="s">
        <v>98</v>
      </c>
      <c r="BG384" s="2" t="s">
        <v>98</v>
      </c>
      <c r="BH384" s="2" t="s">
        <v>98</v>
      </c>
      <c r="BI384" s="2" t="s">
        <v>98</v>
      </c>
      <c r="BJ384" s="2" t="s">
        <v>98</v>
      </c>
      <c r="BK384" s="2" t="s">
        <v>98</v>
      </c>
      <c r="BL384" s="2" t="s">
        <v>98</v>
      </c>
      <c r="BM384" s="2" t="s">
        <v>98</v>
      </c>
      <c r="BN384" s="2" t="s">
        <v>98</v>
      </c>
      <c r="BO384" s="2" t="s">
        <v>98</v>
      </c>
      <c r="BP384" s="2" t="s">
        <v>98</v>
      </c>
      <c r="BQ384" s="2" t="s">
        <v>98</v>
      </c>
      <c r="BR384" s="2" t="s">
        <v>98</v>
      </c>
      <c r="BS384" s="2" t="s">
        <v>98</v>
      </c>
      <c r="BT384" s="2" t="s">
        <v>98</v>
      </c>
      <c r="BU384" s="2" t="s">
        <v>98</v>
      </c>
      <c r="BV384" s="2" t="s">
        <v>98</v>
      </c>
      <c r="BW384" s="2" t="s">
        <v>98</v>
      </c>
      <c r="BX384" s="2" t="s">
        <v>98</v>
      </c>
      <c r="BY384" s="2" t="s">
        <v>98</v>
      </c>
      <c r="BZ384" s="2" t="s">
        <v>98</v>
      </c>
      <c r="CA384" s="2" t="s">
        <v>98</v>
      </c>
      <c r="CB384" t="e">
        <f>TTEST(AS384:AW384,AI384:AM384,2,2)</f>
        <v>#DIV/0!</v>
      </c>
      <c r="CC384" t="e">
        <f>TTEST(AD384:AH384,AI384:AM384,2,2)</f>
        <v>#DIV/0!</v>
      </c>
      <c r="CD384" t="e">
        <f>TTEST(AN384:AR384,AI384:AM384,2,2)</f>
        <v>#DIV/0!</v>
      </c>
      <c r="CE384" t="e">
        <f>TTEST(AX384:BB384,AI384:AM384,2,2)</f>
        <v>#DIV/0!</v>
      </c>
      <c r="CF384">
        <v>360</v>
      </c>
      <c r="CG384">
        <v>374</v>
      </c>
      <c r="CH384">
        <v>378</v>
      </c>
      <c r="CI384">
        <v>381</v>
      </c>
      <c r="CJ384">
        <f>0.05*CF384/464</f>
        <v>3.8793103448275863E-2</v>
      </c>
      <c r="CK384">
        <f>0.05*CG384/464</f>
        <v>4.0301724137931032E-2</v>
      </c>
      <c r="CL384">
        <f>0.05*CH384/464</f>
        <v>4.073275862068966E-2</v>
      </c>
      <c r="CM384">
        <f>0.05*CI384/464</f>
        <v>4.1056034482758623E-2</v>
      </c>
      <c r="CN384" t="e">
        <f>IF(CB384&lt;CJ384,"yes","no")</f>
        <v>#DIV/0!</v>
      </c>
      <c r="CO384" t="e">
        <f>IF(CC384&lt;CK384,"yes","no")</f>
        <v>#DIV/0!</v>
      </c>
      <c r="CP384" t="e">
        <f>IF(CD384&lt;CL384,"yes","no")</f>
        <v>#DIV/0!</v>
      </c>
      <c r="CQ384" t="e">
        <f>IF(CE384&lt;CM384,"yes","no")</f>
        <v>#DIV/0!</v>
      </c>
      <c r="CR384" t="e">
        <f>TTEST(AS384:AW384,AD384:AH384,2,2)</f>
        <v>#DIV/0!</v>
      </c>
      <c r="CS384" t="e">
        <f>TTEST(AS384:AW384,AN384:AR384,2,2)</f>
        <v>#DIV/0!</v>
      </c>
      <c r="CT384" t="e">
        <f>TTEST(AS384:AW384,AX384:BB384,2,2)</f>
        <v>#DIV/0!</v>
      </c>
      <c r="CU384">
        <v>378</v>
      </c>
      <c r="CV384">
        <v>381</v>
      </c>
      <c r="CW384">
        <v>383</v>
      </c>
      <c r="CX384">
        <f t="shared" si="15"/>
        <v>4.073275862068966E-2</v>
      </c>
      <c r="CY384">
        <f t="shared" si="16"/>
        <v>4.1056034482758623E-2</v>
      </c>
      <c r="CZ384">
        <f t="shared" si="17"/>
        <v>4.1271551724137934E-2</v>
      </c>
      <c r="DA384" t="e">
        <f>IF(CR384&lt;CX384,"yes","no")</f>
        <v>#DIV/0!</v>
      </c>
      <c r="DB384" t="e">
        <f>IF(CS384&lt;CY384,"yes","no")</f>
        <v>#DIV/0!</v>
      </c>
      <c r="DC384" t="e">
        <f>IF(CT384&lt;CZ384,"yes","no")</f>
        <v>#DIV/0!</v>
      </c>
    </row>
    <row r="385" spans="1:107" x14ac:dyDescent="0.2">
      <c r="A385" s="2" t="b">
        <v>0</v>
      </c>
      <c r="B385" s="2" t="s">
        <v>79</v>
      </c>
      <c r="C385" s="2" t="s">
        <v>80</v>
      </c>
      <c r="D385" s="2" t="s">
        <v>1400</v>
      </c>
      <c r="E385" s="2" t="s">
        <v>1401</v>
      </c>
      <c r="F385" s="2">
        <v>1</v>
      </c>
      <c r="G385" s="2">
        <v>1</v>
      </c>
      <c r="H385" s="2">
        <v>208.2</v>
      </c>
      <c r="I385" s="2">
        <v>4.92</v>
      </c>
      <c r="J385" s="2" t="s">
        <v>362</v>
      </c>
      <c r="K385" s="2" t="s">
        <v>1300</v>
      </c>
      <c r="L385" s="2" t="s">
        <v>83</v>
      </c>
      <c r="M385" s="2" t="s">
        <v>1402</v>
      </c>
      <c r="N385" s="2" t="s">
        <v>1400</v>
      </c>
      <c r="O385" s="2" t="s">
        <v>83</v>
      </c>
      <c r="P385" s="2" t="s">
        <v>83</v>
      </c>
      <c r="Q385" s="2" t="s">
        <v>83</v>
      </c>
      <c r="R385" s="2" t="s">
        <v>83</v>
      </c>
      <c r="S385" s="2" t="s">
        <v>83</v>
      </c>
      <c r="T385" s="2" t="s">
        <v>83</v>
      </c>
      <c r="U385" s="2" t="s">
        <v>83</v>
      </c>
      <c r="V385" s="2" t="s">
        <v>83</v>
      </c>
      <c r="W385" s="2" t="s">
        <v>83</v>
      </c>
      <c r="X385" s="2" t="s">
        <v>83</v>
      </c>
      <c r="Y385" s="2" t="s">
        <v>83</v>
      </c>
      <c r="Z385" s="2" t="s">
        <v>83</v>
      </c>
      <c r="AA385" s="2" t="s">
        <v>83</v>
      </c>
      <c r="AB385" s="2" t="s">
        <v>83</v>
      </c>
      <c r="AC385" s="2" t="s">
        <v>83</v>
      </c>
      <c r="AD385" s="2" t="s">
        <v>83</v>
      </c>
      <c r="AE385" s="2" t="s">
        <v>83</v>
      </c>
      <c r="AF385" s="2" t="s">
        <v>83</v>
      </c>
      <c r="AG385" s="2" t="s">
        <v>83</v>
      </c>
      <c r="AH385" s="2" t="s">
        <v>83</v>
      </c>
      <c r="AI385" s="2" t="s">
        <v>83</v>
      </c>
      <c r="AJ385" s="2" t="s">
        <v>83</v>
      </c>
      <c r="AK385" s="2" t="s">
        <v>83</v>
      </c>
      <c r="AL385" s="2" t="s">
        <v>83</v>
      </c>
      <c r="AM385" s="2" t="s">
        <v>83</v>
      </c>
      <c r="AN385" s="2" t="s">
        <v>83</v>
      </c>
      <c r="AO385" s="2" t="s">
        <v>83</v>
      </c>
      <c r="AP385" s="2" t="s">
        <v>83</v>
      </c>
      <c r="AQ385" s="2" t="s">
        <v>83</v>
      </c>
      <c r="AR385" s="2" t="s">
        <v>83</v>
      </c>
      <c r="AS385" s="2" t="s">
        <v>83</v>
      </c>
      <c r="AT385" s="2" t="s">
        <v>83</v>
      </c>
      <c r="AU385" s="2" t="s">
        <v>83</v>
      </c>
      <c r="AV385" s="2" t="s">
        <v>83</v>
      </c>
      <c r="AW385" s="2" t="s">
        <v>83</v>
      </c>
      <c r="AX385" s="2" t="s">
        <v>83</v>
      </c>
      <c r="AY385" s="2" t="s">
        <v>83</v>
      </c>
      <c r="AZ385" s="2" t="s">
        <v>83</v>
      </c>
      <c r="BA385" s="2" t="s">
        <v>83</v>
      </c>
      <c r="BB385" s="2" t="s">
        <v>83</v>
      </c>
      <c r="BC385" s="2" t="s">
        <v>98</v>
      </c>
      <c r="BD385" s="2" t="s">
        <v>98</v>
      </c>
      <c r="BE385" s="2" t="s">
        <v>98</v>
      </c>
      <c r="BF385" s="2" t="s">
        <v>98</v>
      </c>
      <c r="BG385" s="2" t="s">
        <v>98</v>
      </c>
      <c r="BH385" s="2" t="s">
        <v>98</v>
      </c>
      <c r="BI385" s="2" t="s">
        <v>98</v>
      </c>
      <c r="BJ385" s="2" t="s">
        <v>98</v>
      </c>
      <c r="BK385" s="2" t="s">
        <v>98</v>
      </c>
      <c r="BL385" s="2" t="s">
        <v>98</v>
      </c>
      <c r="BM385" s="2" t="s">
        <v>98</v>
      </c>
      <c r="BN385" s="2" t="s">
        <v>98</v>
      </c>
      <c r="BO385" s="2" t="s">
        <v>98</v>
      </c>
      <c r="BP385" s="2" t="s">
        <v>98</v>
      </c>
      <c r="BQ385" s="2" t="s">
        <v>98</v>
      </c>
      <c r="BR385" s="2" t="s">
        <v>98</v>
      </c>
      <c r="BS385" s="2" t="s">
        <v>98</v>
      </c>
      <c r="BT385" s="2" t="s">
        <v>98</v>
      </c>
      <c r="BU385" s="2" t="s">
        <v>98</v>
      </c>
      <c r="BV385" s="2" t="s">
        <v>98</v>
      </c>
      <c r="BW385" s="2" t="s">
        <v>98</v>
      </c>
      <c r="BX385" s="2" t="s">
        <v>98</v>
      </c>
      <c r="BY385" s="2" t="s">
        <v>98</v>
      </c>
      <c r="BZ385" s="2" t="s">
        <v>79</v>
      </c>
      <c r="CA385" s="2" t="s">
        <v>98</v>
      </c>
      <c r="CB385" t="e">
        <f>TTEST(AS385:AW385,AI385:AM385,2,2)</f>
        <v>#DIV/0!</v>
      </c>
      <c r="CC385" t="e">
        <f>TTEST(AD385:AH385,AI385:AM385,2,2)</f>
        <v>#DIV/0!</v>
      </c>
      <c r="CD385" t="e">
        <f>TTEST(AN385:AR385,AI385:AM385,2,2)</f>
        <v>#DIV/0!</v>
      </c>
      <c r="CE385" t="e">
        <f>TTEST(AX385:BB385,AI385:AM385,2,2)</f>
        <v>#DIV/0!</v>
      </c>
      <c r="CF385">
        <v>361</v>
      </c>
      <c r="CG385">
        <v>375</v>
      </c>
      <c r="CH385">
        <v>379</v>
      </c>
      <c r="CI385">
        <v>382</v>
      </c>
      <c r="CJ385">
        <f>0.05*CF385/464</f>
        <v>3.8900862068965522E-2</v>
      </c>
      <c r="CK385">
        <f>0.05*CG385/464</f>
        <v>4.0409482758620691E-2</v>
      </c>
      <c r="CL385">
        <f>0.05*CH385/464</f>
        <v>4.0840517241379312E-2</v>
      </c>
      <c r="CM385">
        <f>0.05*CI385/464</f>
        <v>4.1163793103448282E-2</v>
      </c>
      <c r="CN385" t="e">
        <f>IF(CB385&lt;CJ385,"yes","no")</f>
        <v>#DIV/0!</v>
      </c>
      <c r="CO385" t="e">
        <f>IF(CC385&lt;CK385,"yes","no")</f>
        <v>#DIV/0!</v>
      </c>
      <c r="CP385" t="e">
        <f>IF(CD385&lt;CL385,"yes","no")</f>
        <v>#DIV/0!</v>
      </c>
      <c r="CQ385" t="e">
        <f>IF(CE385&lt;CM385,"yes","no")</f>
        <v>#DIV/0!</v>
      </c>
      <c r="CR385" t="e">
        <f>TTEST(AS385:AW385,AD385:AH385,2,2)</f>
        <v>#DIV/0!</v>
      </c>
      <c r="CS385" t="e">
        <f>TTEST(AS385:AW385,AN385:AR385,2,2)</f>
        <v>#DIV/0!</v>
      </c>
      <c r="CT385" t="e">
        <f>TTEST(AS385:AW385,AX385:BB385,2,2)</f>
        <v>#DIV/0!</v>
      </c>
      <c r="CU385">
        <v>379</v>
      </c>
      <c r="CV385">
        <v>382</v>
      </c>
      <c r="CW385">
        <v>384</v>
      </c>
      <c r="CX385">
        <f t="shared" si="15"/>
        <v>4.0840517241379312E-2</v>
      </c>
      <c r="CY385">
        <f t="shared" si="16"/>
        <v>4.1163793103448282E-2</v>
      </c>
      <c r="CZ385">
        <f t="shared" si="17"/>
        <v>4.1379310344827593E-2</v>
      </c>
      <c r="DA385" t="e">
        <f>IF(CR385&lt;CX385,"yes","no")</f>
        <v>#DIV/0!</v>
      </c>
      <c r="DB385" t="e">
        <f>IF(CS385&lt;CY385,"yes","no")</f>
        <v>#DIV/0!</v>
      </c>
      <c r="DC385" t="e">
        <f>IF(CT385&lt;CZ385,"yes","no")</f>
        <v>#DIV/0!</v>
      </c>
    </row>
    <row r="386" spans="1:107" x14ac:dyDescent="0.2">
      <c r="A386" s="2" t="b">
        <v>0</v>
      </c>
      <c r="B386" s="2" t="s">
        <v>79</v>
      </c>
      <c r="C386" s="2" t="s">
        <v>80</v>
      </c>
      <c r="D386" s="2" t="s">
        <v>1415</v>
      </c>
      <c r="E386" s="2" t="s">
        <v>1416</v>
      </c>
      <c r="F386" s="2">
        <v>1</v>
      </c>
      <c r="G386" s="2">
        <v>1</v>
      </c>
      <c r="H386" s="2">
        <v>54.4</v>
      </c>
      <c r="I386" s="2">
        <v>6.62</v>
      </c>
      <c r="J386" s="2" t="s">
        <v>1417</v>
      </c>
      <c r="K386" s="2" t="s">
        <v>1418</v>
      </c>
      <c r="L386" s="2" t="s">
        <v>375</v>
      </c>
      <c r="M386" s="2" t="s">
        <v>1419</v>
      </c>
      <c r="N386" s="2" t="s">
        <v>1420</v>
      </c>
      <c r="O386" s="2" t="s">
        <v>83</v>
      </c>
      <c r="P386" s="2" t="s">
        <v>83</v>
      </c>
      <c r="Q386" s="2" t="s">
        <v>83</v>
      </c>
      <c r="R386" s="2" t="s">
        <v>83</v>
      </c>
      <c r="S386" s="2" t="s">
        <v>83</v>
      </c>
      <c r="T386" s="2" t="s">
        <v>83</v>
      </c>
      <c r="U386" s="2" t="s">
        <v>83</v>
      </c>
      <c r="V386" s="2" t="s">
        <v>83</v>
      </c>
      <c r="W386" s="2" t="s">
        <v>83</v>
      </c>
      <c r="X386" s="2" t="s">
        <v>83</v>
      </c>
      <c r="Y386" s="2" t="s">
        <v>83</v>
      </c>
      <c r="Z386" s="2" t="s">
        <v>83</v>
      </c>
      <c r="AA386" s="2" t="s">
        <v>83</v>
      </c>
      <c r="AB386" s="2" t="s">
        <v>83</v>
      </c>
      <c r="AC386" s="2" t="s">
        <v>83</v>
      </c>
      <c r="AD386" s="2" t="s">
        <v>83</v>
      </c>
      <c r="AE386" s="2" t="s">
        <v>83</v>
      </c>
      <c r="AF386" s="2" t="s">
        <v>83</v>
      </c>
      <c r="AG386" s="2" t="s">
        <v>83</v>
      </c>
      <c r="AH386" s="2" t="s">
        <v>83</v>
      </c>
      <c r="AI386" s="2" t="s">
        <v>83</v>
      </c>
      <c r="AJ386" s="2" t="s">
        <v>83</v>
      </c>
      <c r="AK386" s="2" t="s">
        <v>83</v>
      </c>
      <c r="AL386" s="2" t="s">
        <v>83</v>
      </c>
      <c r="AM386" s="2" t="s">
        <v>83</v>
      </c>
      <c r="AN386" s="2" t="s">
        <v>83</v>
      </c>
      <c r="AO386" s="2" t="s">
        <v>83</v>
      </c>
      <c r="AP386" s="2" t="s">
        <v>83</v>
      </c>
      <c r="AQ386" s="2" t="s">
        <v>83</v>
      </c>
      <c r="AR386" s="2" t="s">
        <v>83</v>
      </c>
      <c r="AS386" s="2" t="s">
        <v>83</v>
      </c>
      <c r="AT386" s="2" t="s">
        <v>83</v>
      </c>
      <c r="AU386" s="2" t="s">
        <v>83</v>
      </c>
      <c r="AV386" s="2" t="s">
        <v>83</v>
      </c>
      <c r="AW386" s="2" t="s">
        <v>83</v>
      </c>
      <c r="AX386" s="2" t="s">
        <v>83</v>
      </c>
      <c r="AY386" s="2" t="s">
        <v>83</v>
      </c>
      <c r="AZ386" s="2" t="s">
        <v>83</v>
      </c>
      <c r="BA386" s="2" t="s">
        <v>83</v>
      </c>
      <c r="BB386" s="2" t="s">
        <v>83</v>
      </c>
      <c r="BC386" s="2" t="s">
        <v>79</v>
      </c>
      <c r="BD386" s="2" t="s">
        <v>98</v>
      </c>
      <c r="BE386" s="2" t="s">
        <v>79</v>
      </c>
      <c r="BF386" s="2" t="s">
        <v>98</v>
      </c>
      <c r="BG386" s="2" t="s">
        <v>98</v>
      </c>
      <c r="BH386" s="2" t="s">
        <v>98</v>
      </c>
      <c r="BI386" s="2" t="s">
        <v>98</v>
      </c>
      <c r="BJ386" s="2" t="s">
        <v>98</v>
      </c>
      <c r="BK386" s="2" t="s">
        <v>98</v>
      </c>
      <c r="BL386" s="2" t="s">
        <v>98</v>
      </c>
      <c r="BM386" s="2" t="s">
        <v>98</v>
      </c>
      <c r="BN386" s="2" t="s">
        <v>98</v>
      </c>
      <c r="BO386" s="2" t="s">
        <v>98</v>
      </c>
      <c r="BP386" s="2" t="s">
        <v>98</v>
      </c>
      <c r="BQ386" s="2" t="s">
        <v>98</v>
      </c>
      <c r="BR386" s="2" t="s">
        <v>98</v>
      </c>
      <c r="BS386" s="2" t="s">
        <v>98</v>
      </c>
      <c r="BT386" s="2" t="s">
        <v>98</v>
      </c>
      <c r="BU386" s="2" t="s">
        <v>98</v>
      </c>
      <c r="BV386" s="2" t="s">
        <v>98</v>
      </c>
      <c r="BW386" s="2" t="s">
        <v>98</v>
      </c>
      <c r="BX386" s="2" t="s">
        <v>98</v>
      </c>
      <c r="BY386" s="2" t="s">
        <v>98</v>
      </c>
      <c r="BZ386" s="2" t="s">
        <v>98</v>
      </c>
      <c r="CA386" s="2" t="s">
        <v>98</v>
      </c>
      <c r="CB386" t="e">
        <f>TTEST(AS386:AW386,AI386:AM386,2,2)</f>
        <v>#DIV/0!</v>
      </c>
      <c r="CC386" t="e">
        <f>TTEST(AD386:AH386,AI386:AM386,2,2)</f>
        <v>#DIV/0!</v>
      </c>
      <c r="CD386" t="e">
        <f>TTEST(AN386:AR386,AI386:AM386,2,2)</f>
        <v>#DIV/0!</v>
      </c>
      <c r="CE386" t="e">
        <f>TTEST(AX386:BB386,AI386:AM386,2,2)</f>
        <v>#DIV/0!</v>
      </c>
      <c r="CF386">
        <v>362</v>
      </c>
      <c r="CG386">
        <v>376</v>
      </c>
      <c r="CH386">
        <v>380</v>
      </c>
      <c r="CI386">
        <v>383</v>
      </c>
      <c r="CJ386">
        <f>0.05*CF386/464</f>
        <v>3.9008620689655174E-2</v>
      </c>
      <c r="CK386">
        <f>0.05*CG386/464</f>
        <v>4.0517241379310349E-2</v>
      </c>
      <c r="CL386">
        <f>0.05*CH386/464</f>
        <v>4.0948275862068964E-2</v>
      </c>
      <c r="CM386">
        <f>0.05*CI386/464</f>
        <v>4.1271551724137934E-2</v>
      </c>
      <c r="CN386" t="e">
        <f>IF(CB386&lt;CJ386,"yes","no")</f>
        <v>#DIV/0!</v>
      </c>
      <c r="CO386" t="e">
        <f>IF(CC386&lt;CK386,"yes","no")</f>
        <v>#DIV/0!</v>
      </c>
      <c r="CP386" t="e">
        <f>IF(CD386&lt;CL386,"yes","no")</f>
        <v>#DIV/0!</v>
      </c>
      <c r="CQ386" t="e">
        <f>IF(CE386&lt;CM386,"yes","no")</f>
        <v>#DIV/0!</v>
      </c>
      <c r="CR386" t="e">
        <f>TTEST(AS386:AW386,AD386:AH386,2,2)</f>
        <v>#DIV/0!</v>
      </c>
      <c r="CS386" t="e">
        <f>TTEST(AS386:AW386,AN386:AR386,2,2)</f>
        <v>#DIV/0!</v>
      </c>
      <c r="CT386" t="e">
        <f>TTEST(AS386:AW386,AX386:BB386,2,2)</f>
        <v>#DIV/0!</v>
      </c>
      <c r="CU386">
        <v>380</v>
      </c>
      <c r="CV386">
        <v>383</v>
      </c>
      <c r="CW386">
        <v>385</v>
      </c>
      <c r="CX386">
        <f t="shared" si="15"/>
        <v>4.0948275862068964E-2</v>
      </c>
      <c r="CY386">
        <f t="shared" si="16"/>
        <v>4.1271551724137934E-2</v>
      </c>
      <c r="CZ386">
        <f t="shared" si="17"/>
        <v>4.1487068965517244E-2</v>
      </c>
      <c r="DA386" t="e">
        <f>IF(CR386&lt;CX386,"yes","no")</f>
        <v>#DIV/0!</v>
      </c>
      <c r="DB386" t="e">
        <f>IF(CS386&lt;CY386,"yes","no")</f>
        <v>#DIV/0!</v>
      </c>
      <c r="DC386" t="e">
        <f>IF(CT386&lt;CZ386,"yes","no")</f>
        <v>#DIV/0!</v>
      </c>
    </row>
    <row r="387" spans="1:107" x14ac:dyDescent="0.2">
      <c r="A387" s="2" t="b">
        <v>0</v>
      </c>
      <c r="B387" s="2" t="s">
        <v>79</v>
      </c>
      <c r="C387" s="2" t="s">
        <v>80</v>
      </c>
      <c r="D387" s="2" t="s">
        <v>1439</v>
      </c>
      <c r="E387" s="2" t="s">
        <v>1440</v>
      </c>
      <c r="F387" s="2">
        <v>1</v>
      </c>
      <c r="G387" s="2">
        <v>1</v>
      </c>
      <c r="H387" s="2">
        <v>39.6</v>
      </c>
      <c r="I387" s="2">
        <v>4.58</v>
      </c>
      <c r="J387" s="2" t="s">
        <v>83</v>
      </c>
      <c r="K387" s="2" t="s">
        <v>83</v>
      </c>
      <c r="L387" s="2" t="s">
        <v>83</v>
      </c>
      <c r="M387" s="2" t="s">
        <v>1441</v>
      </c>
      <c r="N387" s="2" t="s">
        <v>1439</v>
      </c>
      <c r="O387" s="2" t="s">
        <v>83</v>
      </c>
      <c r="P387" s="2" t="s">
        <v>83</v>
      </c>
      <c r="Q387" s="2" t="s">
        <v>83</v>
      </c>
      <c r="R387" s="2" t="s">
        <v>83</v>
      </c>
      <c r="S387" s="2" t="s">
        <v>83</v>
      </c>
      <c r="T387" s="2" t="s">
        <v>83</v>
      </c>
      <c r="U387" s="2" t="s">
        <v>83</v>
      </c>
      <c r="V387" s="2" t="s">
        <v>83</v>
      </c>
      <c r="W387" s="2" t="s">
        <v>83</v>
      </c>
      <c r="X387" s="2" t="s">
        <v>83</v>
      </c>
      <c r="Y387" s="2" t="s">
        <v>83</v>
      </c>
      <c r="Z387" s="2" t="s">
        <v>83</v>
      </c>
      <c r="AA387" s="2" t="s">
        <v>83</v>
      </c>
      <c r="AB387" s="2" t="s">
        <v>83</v>
      </c>
      <c r="AC387" s="2" t="s">
        <v>83</v>
      </c>
      <c r="AD387" s="2" t="s">
        <v>83</v>
      </c>
      <c r="AE387" s="2" t="s">
        <v>83</v>
      </c>
      <c r="AF387" s="2" t="s">
        <v>83</v>
      </c>
      <c r="AG387" s="2" t="s">
        <v>83</v>
      </c>
      <c r="AH387" s="2" t="s">
        <v>83</v>
      </c>
      <c r="AI387" s="2" t="s">
        <v>83</v>
      </c>
      <c r="AJ387" s="2" t="s">
        <v>83</v>
      </c>
      <c r="AK387" s="2" t="s">
        <v>83</v>
      </c>
      <c r="AL387" s="2" t="s">
        <v>83</v>
      </c>
      <c r="AM387" s="2" t="s">
        <v>83</v>
      </c>
      <c r="AN387" s="2" t="s">
        <v>83</v>
      </c>
      <c r="AO387" s="2" t="s">
        <v>83</v>
      </c>
      <c r="AP387" s="2" t="s">
        <v>83</v>
      </c>
      <c r="AQ387" s="2" t="s">
        <v>83</v>
      </c>
      <c r="AR387" s="2" t="s">
        <v>83</v>
      </c>
      <c r="AS387" s="2" t="s">
        <v>83</v>
      </c>
      <c r="AT387" s="2" t="s">
        <v>83</v>
      </c>
      <c r="AU387" s="2" t="s">
        <v>83</v>
      </c>
      <c r="AV387" s="2" t="s">
        <v>83</v>
      </c>
      <c r="AW387" s="2" t="s">
        <v>83</v>
      </c>
      <c r="AX387" s="2" t="s">
        <v>83</v>
      </c>
      <c r="AY387" s="2" t="s">
        <v>83</v>
      </c>
      <c r="AZ387" s="2" t="s">
        <v>83</v>
      </c>
      <c r="BA387" s="2" t="s">
        <v>83</v>
      </c>
      <c r="BB387" s="2" t="s">
        <v>83</v>
      </c>
      <c r="BC387" s="2" t="s">
        <v>98</v>
      </c>
      <c r="BD387" s="2" t="s">
        <v>98</v>
      </c>
      <c r="BE387" s="2" t="s">
        <v>98</v>
      </c>
      <c r="BF387" s="2" t="s">
        <v>98</v>
      </c>
      <c r="BG387" s="2" t="s">
        <v>98</v>
      </c>
      <c r="BH387" s="2" t="s">
        <v>98</v>
      </c>
      <c r="BI387" s="2" t="s">
        <v>98</v>
      </c>
      <c r="BJ387" s="2" t="s">
        <v>98</v>
      </c>
      <c r="BK387" s="2" t="s">
        <v>98</v>
      </c>
      <c r="BL387" s="2" t="s">
        <v>98</v>
      </c>
      <c r="BM387" s="2" t="s">
        <v>98</v>
      </c>
      <c r="BN387" s="2" t="s">
        <v>98</v>
      </c>
      <c r="BO387" s="2" t="s">
        <v>98</v>
      </c>
      <c r="BP387" s="2" t="s">
        <v>98</v>
      </c>
      <c r="BQ387" s="2" t="s">
        <v>98</v>
      </c>
      <c r="BR387" s="2" t="s">
        <v>79</v>
      </c>
      <c r="BS387" s="2" t="s">
        <v>98</v>
      </c>
      <c r="BT387" s="2" t="s">
        <v>98</v>
      </c>
      <c r="BU387" s="2" t="s">
        <v>98</v>
      </c>
      <c r="BV387" s="2" t="s">
        <v>98</v>
      </c>
      <c r="BW387" s="2" t="s">
        <v>98</v>
      </c>
      <c r="BX387" s="2" t="s">
        <v>98</v>
      </c>
      <c r="BY387" s="2" t="s">
        <v>98</v>
      </c>
      <c r="BZ387" s="2" t="s">
        <v>98</v>
      </c>
      <c r="CA387" s="2" t="s">
        <v>98</v>
      </c>
      <c r="CB387" t="e">
        <f>TTEST(AS387:AW387,AI387:AM387,2,2)</f>
        <v>#DIV/0!</v>
      </c>
      <c r="CC387" t="e">
        <f>TTEST(AD387:AH387,AI387:AM387,2,2)</f>
        <v>#DIV/0!</v>
      </c>
      <c r="CD387" t="e">
        <f>TTEST(AN387:AR387,AI387:AM387,2,2)</f>
        <v>#DIV/0!</v>
      </c>
      <c r="CE387" t="e">
        <f>TTEST(AX387:BB387,AI387:AM387,2,2)</f>
        <v>#DIV/0!</v>
      </c>
      <c r="CF387">
        <v>363</v>
      </c>
      <c r="CG387">
        <v>377</v>
      </c>
      <c r="CH387">
        <v>381</v>
      </c>
      <c r="CI387">
        <v>384</v>
      </c>
      <c r="CJ387">
        <f>0.05*CF387/464</f>
        <v>3.9116379310344833E-2</v>
      </c>
      <c r="CK387">
        <f>0.05*CG387/464</f>
        <v>4.0625000000000001E-2</v>
      </c>
      <c r="CL387">
        <f>0.05*CH387/464</f>
        <v>4.1056034482758623E-2</v>
      </c>
      <c r="CM387">
        <f>0.05*CI387/464</f>
        <v>4.1379310344827593E-2</v>
      </c>
      <c r="CN387" t="e">
        <f>IF(CB387&lt;CJ387,"yes","no")</f>
        <v>#DIV/0!</v>
      </c>
      <c r="CO387" t="e">
        <f>IF(CC387&lt;CK387,"yes","no")</f>
        <v>#DIV/0!</v>
      </c>
      <c r="CP387" t="e">
        <f>IF(CD387&lt;CL387,"yes","no")</f>
        <v>#DIV/0!</v>
      </c>
      <c r="CQ387" t="e">
        <f>IF(CE387&lt;CM387,"yes","no")</f>
        <v>#DIV/0!</v>
      </c>
      <c r="CR387" t="e">
        <f>TTEST(AS387:AW387,AD387:AH387,2,2)</f>
        <v>#DIV/0!</v>
      </c>
      <c r="CS387" t="e">
        <f>TTEST(AS387:AW387,AN387:AR387,2,2)</f>
        <v>#DIV/0!</v>
      </c>
      <c r="CT387" t="e">
        <f>TTEST(AS387:AW387,AX387:BB387,2,2)</f>
        <v>#DIV/0!</v>
      </c>
      <c r="CU387">
        <v>381</v>
      </c>
      <c r="CV387">
        <v>384</v>
      </c>
      <c r="CW387">
        <v>386</v>
      </c>
      <c r="CX387">
        <f t="shared" ref="CX387:CX450" si="18">0.05*CU387/464</f>
        <v>4.1056034482758623E-2</v>
      </c>
      <c r="CY387">
        <f t="shared" ref="CY387:CY450" si="19">0.05*CV387/464</f>
        <v>4.1379310344827593E-2</v>
      </c>
      <c r="CZ387">
        <f t="shared" ref="CZ387:CZ450" si="20">0.05*CW387/464</f>
        <v>4.1594827586206896E-2</v>
      </c>
      <c r="DA387" t="e">
        <f>IF(CR387&lt;CX387,"yes","no")</f>
        <v>#DIV/0!</v>
      </c>
      <c r="DB387" t="e">
        <f>IF(CS387&lt;CY387,"yes","no")</f>
        <v>#DIV/0!</v>
      </c>
      <c r="DC387" t="e">
        <f>IF(CT387&lt;CZ387,"yes","no")</f>
        <v>#DIV/0!</v>
      </c>
    </row>
    <row r="388" spans="1:107" x14ac:dyDescent="0.2">
      <c r="A388" s="2" t="b">
        <v>0</v>
      </c>
      <c r="B388" s="2" t="s">
        <v>79</v>
      </c>
      <c r="C388" s="2" t="s">
        <v>80</v>
      </c>
      <c r="D388" s="2" t="s">
        <v>1442</v>
      </c>
      <c r="E388" s="2" t="s">
        <v>1443</v>
      </c>
      <c r="F388" s="2">
        <v>1</v>
      </c>
      <c r="G388" s="2">
        <v>1</v>
      </c>
      <c r="H388" s="2">
        <v>31.6</v>
      </c>
      <c r="I388" s="2">
        <v>7.66</v>
      </c>
      <c r="J388" s="2" t="s">
        <v>1393</v>
      </c>
      <c r="K388" s="2" t="s">
        <v>136</v>
      </c>
      <c r="L388" s="2" t="s">
        <v>119</v>
      </c>
      <c r="M388" s="2" t="s">
        <v>83</v>
      </c>
      <c r="N388" s="2" t="s">
        <v>1442</v>
      </c>
      <c r="O388" s="2" t="s">
        <v>83</v>
      </c>
      <c r="P388" s="2" t="s">
        <v>83</v>
      </c>
      <c r="Q388" s="2" t="s">
        <v>83</v>
      </c>
      <c r="R388" s="2" t="s">
        <v>83</v>
      </c>
      <c r="S388" s="2" t="s">
        <v>83</v>
      </c>
      <c r="T388" s="2" t="s">
        <v>83</v>
      </c>
      <c r="U388" s="2" t="s">
        <v>83</v>
      </c>
      <c r="V388" s="2" t="s">
        <v>83</v>
      </c>
      <c r="W388" s="2" t="s">
        <v>83</v>
      </c>
      <c r="X388" s="2" t="s">
        <v>83</v>
      </c>
      <c r="Y388" s="2" t="s">
        <v>83</v>
      </c>
      <c r="Z388" s="2" t="s">
        <v>83</v>
      </c>
      <c r="AA388" s="2" t="s">
        <v>83</v>
      </c>
      <c r="AB388" s="2" t="s">
        <v>83</v>
      </c>
      <c r="AC388" s="2" t="s">
        <v>83</v>
      </c>
      <c r="AD388" s="2" t="s">
        <v>83</v>
      </c>
      <c r="AE388" s="2" t="s">
        <v>83</v>
      </c>
      <c r="AF388" s="2" t="s">
        <v>83</v>
      </c>
      <c r="AG388" s="2" t="s">
        <v>83</v>
      </c>
      <c r="AH388" s="2" t="s">
        <v>83</v>
      </c>
      <c r="AI388" s="2" t="s">
        <v>83</v>
      </c>
      <c r="AJ388" s="2" t="s">
        <v>83</v>
      </c>
      <c r="AK388" s="2" t="s">
        <v>83</v>
      </c>
      <c r="AL388" s="2" t="s">
        <v>83</v>
      </c>
      <c r="AM388" s="2" t="s">
        <v>83</v>
      </c>
      <c r="AN388" s="2" t="s">
        <v>83</v>
      </c>
      <c r="AO388" s="2" t="s">
        <v>83</v>
      </c>
      <c r="AP388" s="2" t="s">
        <v>83</v>
      </c>
      <c r="AQ388" s="2" t="s">
        <v>83</v>
      </c>
      <c r="AR388" s="2" t="s">
        <v>83</v>
      </c>
      <c r="AS388" s="2" t="s">
        <v>83</v>
      </c>
      <c r="AT388" s="2" t="s">
        <v>83</v>
      </c>
      <c r="AU388" s="2" t="s">
        <v>83</v>
      </c>
      <c r="AV388" s="2" t="s">
        <v>83</v>
      </c>
      <c r="AW388" s="2" t="s">
        <v>83</v>
      </c>
      <c r="AX388" s="2" t="s">
        <v>83</v>
      </c>
      <c r="AY388" s="2" t="s">
        <v>83</v>
      </c>
      <c r="AZ388" s="2" t="s">
        <v>83</v>
      </c>
      <c r="BA388" s="2" t="s">
        <v>83</v>
      </c>
      <c r="BB388" s="2" t="s">
        <v>83</v>
      </c>
      <c r="BC388" s="2" t="s">
        <v>98</v>
      </c>
      <c r="BD388" s="2" t="s">
        <v>98</v>
      </c>
      <c r="BE388" s="2" t="s">
        <v>98</v>
      </c>
      <c r="BF388" s="2" t="s">
        <v>98</v>
      </c>
      <c r="BG388" s="2" t="s">
        <v>98</v>
      </c>
      <c r="BH388" s="2" t="s">
        <v>98</v>
      </c>
      <c r="BI388" s="2" t="s">
        <v>98</v>
      </c>
      <c r="BJ388" s="2" t="s">
        <v>98</v>
      </c>
      <c r="BK388" s="2" t="s">
        <v>98</v>
      </c>
      <c r="BL388" s="2" t="s">
        <v>98</v>
      </c>
      <c r="BM388" s="2" t="s">
        <v>98</v>
      </c>
      <c r="BN388" s="2" t="s">
        <v>98</v>
      </c>
      <c r="BO388" s="2" t="s">
        <v>98</v>
      </c>
      <c r="BP388" s="2" t="s">
        <v>98</v>
      </c>
      <c r="BQ388" s="2" t="s">
        <v>98</v>
      </c>
      <c r="BR388" s="2" t="s">
        <v>98</v>
      </c>
      <c r="BS388" s="2" t="s">
        <v>98</v>
      </c>
      <c r="BT388" s="2" t="s">
        <v>98</v>
      </c>
      <c r="BU388" s="2" t="s">
        <v>98</v>
      </c>
      <c r="BV388" s="2" t="s">
        <v>98</v>
      </c>
      <c r="BW388" s="2" t="s">
        <v>98</v>
      </c>
      <c r="BX388" s="2" t="s">
        <v>98</v>
      </c>
      <c r="BY388" s="2" t="s">
        <v>98</v>
      </c>
      <c r="BZ388" s="2" t="s">
        <v>98</v>
      </c>
      <c r="CA388" s="2" t="s">
        <v>79</v>
      </c>
      <c r="CB388" t="e">
        <f>TTEST(AS388:AW388,AI388:AM388,2,2)</f>
        <v>#DIV/0!</v>
      </c>
      <c r="CC388" t="e">
        <f>TTEST(AD388:AH388,AI388:AM388,2,2)</f>
        <v>#DIV/0!</v>
      </c>
      <c r="CD388" t="e">
        <f>TTEST(AN388:AR388,AI388:AM388,2,2)</f>
        <v>#DIV/0!</v>
      </c>
      <c r="CE388" t="e">
        <f>TTEST(AX388:BB388,AI388:AM388,2,2)</f>
        <v>#DIV/0!</v>
      </c>
      <c r="CF388">
        <v>364</v>
      </c>
      <c r="CG388">
        <v>378</v>
      </c>
      <c r="CH388">
        <v>382</v>
      </c>
      <c r="CI388">
        <v>385</v>
      </c>
      <c r="CJ388">
        <f>0.05*CF388/464</f>
        <v>3.9224137931034478E-2</v>
      </c>
      <c r="CK388">
        <f>0.05*CG388/464</f>
        <v>4.073275862068966E-2</v>
      </c>
      <c r="CL388">
        <f>0.05*CH388/464</f>
        <v>4.1163793103448282E-2</v>
      </c>
      <c r="CM388">
        <f>0.05*CI388/464</f>
        <v>4.1487068965517244E-2</v>
      </c>
      <c r="CN388" t="e">
        <f>IF(CB388&lt;CJ388,"yes","no")</f>
        <v>#DIV/0!</v>
      </c>
      <c r="CO388" t="e">
        <f>IF(CC388&lt;CK388,"yes","no")</f>
        <v>#DIV/0!</v>
      </c>
      <c r="CP388" t="e">
        <f>IF(CD388&lt;CL388,"yes","no")</f>
        <v>#DIV/0!</v>
      </c>
      <c r="CQ388" t="e">
        <f>IF(CE388&lt;CM388,"yes","no")</f>
        <v>#DIV/0!</v>
      </c>
      <c r="CR388" t="e">
        <f>TTEST(AS388:AW388,AD388:AH388,2,2)</f>
        <v>#DIV/0!</v>
      </c>
      <c r="CS388" t="e">
        <f>TTEST(AS388:AW388,AN388:AR388,2,2)</f>
        <v>#DIV/0!</v>
      </c>
      <c r="CT388" t="e">
        <f>TTEST(AS388:AW388,AX388:BB388,2,2)</f>
        <v>#DIV/0!</v>
      </c>
      <c r="CU388">
        <v>382</v>
      </c>
      <c r="CV388">
        <v>385</v>
      </c>
      <c r="CW388">
        <v>387</v>
      </c>
      <c r="CX388">
        <f t="shared" si="18"/>
        <v>4.1163793103448282E-2</v>
      </c>
      <c r="CY388">
        <f t="shared" si="19"/>
        <v>4.1487068965517244E-2</v>
      </c>
      <c r="CZ388">
        <f t="shared" si="20"/>
        <v>4.1702586206896555E-2</v>
      </c>
      <c r="DA388" t="e">
        <f>IF(CR388&lt;CX388,"yes","no")</f>
        <v>#DIV/0!</v>
      </c>
      <c r="DB388" t="e">
        <f>IF(CS388&lt;CY388,"yes","no")</f>
        <v>#DIV/0!</v>
      </c>
      <c r="DC388" t="e">
        <f>IF(CT388&lt;CZ388,"yes","no")</f>
        <v>#DIV/0!</v>
      </c>
    </row>
    <row r="389" spans="1:107" x14ac:dyDescent="0.2">
      <c r="A389" s="2" t="b">
        <v>0</v>
      </c>
      <c r="B389" s="2" t="s">
        <v>79</v>
      </c>
      <c r="C389" s="2" t="s">
        <v>80</v>
      </c>
      <c r="D389" s="2" t="s">
        <v>1456</v>
      </c>
      <c r="E389" s="2" t="s">
        <v>1457</v>
      </c>
      <c r="F389" s="2">
        <v>1</v>
      </c>
      <c r="G389" s="2">
        <v>1</v>
      </c>
      <c r="H389" s="2">
        <v>13.4</v>
      </c>
      <c r="I389" s="2">
        <v>6.77</v>
      </c>
      <c r="J389" s="2" t="s">
        <v>135</v>
      </c>
      <c r="K389" s="2" t="s">
        <v>84</v>
      </c>
      <c r="L389" s="2" t="s">
        <v>119</v>
      </c>
      <c r="M389" s="2" t="s">
        <v>83</v>
      </c>
      <c r="N389" s="2" t="s">
        <v>1456</v>
      </c>
      <c r="O389" s="2">
        <v>3.1179999999999999</v>
      </c>
      <c r="P389" s="2">
        <v>0.01</v>
      </c>
      <c r="Q389" s="2">
        <v>2.351</v>
      </c>
      <c r="R389" s="2">
        <v>100</v>
      </c>
      <c r="S389" s="2">
        <v>100</v>
      </c>
      <c r="T389" s="2" t="s">
        <v>83</v>
      </c>
      <c r="U389" s="2">
        <v>100</v>
      </c>
      <c r="V389" s="2">
        <v>0.01</v>
      </c>
      <c r="W389" s="2">
        <v>0.751</v>
      </c>
      <c r="X389" s="2">
        <v>100</v>
      </c>
      <c r="Y389" s="2">
        <v>93.8</v>
      </c>
      <c r="Z389" s="2" t="s">
        <v>83</v>
      </c>
      <c r="AA389" s="2">
        <v>219.7</v>
      </c>
      <c r="AB389" s="2" t="s">
        <v>83</v>
      </c>
      <c r="AC389" s="2">
        <v>186.5</v>
      </c>
      <c r="AD389" s="2" t="s">
        <v>83</v>
      </c>
      <c r="AE389" s="2">
        <v>167785.734375</v>
      </c>
      <c r="AF389" s="2">
        <v>153383.171875</v>
      </c>
      <c r="AG389" s="2">
        <v>134714.703125</v>
      </c>
      <c r="AH389" s="2" t="s">
        <v>83</v>
      </c>
      <c r="AI389" s="2" t="s">
        <v>83</v>
      </c>
      <c r="AJ389" s="2" t="s">
        <v>83</v>
      </c>
      <c r="AK389" s="2" t="s">
        <v>83</v>
      </c>
      <c r="AL389" s="2" t="s">
        <v>83</v>
      </c>
      <c r="AM389" s="2" t="s">
        <v>83</v>
      </c>
      <c r="AN389" s="2">
        <v>5798.90234375</v>
      </c>
      <c r="AO389" s="2">
        <v>11182.390625</v>
      </c>
      <c r="AP389" s="2">
        <v>9773.0498046875</v>
      </c>
      <c r="AQ389" s="2" t="s">
        <v>83</v>
      </c>
      <c r="AR389" s="2" t="s">
        <v>83</v>
      </c>
      <c r="AS389" s="2" t="s">
        <v>83</v>
      </c>
      <c r="AT389" s="2" t="s">
        <v>83</v>
      </c>
      <c r="AU389" s="2" t="s">
        <v>83</v>
      </c>
      <c r="AV389" s="2" t="s">
        <v>83</v>
      </c>
      <c r="AW389" s="2" t="s">
        <v>83</v>
      </c>
      <c r="AX389" s="2">
        <v>9876.564453125</v>
      </c>
      <c r="AY389" s="2">
        <v>26807.3671875</v>
      </c>
      <c r="AZ389" s="2" t="s">
        <v>83</v>
      </c>
      <c r="BA389" s="2">
        <v>21025.587890625</v>
      </c>
      <c r="BB389" s="2">
        <v>47046.296875</v>
      </c>
      <c r="BC389" s="2" t="s">
        <v>98</v>
      </c>
      <c r="BD389" s="2" t="s">
        <v>91</v>
      </c>
      <c r="BE389" s="2" t="s">
        <v>91</v>
      </c>
      <c r="BF389" s="2" t="s">
        <v>79</v>
      </c>
      <c r="BG389" s="2" t="s">
        <v>98</v>
      </c>
      <c r="BH389" s="2" t="s">
        <v>98</v>
      </c>
      <c r="BI389" s="2" t="s">
        <v>98</v>
      </c>
      <c r="BJ389" s="2" t="s">
        <v>98</v>
      </c>
      <c r="BK389" s="2" t="s">
        <v>98</v>
      </c>
      <c r="BL389" s="2" t="s">
        <v>98</v>
      </c>
      <c r="BM389" s="2" t="s">
        <v>91</v>
      </c>
      <c r="BN389" s="2" t="s">
        <v>91</v>
      </c>
      <c r="BO389" s="2" t="s">
        <v>91</v>
      </c>
      <c r="BP389" s="2" t="s">
        <v>98</v>
      </c>
      <c r="BQ389" s="2" t="s">
        <v>98</v>
      </c>
      <c r="BR389" s="2" t="s">
        <v>98</v>
      </c>
      <c r="BS389" s="2" t="s">
        <v>98</v>
      </c>
      <c r="BT389" s="2" t="s">
        <v>98</v>
      </c>
      <c r="BU389" s="2" t="s">
        <v>98</v>
      </c>
      <c r="BV389" s="2" t="s">
        <v>98</v>
      </c>
      <c r="BW389" s="2" t="s">
        <v>91</v>
      </c>
      <c r="BX389" s="2" t="s">
        <v>91</v>
      </c>
      <c r="BY389" s="2" t="s">
        <v>98</v>
      </c>
      <c r="BZ389" s="2" t="s">
        <v>91</v>
      </c>
      <c r="CA389" s="2" t="s">
        <v>91</v>
      </c>
      <c r="CB389" t="e">
        <f>TTEST(AS389:AW389,AI389:AM389,2,2)</f>
        <v>#DIV/0!</v>
      </c>
      <c r="CC389" t="e">
        <f>TTEST(AD389:AH389,AI389:AM389,2,2)</f>
        <v>#DIV/0!</v>
      </c>
      <c r="CD389" t="e">
        <f>TTEST(AN389:AR389,AI389:AM389,2,2)</f>
        <v>#DIV/0!</v>
      </c>
      <c r="CE389" t="e">
        <f>TTEST(AX389:BB389,AI389:AM389,2,2)</f>
        <v>#DIV/0!</v>
      </c>
      <c r="CF389">
        <v>365</v>
      </c>
      <c r="CG389">
        <v>379</v>
      </c>
      <c r="CH389">
        <v>383</v>
      </c>
      <c r="CI389">
        <v>386</v>
      </c>
      <c r="CJ389">
        <f>0.05*CF389/464</f>
        <v>3.9331896551724137E-2</v>
      </c>
      <c r="CK389">
        <f>0.05*CG389/464</f>
        <v>4.0840517241379312E-2</v>
      </c>
      <c r="CL389">
        <f>0.05*CH389/464</f>
        <v>4.1271551724137934E-2</v>
      </c>
      <c r="CM389">
        <f>0.05*CI389/464</f>
        <v>4.1594827586206896E-2</v>
      </c>
      <c r="CN389" t="e">
        <f>IF(CB389&lt;CJ389,"yes","no")</f>
        <v>#DIV/0!</v>
      </c>
      <c r="CO389" t="e">
        <f>IF(CC389&lt;CK389,"yes","no")</f>
        <v>#DIV/0!</v>
      </c>
      <c r="CP389" t="e">
        <f>IF(CD389&lt;CL389,"yes","no")</f>
        <v>#DIV/0!</v>
      </c>
      <c r="CQ389" t="e">
        <f>IF(CE389&lt;CM389,"yes","no")</f>
        <v>#DIV/0!</v>
      </c>
      <c r="CR389" t="e">
        <f>TTEST(AS389:AW389,AD389:AH389,2,2)</f>
        <v>#DIV/0!</v>
      </c>
      <c r="CS389" t="e">
        <f>TTEST(AS389:AW389,AN389:AR389,2,2)</f>
        <v>#DIV/0!</v>
      </c>
      <c r="CT389" t="e">
        <f>TTEST(AS389:AW389,AX389:BB389,2,2)</f>
        <v>#DIV/0!</v>
      </c>
      <c r="CU389">
        <v>383</v>
      </c>
      <c r="CV389">
        <v>386</v>
      </c>
      <c r="CW389">
        <v>388</v>
      </c>
      <c r="CX389">
        <f t="shared" si="18"/>
        <v>4.1271551724137934E-2</v>
      </c>
      <c r="CY389">
        <f t="shared" si="19"/>
        <v>4.1594827586206896E-2</v>
      </c>
      <c r="CZ389">
        <f t="shared" si="20"/>
        <v>4.1810344827586214E-2</v>
      </c>
      <c r="DA389" t="e">
        <f>IF(CR389&lt;CX389,"yes","no")</f>
        <v>#DIV/0!</v>
      </c>
      <c r="DB389" t="e">
        <f>IF(CS389&lt;CY389,"yes","no")</f>
        <v>#DIV/0!</v>
      </c>
      <c r="DC389" t="e">
        <f>IF(CT389&lt;CZ389,"yes","no")</f>
        <v>#DIV/0!</v>
      </c>
    </row>
    <row r="390" spans="1:107" x14ac:dyDescent="0.2">
      <c r="A390" s="2" t="b">
        <v>0</v>
      </c>
      <c r="B390" s="2" t="s">
        <v>79</v>
      </c>
      <c r="C390" s="2" t="s">
        <v>80</v>
      </c>
      <c r="D390" s="2" t="s">
        <v>1465</v>
      </c>
      <c r="E390" s="2" t="s">
        <v>1466</v>
      </c>
      <c r="F390" s="2">
        <v>1</v>
      </c>
      <c r="G390" s="2">
        <v>1</v>
      </c>
      <c r="H390" s="2">
        <v>23.8</v>
      </c>
      <c r="I390" s="2">
        <v>7.99</v>
      </c>
      <c r="J390" s="2" t="s">
        <v>83</v>
      </c>
      <c r="K390" s="2" t="s">
        <v>83</v>
      </c>
      <c r="L390" s="2" t="s">
        <v>83</v>
      </c>
      <c r="M390" s="2" t="s">
        <v>1467</v>
      </c>
      <c r="N390" s="2" t="s">
        <v>1465</v>
      </c>
      <c r="O390" s="2" t="s">
        <v>83</v>
      </c>
      <c r="P390" s="2" t="s">
        <v>83</v>
      </c>
      <c r="Q390" s="2" t="s">
        <v>83</v>
      </c>
      <c r="R390" s="2" t="s">
        <v>83</v>
      </c>
      <c r="S390" s="2" t="s">
        <v>83</v>
      </c>
      <c r="T390" s="2" t="s">
        <v>83</v>
      </c>
      <c r="U390" s="2" t="s">
        <v>83</v>
      </c>
      <c r="V390" s="2" t="s">
        <v>83</v>
      </c>
      <c r="W390" s="2" t="s">
        <v>83</v>
      </c>
      <c r="X390" s="2" t="s">
        <v>83</v>
      </c>
      <c r="Y390" s="2" t="s">
        <v>83</v>
      </c>
      <c r="Z390" s="2" t="s">
        <v>83</v>
      </c>
      <c r="AA390" s="2" t="s">
        <v>83</v>
      </c>
      <c r="AB390" s="2" t="s">
        <v>83</v>
      </c>
      <c r="AC390" s="2" t="s">
        <v>83</v>
      </c>
      <c r="AD390" s="2" t="s">
        <v>83</v>
      </c>
      <c r="AE390" s="2" t="s">
        <v>83</v>
      </c>
      <c r="AF390" s="2" t="s">
        <v>83</v>
      </c>
      <c r="AG390" s="2" t="s">
        <v>83</v>
      </c>
      <c r="AH390" s="2" t="s">
        <v>83</v>
      </c>
      <c r="AI390" s="2" t="s">
        <v>83</v>
      </c>
      <c r="AJ390" s="2" t="s">
        <v>83</v>
      </c>
      <c r="AK390" s="2" t="s">
        <v>83</v>
      </c>
      <c r="AL390" s="2" t="s">
        <v>83</v>
      </c>
      <c r="AM390" s="2" t="s">
        <v>83</v>
      </c>
      <c r="AN390" s="2" t="s">
        <v>83</v>
      </c>
      <c r="AO390" s="2" t="s">
        <v>83</v>
      </c>
      <c r="AP390" s="2" t="s">
        <v>83</v>
      </c>
      <c r="AQ390" s="2" t="s">
        <v>83</v>
      </c>
      <c r="AR390" s="2" t="s">
        <v>83</v>
      </c>
      <c r="AS390" s="2" t="s">
        <v>83</v>
      </c>
      <c r="AT390" s="2" t="s">
        <v>83</v>
      </c>
      <c r="AU390" s="2" t="s">
        <v>83</v>
      </c>
      <c r="AV390" s="2" t="s">
        <v>83</v>
      </c>
      <c r="AW390" s="2" t="s">
        <v>83</v>
      </c>
      <c r="AX390" s="2" t="s">
        <v>83</v>
      </c>
      <c r="AY390" s="2" t="s">
        <v>83</v>
      </c>
      <c r="AZ390" s="2" t="s">
        <v>83</v>
      </c>
      <c r="BA390" s="2" t="s">
        <v>83</v>
      </c>
      <c r="BB390" s="2" t="s">
        <v>83</v>
      </c>
      <c r="BC390" s="2" t="s">
        <v>79</v>
      </c>
      <c r="BD390" s="2" t="s">
        <v>98</v>
      </c>
      <c r="BE390" s="2" t="s">
        <v>98</v>
      </c>
      <c r="BF390" s="2" t="s">
        <v>98</v>
      </c>
      <c r="BG390" s="2" t="s">
        <v>98</v>
      </c>
      <c r="BH390" s="2" t="s">
        <v>98</v>
      </c>
      <c r="BI390" s="2" t="s">
        <v>98</v>
      </c>
      <c r="BJ390" s="2" t="s">
        <v>98</v>
      </c>
      <c r="BK390" s="2" t="s">
        <v>98</v>
      </c>
      <c r="BL390" s="2" t="s">
        <v>98</v>
      </c>
      <c r="BM390" s="2" t="s">
        <v>98</v>
      </c>
      <c r="BN390" s="2" t="s">
        <v>98</v>
      </c>
      <c r="BO390" s="2" t="s">
        <v>98</v>
      </c>
      <c r="BP390" s="2" t="s">
        <v>98</v>
      </c>
      <c r="BQ390" s="2" t="s">
        <v>98</v>
      </c>
      <c r="BR390" s="2" t="s">
        <v>98</v>
      </c>
      <c r="BS390" s="2" t="s">
        <v>98</v>
      </c>
      <c r="BT390" s="2" t="s">
        <v>98</v>
      </c>
      <c r="BU390" s="2" t="s">
        <v>98</v>
      </c>
      <c r="BV390" s="2" t="s">
        <v>98</v>
      </c>
      <c r="BW390" s="2" t="s">
        <v>98</v>
      </c>
      <c r="BX390" s="2" t="s">
        <v>98</v>
      </c>
      <c r="BY390" s="2" t="s">
        <v>98</v>
      </c>
      <c r="BZ390" s="2" t="s">
        <v>98</v>
      </c>
      <c r="CA390" s="2" t="s">
        <v>98</v>
      </c>
      <c r="CB390" t="e">
        <f>TTEST(AS390:AW390,AI390:AM390,2,2)</f>
        <v>#DIV/0!</v>
      </c>
      <c r="CC390" t="e">
        <f>TTEST(AD390:AH390,AI390:AM390,2,2)</f>
        <v>#DIV/0!</v>
      </c>
      <c r="CD390" t="e">
        <f>TTEST(AN390:AR390,AI390:AM390,2,2)</f>
        <v>#DIV/0!</v>
      </c>
      <c r="CE390" t="e">
        <f>TTEST(AX390:BB390,AI390:AM390,2,2)</f>
        <v>#DIV/0!</v>
      </c>
      <c r="CF390">
        <v>366</v>
      </c>
      <c r="CG390">
        <v>380</v>
      </c>
      <c r="CH390">
        <v>384</v>
      </c>
      <c r="CI390">
        <v>387</v>
      </c>
      <c r="CJ390">
        <f>0.05*CF390/464</f>
        <v>3.9439655172413796E-2</v>
      </c>
      <c r="CK390">
        <f>0.05*CG390/464</f>
        <v>4.0948275862068964E-2</v>
      </c>
      <c r="CL390">
        <f>0.05*CH390/464</f>
        <v>4.1379310344827593E-2</v>
      </c>
      <c r="CM390">
        <f>0.05*CI390/464</f>
        <v>4.1702586206896555E-2</v>
      </c>
      <c r="CN390" t="e">
        <f>IF(CB390&lt;CJ390,"yes","no")</f>
        <v>#DIV/0!</v>
      </c>
      <c r="CO390" t="e">
        <f>IF(CC390&lt;CK390,"yes","no")</f>
        <v>#DIV/0!</v>
      </c>
      <c r="CP390" t="e">
        <f>IF(CD390&lt;CL390,"yes","no")</f>
        <v>#DIV/0!</v>
      </c>
      <c r="CQ390" t="e">
        <f>IF(CE390&lt;CM390,"yes","no")</f>
        <v>#DIV/0!</v>
      </c>
      <c r="CR390" t="e">
        <f>TTEST(AS390:AW390,AD390:AH390,2,2)</f>
        <v>#DIV/0!</v>
      </c>
      <c r="CS390" t="e">
        <f>TTEST(AS390:AW390,AN390:AR390,2,2)</f>
        <v>#DIV/0!</v>
      </c>
      <c r="CT390" t="e">
        <f>TTEST(AS390:AW390,AX390:BB390,2,2)</f>
        <v>#DIV/0!</v>
      </c>
      <c r="CU390">
        <v>384</v>
      </c>
      <c r="CV390">
        <v>387</v>
      </c>
      <c r="CW390">
        <v>389</v>
      </c>
      <c r="CX390">
        <f t="shared" si="18"/>
        <v>4.1379310344827593E-2</v>
      </c>
      <c r="CY390">
        <f t="shared" si="19"/>
        <v>4.1702586206896555E-2</v>
      </c>
      <c r="CZ390">
        <f t="shared" si="20"/>
        <v>4.1918103448275866E-2</v>
      </c>
      <c r="DA390" t="e">
        <f>IF(CR390&lt;CX390,"yes","no")</f>
        <v>#DIV/0!</v>
      </c>
      <c r="DB390" t="e">
        <f>IF(CS390&lt;CY390,"yes","no")</f>
        <v>#DIV/0!</v>
      </c>
      <c r="DC390" t="e">
        <f>IF(CT390&lt;CZ390,"yes","no")</f>
        <v>#DIV/0!</v>
      </c>
    </row>
    <row r="391" spans="1:107" x14ac:dyDescent="0.2">
      <c r="A391" s="2" t="b">
        <v>0</v>
      </c>
      <c r="B391" s="2" t="s">
        <v>79</v>
      </c>
      <c r="C391" s="2" t="s">
        <v>80</v>
      </c>
      <c r="D391" s="2" t="s">
        <v>1468</v>
      </c>
      <c r="E391" s="2" t="s">
        <v>1469</v>
      </c>
      <c r="F391" s="2">
        <v>1</v>
      </c>
      <c r="G391" s="2">
        <v>1</v>
      </c>
      <c r="H391" s="2">
        <v>23</v>
      </c>
      <c r="I391" s="2">
        <v>8.1300000000000008</v>
      </c>
      <c r="J391" s="2" t="s">
        <v>380</v>
      </c>
      <c r="K391" s="2" t="s">
        <v>319</v>
      </c>
      <c r="L391" s="2" t="s">
        <v>119</v>
      </c>
      <c r="M391" s="2" t="s">
        <v>1470</v>
      </c>
      <c r="N391" s="2" t="s">
        <v>1471</v>
      </c>
      <c r="O391" s="2" t="s">
        <v>83</v>
      </c>
      <c r="P391" s="2" t="s">
        <v>83</v>
      </c>
      <c r="Q391" s="2" t="s">
        <v>83</v>
      </c>
      <c r="R391" s="2" t="s">
        <v>83</v>
      </c>
      <c r="S391" s="2" t="s">
        <v>83</v>
      </c>
      <c r="T391" s="2" t="s">
        <v>83</v>
      </c>
      <c r="U391" s="2" t="s">
        <v>83</v>
      </c>
      <c r="V391" s="2" t="s">
        <v>83</v>
      </c>
      <c r="W391" s="2" t="s">
        <v>83</v>
      </c>
      <c r="X391" s="2" t="s">
        <v>83</v>
      </c>
      <c r="Y391" s="2" t="s">
        <v>83</v>
      </c>
      <c r="Z391" s="2" t="s">
        <v>83</v>
      </c>
      <c r="AA391" s="2" t="s">
        <v>83</v>
      </c>
      <c r="AB391" s="2" t="s">
        <v>83</v>
      </c>
      <c r="AC391" s="2" t="s">
        <v>83</v>
      </c>
      <c r="AD391" s="2" t="s">
        <v>83</v>
      </c>
      <c r="AE391" s="2" t="s">
        <v>83</v>
      </c>
      <c r="AF391" s="2" t="s">
        <v>83</v>
      </c>
      <c r="AG391" s="2" t="s">
        <v>83</v>
      </c>
      <c r="AH391" s="2" t="s">
        <v>83</v>
      </c>
      <c r="AI391" s="2" t="s">
        <v>83</v>
      </c>
      <c r="AJ391" s="2" t="s">
        <v>83</v>
      </c>
      <c r="AK391" s="2" t="s">
        <v>83</v>
      </c>
      <c r="AL391" s="2" t="s">
        <v>83</v>
      </c>
      <c r="AM391" s="2" t="s">
        <v>83</v>
      </c>
      <c r="AN391" s="2" t="s">
        <v>83</v>
      </c>
      <c r="AO391" s="2" t="s">
        <v>83</v>
      </c>
      <c r="AP391" s="2" t="s">
        <v>83</v>
      </c>
      <c r="AQ391" s="2" t="s">
        <v>83</v>
      </c>
      <c r="AR391" s="2" t="s">
        <v>83</v>
      </c>
      <c r="AS391" s="2" t="s">
        <v>83</v>
      </c>
      <c r="AT391" s="2" t="s">
        <v>83</v>
      </c>
      <c r="AU391" s="2" t="s">
        <v>83</v>
      </c>
      <c r="AV391" s="2" t="s">
        <v>83</v>
      </c>
      <c r="AW391" s="2" t="s">
        <v>83</v>
      </c>
      <c r="AX391" s="2" t="s">
        <v>83</v>
      </c>
      <c r="AY391" s="2" t="s">
        <v>83</v>
      </c>
      <c r="AZ391" s="2" t="s">
        <v>83</v>
      </c>
      <c r="BA391" s="2" t="s">
        <v>83</v>
      </c>
      <c r="BB391" s="2" t="s">
        <v>83</v>
      </c>
      <c r="BC391" s="2" t="s">
        <v>79</v>
      </c>
      <c r="BD391" s="2" t="s">
        <v>98</v>
      </c>
      <c r="BE391" s="2" t="s">
        <v>98</v>
      </c>
      <c r="BF391" s="2" t="s">
        <v>79</v>
      </c>
      <c r="BG391" s="2" t="s">
        <v>98</v>
      </c>
      <c r="BH391" s="2" t="s">
        <v>98</v>
      </c>
      <c r="BI391" s="2" t="s">
        <v>98</v>
      </c>
      <c r="BJ391" s="2" t="s">
        <v>98</v>
      </c>
      <c r="BK391" s="2" t="s">
        <v>98</v>
      </c>
      <c r="BL391" s="2" t="s">
        <v>98</v>
      </c>
      <c r="BM391" s="2" t="s">
        <v>98</v>
      </c>
      <c r="BN391" s="2" t="s">
        <v>98</v>
      </c>
      <c r="BO391" s="2" t="s">
        <v>98</v>
      </c>
      <c r="BP391" s="2" t="s">
        <v>98</v>
      </c>
      <c r="BQ391" s="2" t="s">
        <v>98</v>
      </c>
      <c r="BR391" s="2" t="s">
        <v>98</v>
      </c>
      <c r="BS391" s="2" t="s">
        <v>98</v>
      </c>
      <c r="BT391" s="2" t="s">
        <v>98</v>
      </c>
      <c r="BU391" s="2" t="s">
        <v>98</v>
      </c>
      <c r="BV391" s="2" t="s">
        <v>98</v>
      </c>
      <c r="BW391" s="2" t="s">
        <v>98</v>
      </c>
      <c r="BX391" s="2" t="s">
        <v>98</v>
      </c>
      <c r="BY391" s="2" t="s">
        <v>98</v>
      </c>
      <c r="BZ391" s="2" t="s">
        <v>98</v>
      </c>
      <c r="CA391" s="2" t="s">
        <v>98</v>
      </c>
      <c r="CB391" t="e">
        <f>TTEST(AS391:AW391,AI391:AM391,2,2)</f>
        <v>#DIV/0!</v>
      </c>
      <c r="CC391" t="e">
        <f>TTEST(AD391:AH391,AI391:AM391,2,2)</f>
        <v>#DIV/0!</v>
      </c>
      <c r="CD391" t="e">
        <f>TTEST(AN391:AR391,AI391:AM391,2,2)</f>
        <v>#DIV/0!</v>
      </c>
      <c r="CE391" t="e">
        <f>TTEST(AX391:BB391,AI391:AM391,2,2)</f>
        <v>#DIV/0!</v>
      </c>
      <c r="CF391">
        <v>367</v>
      </c>
      <c r="CG391">
        <v>381</v>
      </c>
      <c r="CH391">
        <v>385</v>
      </c>
      <c r="CI391">
        <v>388</v>
      </c>
      <c r="CJ391">
        <f>0.05*CF391/464</f>
        <v>3.9547413793103454E-2</v>
      </c>
      <c r="CK391">
        <f>0.05*CG391/464</f>
        <v>4.1056034482758623E-2</v>
      </c>
      <c r="CL391">
        <f>0.05*CH391/464</f>
        <v>4.1487068965517244E-2</v>
      </c>
      <c r="CM391">
        <f>0.05*CI391/464</f>
        <v>4.1810344827586214E-2</v>
      </c>
      <c r="CN391" t="e">
        <f>IF(CB391&lt;CJ391,"yes","no")</f>
        <v>#DIV/0!</v>
      </c>
      <c r="CO391" t="e">
        <f>IF(CC391&lt;CK391,"yes","no")</f>
        <v>#DIV/0!</v>
      </c>
      <c r="CP391" t="e">
        <f>IF(CD391&lt;CL391,"yes","no")</f>
        <v>#DIV/0!</v>
      </c>
      <c r="CQ391" t="e">
        <f>IF(CE391&lt;CM391,"yes","no")</f>
        <v>#DIV/0!</v>
      </c>
      <c r="CR391" t="e">
        <f>TTEST(AS391:AW391,AD391:AH391,2,2)</f>
        <v>#DIV/0!</v>
      </c>
      <c r="CS391" t="e">
        <f>TTEST(AS391:AW391,AN391:AR391,2,2)</f>
        <v>#DIV/0!</v>
      </c>
      <c r="CT391" t="e">
        <f>TTEST(AS391:AW391,AX391:BB391,2,2)</f>
        <v>#DIV/0!</v>
      </c>
      <c r="CU391">
        <v>385</v>
      </c>
      <c r="CV391">
        <v>388</v>
      </c>
      <c r="CW391">
        <v>390</v>
      </c>
      <c r="CX391">
        <f t="shared" si="18"/>
        <v>4.1487068965517244E-2</v>
      </c>
      <c r="CY391">
        <f t="shared" si="19"/>
        <v>4.1810344827586214E-2</v>
      </c>
      <c r="CZ391">
        <f t="shared" si="20"/>
        <v>4.2025862068965518E-2</v>
      </c>
      <c r="DA391" t="e">
        <f>IF(CR391&lt;CX391,"yes","no")</f>
        <v>#DIV/0!</v>
      </c>
      <c r="DB391" t="e">
        <f>IF(CS391&lt;CY391,"yes","no")</f>
        <v>#DIV/0!</v>
      </c>
      <c r="DC391" t="e">
        <f>IF(CT391&lt;CZ391,"yes","no")</f>
        <v>#DIV/0!</v>
      </c>
    </row>
    <row r="392" spans="1:107" x14ac:dyDescent="0.2">
      <c r="A392" s="2" t="b">
        <v>0</v>
      </c>
      <c r="B392" s="2" t="s">
        <v>79</v>
      </c>
      <c r="C392" s="2" t="s">
        <v>80</v>
      </c>
      <c r="D392" s="2" t="s">
        <v>1475</v>
      </c>
      <c r="E392" s="2" t="s">
        <v>1476</v>
      </c>
      <c r="F392" s="2">
        <v>1</v>
      </c>
      <c r="G392" s="2">
        <v>1</v>
      </c>
      <c r="H392" s="2">
        <v>83.4</v>
      </c>
      <c r="I392" s="2">
        <v>7.01</v>
      </c>
      <c r="J392" s="2" t="s">
        <v>322</v>
      </c>
      <c r="K392" s="2" t="s">
        <v>1477</v>
      </c>
      <c r="L392" s="2" t="s">
        <v>119</v>
      </c>
      <c r="M392" s="2" t="s">
        <v>1478</v>
      </c>
      <c r="N392" s="2" t="s">
        <v>1479</v>
      </c>
      <c r="O392" s="2" t="s">
        <v>83</v>
      </c>
      <c r="P392" s="2" t="s">
        <v>83</v>
      </c>
      <c r="Q392" s="2" t="s">
        <v>83</v>
      </c>
      <c r="R392" s="2" t="s">
        <v>83</v>
      </c>
      <c r="S392" s="2" t="s">
        <v>83</v>
      </c>
      <c r="T392" s="2" t="s">
        <v>83</v>
      </c>
      <c r="U392" s="2" t="s">
        <v>83</v>
      </c>
      <c r="V392" s="2" t="s">
        <v>83</v>
      </c>
      <c r="W392" s="2" t="s">
        <v>83</v>
      </c>
      <c r="X392" s="2" t="s">
        <v>83</v>
      </c>
      <c r="Y392" s="2" t="s">
        <v>83</v>
      </c>
      <c r="Z392" s="2" t="s">
        <v>83</v>
      </c>
      <c r="AA392" s="2" t="s">
        <v>83</v>
      </c>
      <c r="AB392" s="2" t="s">
        <v>83</v>
      </c>
      <c r="AC392" s="2" t="s">
        <v>83</v>
      </c>
      <c r="AD392" s="2" t="s">
        <v>83</v>
      </c>
      <c r="AE392" s="2" t="s">
        <v>83</v>
      </c>
      <c r="AF392" s="2" t="s">
        <v>83</v>
      </c>
      <c r="AG392" s="2" t="s">
        <v>83</v>
      </c>
      <c r="AH392" s="2" t="s">
        <v>83</v>
      </c>
      <c r="AI392" s="2" t="s">
        <v>83</v>
      </c>
      <c r="AJ392" s="2" t="s">
        <v>83</v>
      </c>
      <c r="AK392" s="2" t="s">
        <v>83</v>
      </c>
      <c r="AL392" s="2" t="s">
        <v>83</v>
      </c>
      <c r="AM392" s="2" t="s">
        <v>83</v>
      </c>
      <c r="AN392" s="2" t="s">
        <v>83</v>
      </c>
      <c r="AO392" s="2" t="s">
        <v>83</v>
      </c>
      <c r="AP392" s="2" t="s">
        <v>83</v>
      </c>
      <c r="AQ392" s="2" t="s">
        <v>83</v>
      </c>
      <c r="AR392" s="2" t="s">
        <v>83</v>
      </c>
      <c r="AS392" s="2" t="s">
        <v>83</v>
      </c>
      <c r="AT392" s="2" t="s">
        <v>83</v>
      </c>
      <c r="AU392" s="2" t="s">
        <v>83</v>
      </c>
      <c r="AV392" s="2" t="s">
        <v>83</v>
      </c>
      <c r="AW392" s="2" t="s">
        <v>83</v>
      </c>
      <c r="AX392" s="2" t="s">
        <v>83</v>
      </c>
      <c r="AY392" s="2" t="s">
        <v>83</v>
      </c>
      <c r="AZ392" s="2" t="s">
        <v>83</v>
      </c>
      <c r="BA392" s="2" t="s">
        <v>83</v>
      </c>
      <c r="BB392" s="2" t="s">
        <v>83</v>
      </c>
      <c r="BC392" s="2" t="s">
        <v>98</v>
      </c>
      <c r="BD392" s="2" t="s">
        <v>79</v>
      </c>
      <c r="BE392" s="2" t="s">
        <v>98</v>
      </c>
      <c r="BF392" s="2" t="s">
        <v>98</v>
      </c>
      <c r="BG392" s="2" t="s">
        <v>98</v>
      </c>
      <c r="BH392" s="2" t="s">
        <v>98</v>
      </c>
      <c r="BI392" s="2" t="s">
        <v>98</v>
      </c>
      <c r="BJ392" s="2" t="s">
        <v>98</v>
      </c>
      <c r="BK392" s="2" t="s">
        <v>98</v>
      </c>
      <c r="BL392" s="2" t="s">
        <v>98</v>
      </c>
      <c r="BM392" s="2" t="s">
        <v>98</v>
      </c>
      <c r="BN392" s="2" t="s">
        <v>98</v>
      </c>
      <c r="BO392" s="2" t="s">
        <v>98</v>
      </c>
      <c r="BP392" s="2" t="s">
        <v>98</v>
      </c>
      <c r="BQ392" s="2" t="s">
        <v>98</v>
      </c>
      <c r="BR392" s="2" t="s">
        <v>79</v>
      </c>
      <c r="BS392" s="2" t="s">
        <v>98</v>
      </c>
      <c r="BT392" s="2" t="s">
        <v>98</v>
      </c>
      <c r="BU392" s="2" t="s">
        <v>79</v>
      </c>
      <c r="BV392" s="2" t="s">
        <v>98</v>
      </c>
      <c r="BW392" s="2" t="s">
        <v>98</v>
      </c>
      <c r="BX392" s="2" t="s">
        <v>98</v>
      </c>
      <c r="BY392" s="2" t="s">
        <v>98</v>
      </c>
      <c r="BZ392" s="2" t="s">
        <v>98</v>
      </c>
      <c r="CA392" s="2" t="s">
        <v>98</v>
      </c>
      <c r="CB392" t="e">
        <f>TTEST(AS392:AW392,AI392:AM392,2,2)</f>
        <v>#DIV/0!</v>
      </c>
      <c r="CC392" t="e">
        <f>TTEST(AD392:AH392,AI392:AM392,2,2)</f>
        <v>#DIV/0!</v>
      </c>
      <c r="CD392" t="e">
        <f>TTEST(AN392:AR392,AI392:AM392,2,2)</f>
        <v>#DIV/0!</v>
      </c>
      <c r="CE392" t="e">
        <f>TTEST(AX392:BB392,AI392:AM392,2,2)</f>
        <v>#DIV/0!</v>
      </c>
      <c r="CF392">
        <v>368</v>
      </c>
      <c r="CG392">
        <v>382</v>
      </c>
      <c r="CH392">
        <v>386</v>
      </c>
      <c r="CI392">
        <v>389</v>
      </c>
      <c r="CJ392">
        <f>0.05*CF392/464</f>
        <v>3.9655172413793106E-2</v>
      </c>
      <c r="CK392">
        <f>0.05*CG392/464</f>
        <v>4.1163793103448282E-2</v>
      </c>
      <c r="CL392">
        <f>0.05*CH392/464</f>
        <v>4.1594827586206896E-2</v>
      </c>
      <c r="CM392">
        <f>0.05*CI392/464</f>
        <v>4.1918103448275866E-2</v>
      </c>
      <c r="CN392" t="e">
        <f>IF(CB392&lt;CJ392,"yes","no")</f>
        <v>#DIV/0!</v>
      </c>
      <c r="CO392" t="e">
        <f>IF(CC392&lt;CK392,"yes","no")</f>
        <v>#DIV/0!</v>
      </c>
      <c r="CP392" t="e">
        <f>IF(CD392&lt;CL392,"yes","no")</f>
        <v>#DIV/0!</v>
      </c>
      <c r="CQ392" t="e">
        <f>IF(CE392&lt;CM392,"yes","no")</f>
        <v>#DIV/0!</v>
      </c>
      <c r="CR392" t="e">
        <f>TTEST(AS392:AW392,AD392:AH392,2,2)</f>
        <v>#DIV/0!</v>
      </c>
      <c r="CS392" t="e">
        <f>TTEST(AS392:AW392,AN392:AR392,2,2)</f>
        <v>#DIV/0!</v>
      </c>
      <c r="CT392" t="e">
        <f>TTEST(AS392:AW392,AX392:BB392,2,2)</f>
        <v>#DIV/0!</v>
      </c>
      <c r="CU392">
        <v>386</v>
      </c>
      <c r="CV392">
        <v>389</v>
      </c>
      <c r="CW392">
        <v>391</v>
      </c>
      <c r="CX392">
        <f t="shared" si="18"/>
        <v>4.1594827586206896E-2</v>
      </c>
      <c r="CY392">
        <f t="shared" si="19"/>
        <v>4.1918103448275866E-2</v>
      </c>
      <c r="CZ392">
        <f t="shared" si="20"/>
        <v>4.2133620689655177E-2</v>
      </c>
      <c r="DA392" t="e">
        <f>IF(CR392&lt;CX392,"yes","no")</f>
        <v>#DIV/0!</v>
      </c>
      <c r="DB392" t="e">
        <f>IF(CS392&lt;CY392,"yes","no")</f>
        <v>#DIV/0!</v>
      </c>
      <c r="DC392" t="e">
        <f>IF(CT392&lt;CZ392,"yes","no")</f>
        <v>#DIV/0!</v>
      </c>
    </row>
    <row r="393" spans="1:107" x14ac:dyDescent="0.2">
      <c r="A393" s="2" t="b">
        <v>0</v>
      </c>
      <c r="B393" s="2" t="s">
        <v>79</v>
      </c>
      <c r="C393" s="2" t="s">
        <v>80</v>
      </c>
      <c r="D393" s="2" t="s">
        <v>1480</v>
      </c>
      <c r="E393" s="2" t="s">
        <v>1481</v>
      </c>
      <c r="F393" s="2">
        <v>1</v>
      </c>
      <c r="G393" s="2">
        <v>1</v>
      </c>
      <c r="H393" s="2">
        <v>86.6</v>
      </c>
      <c r="I393" s="2">
        <v>4.8099999999999996</v>
      </c>
      <c r="J393" s="2" t="s">
        <v>1482</v>
      </c>
      <c r="K393" s="2" t="s">
        <v>1483</v>
      </c>
      <c r="L393" s="2" t="s">
        <v>102</v>
      </c>
      <c r="M393" s="2" t="s">
        <v>83</v>
      </c>
      <c r="N393" s="2" t="s">
        <v>1484</v>
      </c>
      <c r="O393" s="2" t="s">
        <v>83</v>
      </c>
      <c r="P393" s="2" t="s">
        <v>83</v>
      </c>
      <c r="Q393" s="2" t="s">
        <v>83</v>
      </c>
      <c r="R393" s="2" t="s">
        <v>83</v>
      </c>
      <c r="S393" s="2" t="s">
        <v>83</v>
      </c>
      <c r="T393" s="2" t="s">
        <v>83</v>
      </c>
      <c r="U393" s="2" t="s">
        <v>83</v>
      </c>
      <c r="V393" s="2" t="s">
        <v>83</v>
      </c>
      <c r="W393" s="2" t="s">
        <v>83</v>
      </c>
      <c r="X393" s="2" t="s">
        <v>83</v>
      </c>
      <c r="Y393" s="2" t="s">
        <v>83</v>
      </c>
      <c r="Z393" s="2" t="s">
        <v>83</v>
      </c>
      <c r="AA393" s="2" t="s">
        <v>83</v>
      </c>
      <c r="AB393" s="2" t="s">
        <v>83</v>
      </c>
      <c r="AC393" s="2" t="s">
        <v>83</v>
      </c>
      <c r="AD393" s="2" t="s">
        <v>83</v>
      </c>
      <c r="AE393" s="2" t="s">
        <v>83</v>
      </c>
      <c r="AF393" s="2" t="s">
        <v>83</v>
      </c>
      <c r="AG393" s="2" t="s">
        <v>83</v>
      </c>
      <c r="AH393" s="2" t="s">
        <v>83</v>
      </c>
      <c r="AI393" s="2" t="s">
        <v>83</v>
      </c>
      <c r="AJ393" s="2" t="s">
        <v>83</v>
      </c>
      <c r="AK393" s="2" t="s">
        <v>83</v>
      </c>
      <c r="AL393" s="2" t="s">
        <v>83</v>
      </c>
      <c r="AM393" s="2" t="s">
        <v>83</v>
      </c>
      <c r="AN393" s="2" t="s">
        <v>83</v>
      </c>
      <c r="AO393" s="2" t="s">
        <v>83</v>
      </c>
      <c r="AP393" s="2" t="s">
        <v>83</v>
      </c>
      <c r="AQ393" s="2" t="s">
        <v>83</v>
      </c>
      <c r="AR393" s="2" t="s">
        <v>83</v>
      </c>
      <c r="AS393" s="2" t="s">
        <v>83</v>
      </c>
      <c r="AT393" s="2" t="s">
        <v>83</v>
      </c>
      <c r="AU393" s="2" t="s">
        <v>83</v>
      </c>
      <c r="AV393" s="2" t="s">
        <v>83</v>
      </c>
      <c r="AW393" s="2" t="s">
        <v>83</v>
      </c>
      <c r="AX393" s="2" t="s">
        <v>83</v>
      </c>
      <c r="AY393" s="2" t="s">
        <v>83</v>
      </c>
      <c r="AZ393" s="2" t="s">
        <v>83</v>
      </c>
      <c r="BA393" s="2" t="s">
        <v>83</v>
      </c>
      <c r="BB393" s="2" t="s">
        <v>83</v>
      </c>
      <c r="BC393" s="2" t="s">
        <v>98</v>
      </c>
      <c r="BD393" s="2" t="s">
        <v>98</v>
      </c>
      <c r="BE393" s="2" t="s">
        <v>98</v>
      </c>
      <c r="BF393" s="2" t="s">
        <v>79</v>
      </c>
      <c r="BG393" s="2" t="s">
        <v>98</v>
      </c>
      <c r="BH393" s="2" t="s">
        <v>98</v>
      </c>
      <c r="BI393" s="2" t="s">
        <v>98</v>
      </c>
      <c r="BJ393" s="2" t="s">
        <v>98</v>
      </c>
      <c r="BK393" s="2" t="s">
        <v>98</v>
      </c>
      <c r="BL393" s="2" t="s">
        <v>98</v>
      </c>
      <c r="BM393" s="2" t="s">
        <v>98</v>
      </c>
      <c r="BN393" s="2" t="s">
        <v>98</v>
      </c>
      <c r="BO393" s="2" t="s">
        <v>98</v>
      </c>
      <c r="BP393" s="2" t="s">
        <v>98</v>
      </c>
      <c r="BQ393" s="2" t="s">
        <v>98</v>
      </c>
      <c r="BR393" s="2" t="s">
        <v>98</v>
      </c>
      <c r="BS393" s="2" t="s">
        <v>98</v>
      </c>
      <c r="BT393" s="2" t="s">
        <v>98</v>
      </c>
      <c r="BU393" s="2" t="s">
        <v>98</v>
      </c>
      <c r="BV393" s="2" t="s">
        <v>98</v>
      </c>
      <c r="BW393" s="2" t="s">
        <v>98</v>
      </c>
      <c r="BX393" s="2" t="s">
        <v>98</v>
      </c>
      <c r="BY393" s="2" t="s">
        <v>98</v>
      </c>
      <c r="BZ393" s="2" t="s">
        <v>98</v>
      </c>
      <c r="CA393" s="2" t="s">
        <v>98</v>
      </c>
      <c r="CB393" t="e">
        <f>TTEST(AS393:AW393,AI393:AM393,2,2)</f>
        <v>#DIV/0!</v>
      </c>
      <c r="CC393" t="e">
        <f>TTEST(AD393:AH393,AI393:AM393,2,2)</f>
        <v>#DIV/0!</v>
      </c>
      <c r="CD393" t="e">
        <f>TTEST(AN393:AR393,AI393:AM393,2,2)</f>
        <v>#DIV/0!</v>
      </c>
      <c r="CE393" t="e">
        <f>TTEST(AX393:BB393,AI393:AM393,2,2)</f>
        <v>#DIV/0!</v>
      </c>
      <c r="CF393">
        <v>369</v>
      </c>
      <c r="CG393">
        <v>383</v>
      </c>
      <c r="CH393">
        <v>387</v>
      </c>
      <c r="CI393">
        <v>390</v>
      </c>
      <c r="CJ393">
        <f>0.05*CF393/464</f>
        <v>3.9762931034482758E-2</v>
      </c>
      <c r="CK393">
        <f>0.05*CG393/464</f>
        <v>4.1271551724137934E-2</v>
      </c>
      <c r="CL393">
        <f>0.05*CH393/464</f>
        <v>4.1702586206896555E-2</v>
      </c>
      <c r="CM393">
        <f>0.05*CI393/464</f>
        <v>4.2025862068965518E-2</v>
      </c>
      <c r="CN393" t="e">
        <f>IF(CB393&lt;CJ393,"yes","no")</f>
        <v>#DIV/0!</v>
      </c>
      <c r="CO393" t="e">
        <f>IF(CC393&lt;CK393,"yes","no")</f>
        <v>#DIV/0!</v>
      </c>
      <c r="CP393" t="e">
        <f>IF(CD393&lt;CL393,"yes","no")</f>
        <v>#DIV/0!</v>
      </c>
      <c r="CQ393" t="e">
        <f>IF(CE393&lt;CM393,"yes","no")</f>
        <v>#DIV/0!</v>
      </c>
      <c r="CR393" t="e">
        <f>TTEST(AS393:AW393,AD393:AH393,2,2)</f>
        <v>#DIV/0!</v>
      </c>
      <c r="CS393" t="e">
        <f>TTEST(AS393:AW393,AN393:AR393,2,2)</f>
        <v>#DIV/0!</v>
      </c>
      <c r="CT393" t="e">
        <f>TTEST(AS393:AW393,AX393:BB393,2,2)</f>
        <v>#DIV/0!</v>
      </c>
      <c r="CU393">
        <v>387</v>
      </c>
      <c r="CV393">
        <v>390</v>
      </c>
      <c r="CW393">
        <v>392</v>
      </c>
      <c r="CX393">
        <f t="shared" si="18"/>
        <v>4.1702586206896555E-2</v>
      </c>
      <c r="CY393">
        <f t="shared" si="19"/>
        <v>4.2025862068965518E-2</v>
      </c>
      <c r="CZ393">
        <f t="shared" si="20"/>
        <v>4.2241379310344829E-2</v>
      </c>
      <c r="DA393" t="e">
        <f>IF(CR393&lt;CX393,"yes","no")</f>
        <v>#DIV/0!</v>
      </c>
      <c r="DB393" t="e">
        <f>IF(CS393&lt;CY393,"yes","no")</f>
        <v>#DIV/0!</v>
      </c>
      <c r="DC393" t="e">
        <f>IF(CT393&lt;CZ393,"yes","no")</f>
        <v>#DIV/0!</v>
      </c>
    </row>
    <row r="394" spans="1:107" x14ac:dyDescent="0.2">
      <c r="A394" s="2" t="b">
        <v>0</v>
      </c>
      <c r="B394" s="2" t="s">
        <v>79</v>
      </c>
      <c r="C394" s="2" t="s">
        <v>80</v>
      </c>
      <c r="D394" s="2" t="s">
        <v>1496</v>
      </c>
      <c r="E394" s="2" t="s">
        <v>1497</v>
      </c>
      <c r="F394" s="2">
        <v>1</v>
      </c>
      <c r="G394" s="2">
        <v>1</v>
      </c>
      <c r="H394" s="2">
        <v>49.4</v>
      </c>
      <c r="I394" s="2">
        <v>5.4</v>
      </c>
      <c r="J394" s="2" t="s">
        <v>1498</v>
      </c>
      <c r="K394" s="2" t="s">
        <v>136</v>
      </c>
      <c r="L394" s="2" t="s">
        <v>1242</v>
      </c>
      <c r="M394" s="2" t="s">
        <v>83</v>
      </c>
      <c r="N394" s="2" t="s">
        <v>1499</v>
      </c>
      <c r="O394" s="2" t="s">
        <v>83</v>
      </c>
      <c r="P394" s="2" t="s">
        <v>83</v>
      </c>
      <c r="Q394" s="2" t="s">
        <v>83</v>
      </c>
      <c r="R394" s="2" t="s">
        <v>83</v>
      </c>
      <c r="S394" s="2" t="s">
        <v>83</v>
      </c>
      <c r="T394" s="2" t="s">
        <v>83</v>
      </c>
      <c r="U394" s="2" t="s">
        <v>83</v>
      </c>
      <c r="V394" s="2" t="s">
        <v>83</v>
      </c>
      <c r="W394" s="2" t="s">
        <v>83</v>
      </c>
      <c r="X394" s="2" t="s">
        <v>83</v>
      </c>
      <c r="Y394" s="2" t="s">
        <v>83</v>
      </c>
      <c r="Z394" s="2" t="s">
        <v>83</v>
      </c>
      <c r="AA394" s="2" t="s">
        <v>83</v>
      </c>
      <c r="AB394" s="2" t="s">
        <v>83</v>
      </c>
      <c r="AC394" s="2" t="s">
        <v>83</v>
      </c>
      <c r="AD394" s="2" t="s">
        <v>83</v>
      </c>
      <c r="AE394" s="2" t="s">
        <v>83</v>
      </c>
      <c r="AF394" s="2" t="s">
        <v>83</v>
      </c>
      <c r="AG394" s="2" t="s">
        <v>83</v>
      </c>
      <c r="AH394" s="2" t="s">
        <v>83</v>
      </c>
      <c r="AI394" s="2" t="s">
        <v>83</v>
      </c>
      <c r="AJ394" s="2" t="s">
        <v>83</v>
      </c>
      <c r="AK394" s="2" t="s">
        <v>83</v>
      </c>
      <c r="AL394" s="2" t="s">
        <v>83</v>
      </c>
      <c r="AM394" s="2" t="s">
        <v>83</v>
      </c>
      <c r="AN394" s="2" t="s">
        <v>83</v>
      </c>
      <c r="AO394" s="2" t="s">
        <v>83</v>
      </c>
      <c r="AP394" s="2" t="s">
        <v>83</v>
      </c>
      <c r="AQ394" s="2" t="s">
        <v>83</v>
      </c>
      <c r="AR394" s="2" t="s">
        <v>83</v>
      </c>
      <c r="AS394" s="2" t="s">
        <v>83</v>
      </c>
      <c r="AT394" s="2" t="s">
        <v>83</v>
      </c>
      <c r="AU394" s="2" t="s">
        <v>83</v>
      </c>
      <c r="AV394" s="2" t="s">
        <v>83</v>
      </c>
      <c r="AW394" s="2" t="s">
        <v>83</v>
      </c>
      <c r="AX394" s="2" t="s">
        <v>83</v>
      </c>
      <c r="AY394" s="2" t="s">
        <v>83</v>
      </c>
      <c r="AZ394" s="2" t="s">
        <v>83</v>
      </c>
      <c r="BA394" s="2" t="s">
        <v>83</v>
      </c>
      <c r="BB394" s="2" t="s">
        <v>83</v>
      </c>
      <c r="BC394" s="2" t="s">
        <v>79</v>
      </c>
      <c r="BD394" s="2" t="s">
        <v>79</v>
      </c>
      <c r="BE394" s="2" t="s">
        <v>79</v>
      </c>
      <c r="BF394" s="2" t="s">
        <v>98</v>
      </c>
      <c r="BG394" s="2" t="s">
        <v>98</v>
      </c>
      <c r="BH394" s="2" t="s">
        <v>79</v>
      </c>
      <c r="BI394" s="2" t="s">
        <v>79</v>
      </c>
      <c r="BJ394" s="2" t="s">
        <v>79</v>
      </c>
      <c r="BK394" s="2" t="s">
        <v>79</v>
      </c>
      <c r="BL394" s="2" t="s">
        <v>79</v>
      </c>
      <c r="BM394" s="2" t="s">
        <v>79</v>
      </c>
      <c r="BN394" s="2" t="s">
        <v>79</v>
      </c>
      <c r="BO394" s="2" t="s">
        <v>79</v>
      </c>
      <c r="BP394" s="2" t="s">
        <v>79</v>
      </c>
      <c r="BQ394" s="2" t="s">
        <v>79</v>
      </c>
      <c r="BR394" s="2" t="s">
        <v>79</v>
      </c>
      <c r="BS394" s="2" t="s">
        <v>98</v>
      </c>
      <c r="BT394" s="2" t="s">
        <v>98</v>
      </c>
      <c r="BU394" s="2" t="s">
        <v>79</v>
      </c>
      <c r="BV394" s="2" t="s">
        <v>79</v>
      </c>
      <c r="BW394" s="2" t="s">
        <v>98</v>
      </c>
      <c r="BX394" s="2" t="s">
        <v>98</v>
      </c>
      <c r="BY394" s="2" t="s">
        <v>98</v>
      </c>
      <c r="BZ394" s="2" t="s">
        <v>98</v>
      </c>
      <c r="CA394" s="2" t="s">
        <v>98</v>
      </c>
      <c r="CB394" t="e">
        <f>TTEST(AS394:AW394,AI394:AM394,2,2)</f>
        <v>#DIV/0!</v>
      </c>
      <c r="CC394" t="e">
        <f>TTEST(AD394:AH394,AI394:AM394,2,2)</f>
        <v>#DIV/0!</v>
      </c>
      <c r="CD394" t="e">
        <f>TTEST(AN394:AR394,AI394:AM394,2,2)</f>
        <v>#DIV/0!</v>
      </c>
      <c r="CE394" t="e">
        <f>TTEST(AX394:BB394,AI394:AM394,2,2)</f>
        <v>#DIV/0!</v>
      </c>
      <c r="CF394">
        <v>370</v>
      </c>
      <c r="CG394">
        <v>384</v>
      </c>
      <c r="CH394">
        <v>388</v>
      </c>
      <c r="CI394">
        <v>391</v>
      </c>
      <c r="CJ394">
        <f>0.05*CF394/464</f>
        <v>3.9870689655172417E-2</v>
      </c>
      <c r="CK394">
        <f>0.05*CG394/464</f>
        <v>4.1379310344827593E-2</v>
      </c>
      <c r="CL394">
        <f>0.05*CH394/464</f>
        <v>4.1810344827586214E-2</v>
      </c>
      <c r="CM394">
        <f>0.05*CI394/464</f>
        <v>4.2133620689655177E-2</v>
      </c>
      <c r="CN394" t="e">
        <f>IF(CB394&lt;CJ394,"yes","no")</f>
        <v>#DIV/0!</v>
      </c>
      <c r="CO394" t="e">
        <f>IF(CC394&lt;CK394,"yes","no")</f>
        <v>#DIV/0!</v>
      </c>
      <c r="CP394" t="e">
        <f>IF(CD394&lt;CL394,"yes","no")</f>
        <v>#DIV/0!</v>
      </c>
      <c r="CQ394" t="e">
        <f>IF(CE394&lt;CM394,"yes","no")</f>
        <v>#DIV/0!</v>
      </c>
      <c r="CR394" t="e">
        <f>TTEST(AS394:AW394,AD394:AH394,2,2)</f>
        <v>#DIV/0!</v>
      </c>
      <c r="CS394" t="e">
        <f>TTEST(AS394:AW394,AN394:AR394,2,2)</f>
        <v>#DIV/0!</v>
      </c>
      <c r="CT394" t="e">
        <f>TTEST(AS394:AW394,AX394:BB394,2,2)</f>
        <v>#DIV/0!</v>
      </c>
      <c r="CU394">
        <v>388</v>
      </c>
      <c r="CV394">
        <v>391</v>
      </c>
      <c r="CW394">
        <v>393</v>
      </c>
      <c r="CX394">
        <f t="shared" si="18"/>
        <v>4.1810344827586214E-2</v>
      </c>
      <c r="CY394">
        <f t="shared" si="19"/>
        <v>4.2133620689655177E-2</v>
      </c>
      <c r="CZ394">
        <f t="shared" si="20"/>
        <v>4.2349137931034488E-2</v>
      </c>
      <c r="DA394" t="e">
        <f>IF(CR394&lt;CX394,"yes","no")</f>
        <v>#DIV/0!</v>
      </c>
      <c r="DB394" t="e">
        <f>IF(CS394&lt;CY394,"yes","no")</f>
        <v>#DIV/0!</v>
      </c>
      <c r="DC394" t="e">
        <f>IF(CT394&lt;CZ394,"yes","no")</f>
        <v>#DIV/0!</v>
      </c>
    </row>
    <row r="395" spans="1:107" x14ac:dyDescent="0.2">
      <c r="A395" s="2" t="b">
        <v>0</v>
      </c>
      <c r="B395" s="2" t="s">
        <v>79</v>
      </c>
      <c r="C395" s="2" t="s">
        <v>80</v>
      </c>
      <c r="D395" s="2" t="s">
        <v>1500</v>
      </c>
      <c r="E395" s="2" t="s">
        <v>1501</v>
      </c>
      <c r="F395" s="2">
        <v>1</v>
      </c>
      <c r="G395" s="2">
        <v>1</v>
      </c>
      <c r="H395" s="2">
        <v>71.2</v>
      </c>
      <c r="I395" s="2">
        <v>8.07</v>
      </c>
      <c r="J395" s="2" t="s">
        <v>680</v>
      </c>
      <c r="K395" s="2" t="s">
        <v>84</v>
      </c>
      <c r="L395" s="2" t="s">
        <v>119</v>
      </c>
      <c r="M395" s="2" t="s">
        <v>1502</v>
      </c>
      <c r="N395" s="2" t="s">
        <v>1503</v>
      </c>
      <c r="O395" s="2">
        <v>0.01</v>
      </c>
      <c r="P395" s="2">
        <v>0.01</v>
      </c>
      <c r="Q395" s="2">
        <v>0.01</v>
      </c>
      <c r="R395" s="2">
        <v>100</v>
      </c>
      <c r="S395" s="2" t="s">
        <v>83</v>
      </c>
      <c r="T395" s="2" t="s">
        <v>83</v>
      </c>
      <c r="U395" s="2" t="s">
        <v>83</v>
      </c>
      <c r="V395" s="2" t="s">
        <v>83</v>
      </c>
      <c r="W395" s="2" t="s">
        <v>83</v>
      </c>
      <c r="X395" s="2" t="s">
        <v>83</v>
      </c>
      <c r="Y395" s="2">
        <v>500</v>
      </c>
      <c r="Z395" s="2" t="s">
        <v>83</v>
      </c>
      <c r="AA395" s="2" t="s">
        <v>83</v>
      </c>
      <c r="AB395" s="2" t="s">
        <v>83</v>
      </c>
      <c r="AC395" s="2" t="s">
        <v>83</v>
      </c>
      <c r="AD395" s="2">
        <v>153043.453125</v>
      </c>
      <c r="AE395" s="2">
        <v>99386.6171875</v>
      </c>
      <c r="AF395" s="2">
        <v>96190.453125</v>
      </c>
      <c r="AG395" s="2">
        <v>109801.8046875</v>
      </c>
      <c r="AH395" s="2" t="s">
        <v>83</v>
      </c>
      <c r="AI395" s="2" t="s">
        <v>83</v>
      </c>
      <c r="AJ395" s="2" t="s">
        <v>83</v>
      </c>
      <c r="AK395" s="2" t="s">
        <v>83</v>
      </c>
      <c r="AL395" s="2" t="s">
        <v>83</v>
      </c>
      <c r="AM395" s="2" t="s">
        <v>83</v>
      </c>
      <c r="AN395" s="2" t="s">
        <v>83</v>
      </c>
      <c r="AO395" s="2" t="s">
        <v>83</v>
      </c>
      <c r="AP395" s="2" t="s">
        <v>83</v>
      </c>
      <c r="AQ395" s="2" t="s">
        <v>83</v>
      </c>
      <c r="AR395" s="2" t="s">
        <v>83</v>
      </c>
      <c r="AS395" s="2" t="s">
        <v>83</v>
      </c>
      <c r="AT395" s="2" t="s">
        <v>83</v>
      </c>
      <c r="AU395" s="2" t="s">
        <v>83</v>
      </c>
      <c r="AV395" s="2" t="s">
        <v>83</v>
      </c>
      <c r="AW395" s="2" t="s">
        <v>83</v>
      </c>
      <c r="AX395" s="2" t="s">
        <v>83</v>
      </c>
      <c r="AY395" s="2" t="s">
        <v>83</v>
      </c>
      <c r="AZ395" s="2" t="s">
        <v>83</v>
      </c>
      <c r="BA395" s="2" t="s">
        <v>83</v>
      </c>
      <c r="BB395" s="2" t="s">
        <v>83</v>
      </c>
      <c r="BC395" s="2" t="s">
        <v>79</v>
      </c>
      <c r="BD395" s="2" t="s">
        <v>79</v>
      </c>
      <c r="BE395" s="2" t="s">
        <v>79</v>
      </c>
      <c r="BF395" s="2" t="s">
        <v>91</v>
      </c>
      <c r="BG395" s="2" t="s">
        <v>98</v>
      </c>
      <c r="BH395" s="2" t="s">
        <v>98</v>
      </c>
      <c r="BI395" s="2" t="s">
        <v>98</v>
      </c>
      <c r="BJ395" s="2" t="s">
        <v>98</v>
      </c>
      <c r="BK395" s="2" t="s">
        <v>98</v>
      </c>
      <c r="BL395" s="2" t="s">
        <v>98</v>
      </c>
      <c r="BM395" s="2" t="s">
        <v>98</v>
      </c>
      <c r="BN395" s="2" t="s">
        <v>98</v>
      </c>
      <c r="BO395" s="2" t="s">
        <v>98</v>
      </c>
      <c r="BP395" s="2" t="s">
        <v>98</v>
      </c>
      <c r="BQ395" s="2" t="s">
        <v>98</v>
      </c>
      <c r="BR395" s="2" t="s">
        <v>98</v>
      </c>
      <c r="BS395" s="2" t="s">
        <v>98</v>
      </c>
      <c r="BT395" s="2" t="s">
        <v>98</v>
      </c>
      <c r="BU395" s="2" t="s">
        <v>98</v>
      </c>
      <c r="BV395" s="2" t="s">
        <v>98</v>
      </c>
      <c r="BW395" s="2" t="s">
        <v>98</v>
      </c>
      <c r="BX395" s="2" t="s">
        <v>98</v>
      </c>
      <c r="BY395" s="2" t="s">
        <v>98</v>
      </c>
      <c r="BZ395" s="2" t="s">
        <v>98</v>
      </c>
      <c r="CA395" s="2" t="s">
        <v>98</v>
      </c>
      <c r="CB395" t="e">
        <f>TTEST(AS395:AW395,AI395:AM395,2,2)</f>
        <v>#DIV/0!</v>
      </c>
      <c r="CC395" t="e">
        <f>TTEST(AD395:AH395,AI395:AM395,2,2)</f>
        <v>#DIV/0!</v>
      </c>
      <c r="CD395" t="e">
        <f>TTEST(AN395:AR395,AI395:AM395,2,2)</f>
        <v>#DIV/0!</v>
      </c>
      <c r="CE395" t="e">
        <f>TTEST(AX395:BB395,AI395:AM395,2,2)</f>
        <v>#DIV/0!</v>
      </c>
      <c r="CF395">
        <v>371</v>
      </c>
      <c r="CG395">
        <v>385</v>
      </c>
      <c r="CH395">
        <v>389</v>
      </c>
      <c r="CI395">
        <v>392</v>
      </c>
      <c r="CJ395">
        <f>0.05*CF395/464</f>
        <v>3.9978448275862069E-2</v>
      </c>
      <c r="CK395">
        <f>0.05*CG395/464</f>
        <v>4.1487068965517244E-2</v>
      </c>
      <c r="CL395">
        <f>0.05*CH395/464</f>
        <v>4.1918103448275866E-2</v>
      </c>
      <c r="CM395">
        <f>0.05*CI395/464</f>
        <v>4.2241379310344829E-2</v>
      </c>
      <c r="CN395" t="e">
        <f>IF(CB395&lt;CJ395,"yes","no")</f>
        <v>#DIV/0!</v>
      </c>
      <c r="CO395" t="e">
        <f>IF(CC395&lt;CK395,"yes","no")</f>
        <v>#DIV/0!</v>
      </c>
      <c r="CP395" t="e">
        <f>IF(CD395&lt;CL395,"yes","no")</f>
        <v>#DIV/0!</v>
      </c>
      <c r="CQ395" t="e">
        <f>IF(CE395&lt;CM395,"yes","no")</f>
        <v>#DIV/0!</v>
      </c>
      <c r="CR395" t="e">
        <f>TTEST(AS395:AW395,AD395:AH395,2,2)</f>
        <v>#DIV/0!</v>
      </c>
      <c r="CS395" t="e">
        <f>TTEST(AS395:AW395,AN395:AR395,2,2)</f>
        <v>#DIV/0!</v>
      </c>
      <c r="CT395" t="e">
        <f>TTEST(AS395:AW395,AX395:BB395,2,2)</f>
        <v>#DIV/0!</v>
      </c>
      <c r="CU395">
        <v>389</v>
      </c>
      <c r="CV395">
        <v>392</v>
      </c>
      <c r="CW395">
        <v>394</v>
      </c>
      <c r="CX395">
        <f t="shared" si="18"/>
        <v>4.1918103448275866E-2</v>
      </c>
      <c r="CY395">
        <f t="shared" si="19"/>
        <v>4.2241379310344829E-2</v>
      </c>
      <c r="CZ395">
        <f t="shared" si="20"/>
        <v>4.2456896551724146E-2</v>
      </c>
      <c r="DA395" t="e">
        <f>IF(CR395&lt;CX395,"yes","no")</f>
        <v>#DIV/0!</v>
      </c>
      <c r="DB395" t="e">
        <f>IF(CS395&lt;CY395,"yes","no")</f>
        <v>#DIV/0!</v>
      </c>
      <c r="DC395" t="e">
        <f>IF(CT395&lt;CZ395,"yes","no")</f>
        <v>#DIV/0!</v>
      </c>
    </row>
    <row r="396" spans="1:107" x14ac:dyDescent="0.2">
      <c r="A396" s="2" t="b">
        <v>0</v>
      </c>
      <c r="B396" s="2" t="s">
        <v>79</v>
      </c>
      <c r="C396" s="2" t="s">
        <v>80</v>
      </c>
      <c r="D396" s="2" t="s">
        <v>1504</v>
      </c>
      <c r="E396" s="2" t="s">
        <v>1505</v>
      </c>
      <c r="F396" s="2">
        <v>1</v>
      </c>
      <c r="G396" s="2">
        <v>1</v>
      </c>
      <c r="H396" s="2">
        <v>49.8</v>
      </c>
      <c r="I396" s="2">
        <v>6.52</v>
      </c>
      <c r="J396" s="2" t="s">
        <v>1506</v>
      </c>
      <c r="K396" s="2" t="s">
        <v>1507</v>
      </c>
      <c r="L396" s="2" t="s">
        <v>1508</v>
      </c>
      <c r="M396" s="2" t="s">
        <v>1509</v>
      </c>
      <c r="N396" s="2" t="s">
        <v>1504</v>
      </c>
      <c r="O396" s="2" t="s">
        <v>83</v>
      </c>
      <c r="P396" s="2" t="s">
        <v>83</v>
      </c>
      <c r="Q396" s="2" t="s">
        <v>83</v>
      </c>
      <c r="R396" s="2" t="s">
        <v>83</v>
      </c>
      <c r="S396" s="2" t="s">
        <v>83</v>
      </c>
      <c r="T396" s="2" t="s">
        <v>83</v>
      </c>
      <c r="U396" s="2" t="s">
        <v>83</v>
      </c>
      <c r="V396" s="2" t="s">
        <v>83</v>
      </c>
      <c r="W396" s="2" t="s">
        <v>83</v>
      </c>
      <c r="X396" s="2" t="s">
        <v>83</v>
      </c>
      <c r="Y396" s="2" t="s">
        <v>83</v>
      </c>
      <c r="Z396" s="2" t="s">
        <v>83</v>
      </c>
      <c r="AA396" s="2" t="s">
        <v>83</v>
      </c>
      <c r="AB396" s="2" t="s">
        <v>83</v>
      </c>
      <c r="AC396" s="2" t="s">
        <v>83</v>
      </c>
      <c r="AD396" s="2" t="s">
        <v>83</v>
      </c>
      <c r="AE396" s="2" t="s">
        <v>83</v>
      </c>
      <c r="AF396" s="2" t="s">
        <v>83</v>
      </c>
      <c r="AG396" s="2" t="s">
        <v>83</v>
      </c>
      <c r="AH396" s="2" t="s">
        <v>83</v>
      </c>
      <c r="AI396" s="2" t="s">
        <v>83</v>
      </c>
      <c r="AJ396" s="2" t="s">
        <v>83</v>
      </c>
      <c r="AK396" s="2" t="s">
        <v>83</v>
      </c>
      <c r="AL396" s="2" t="s">
        <v>83</v>
      </c>
      <c r="AM396" s="2" t="s">
        <v>83</v>
      </c>
      <c r="AN396" s="2" t="s">
        <v>83</v>
      </c>
      <c r="AO396" s="2" t="s">
        <v>83</v>
      </c>
      <c r="AP396" s="2" t="s">
        <v>83</v>
      </c>
      <c r="AQ396" s="2" t="s">
        <v>83</v>
      </c>
      <c r="AR396" s="2" t="s">
        <v>83</v>
      </c>
      <c r="AS396" s="2" t="s">
        <v>83</v>
      </c>
      <c r="AT396" s="2" t="s">
        <v>83</v>
      </c>
      <c r="AU396" s="2" t="s">
        <v>83</v>
      </c>
      <c r="AV396" s="2" t="s">
        <v>83</v>
      </c>
      <c r="AW396" s="2" t="s">
        <v>83</v>
      </c>
      <c r="AX396" s="2" t="s">
        <v>83</v>
      </c>
      <c r="AY396" s="2" t="s">
        <v>83</v>
      </c>
      <c r="AZ396" s="2" t="s">
        <v>83</v>
      </c>
      <c r="BA396" s="2" t="s">
        <v>83</v>
      </c>
      <c r="BB396" s="2" t="s">
        <v>83</v>
      </c>
      <c r="BC396" s="2" t="s">
        <v>98</v>
      </c>
      <c r="BD396" s="2" t="s">
        <v>98</v>
      </c>
      <c r="BE396" s="2" t="s">
        <v>98</v>
      </c>
      <c r="BF396" s="2" t="s">
        <v>98</v>
      </c>
      <c r="BG396" s="2" t="s">
        <v>98</v>
      </c>
      <c r="BH396" s="2" t="s">
        <v>98</v>
      </c>
      <c r="BI396" s="2" t="s">
        <v>98</v>
      </c>
      <c r="BJ396" s="2" t="s">
        <v>98</v>
      </c>
      <c r="BK396" s="2" t="s">
        <v>98</v>
      </c>
      <c r="BL396" s="2" t="s">
        <v>98</v>
      </c>
      <c r="BM396" s="2" t="s">
        <v>98</v>
      </c>
      <c r="BN396" s="2" t="s">
        <v>98</v>
      </c>
      <c r="BO396" s="2" t="s">
        <v>98</v>
      </c>
      <c r="BP396" s="2" t="s">
        <v>98</v>
      </c>
      <c r="BQ396" s="2" t="s">
        <v>98</v>
      </c>
      <c r="BR396" s="2" t="s">
        <v>98</v>
      </c>
      <c r="BS396" s="2" t="s">
        <v>98</v>
      </c>
      <c r="BT396" s="2" t="s">
        <v>98</v>
      </c>
      <c r="BU396" s="2" t="s">
        <v>98</v>
      </c>
      <c r="BV396" s="2" t="s">
        <v>98</v>
      </c>
      <c r="BW396" s="2" t="s">
        <v>98</v>
      </c>
      <c r="BX396" s="2" t="s">
        <v>98</v>
      </c>
      <c r="BY396" s="2" t="s">
        <v>98</v>
      </c>
      <c r="BZ396" s="2" t="s">
        <v>79</v>
      </c>
      <c r="CA396" s="2" t="s">
        <v>98</v>
      </c>
      <c r="CB396" t="e">
        <f>TTEST(AS396:AW396,AI396:AM396,2,2)</f>
        <v>#DIV/0!</v>
      </c>
      <c r="CC396" t="e">
        <f>TTEST(AD396:AH396,AI396:AM396,2,2)</f>
        <v>#DIV/0!</v>
      </c>
      <c r="CD396" t="e">
        <f>TTEST(AN396:AR396,AI396:AM396,2,2)</f>
        <v>#DIV/0!</v>
      </c>
      <c r="CE396" t="e">
        <f>TTEST(AX396:BB396,AI396:AM396,2,2)</f>
        <v>#DIV/0!</v>
      </c>
      <c r="CF396">
        <v>372</v>
      </c>
      <c r="CG396">
        <v>386</v>
      </c>
      <c r="CH396">
        <v>390</v>
      </c>
      <c r="CI396">
        <v>393</v>
      </c>
      <c r="CJ396">
        <f>0.05*CF396/464</f>
        <v>4.0086206896551728E-2</v>
      </c>
      <c r="CK396">
        <f>0.05*CG396/464</f>
        <v>4.1594827586206896E-2</v>
      </c>
      <c r="CL396">
        <f>0.05*CH396/464</f>
        <v>4.2025862068965518E-2</v>
      </c>
      <c r="CM396">
        <f>0.05*CI396/464</f>
        <v>4.2349137931034488E-2</v>
      </c>
      <c r="CN396" t="e">
        <f>IF(CB396&lt;CJ396,"yes","no")</f>
        <v>#DIV/0!</v>
      </c>
      <c r="CO396" t="e">
        <f>IF(CC396&lt;CK396,"yes","no")</f>
        <v>#DIV/0!</v>
      </c>
      <c r="CP396" t="e">
        <f>IF(CD396&lt;CL396,"yes","no")</f>
        <v>#DIV/0!</v>
      </c>
      <c r="CQ396" t="e">
        <f>IF(CE396&lt;CM396,"yes","no")</f>
        <v>#DIV/0!</v>
      </c>
      <c r="CR396" t="e">
        <f>TTEST(AS396:AW396,AD396:AH396,2,2)</f>
        <v>#DIV/0!</v>
      </c>
      <c r="CS396" t="e">
        <f>TTEST(AS396:AW396,AN396:AR396,2,2)</f>
        <v>#DIV/0!</v>
      </c>
      <c r="CT396" t="e">
        <f>TTEST(AS396:AW396,AX396:BB396,2,2)</f>
        <v>#DIV/0!</v>
      </c>
      <c r="CU396">
        <v>390</v>
      </c>
      <c r="CV396">
        <v>393</v>
      </c>
      <c r="CW396">
        <v>395</v>
      </c>
      <c r="CX396">
        <f t="shared" si="18"/>
        <v>4.2025862068965518E-2</v>
      </c>
      <c r="CY396">
        <f t="shared" si="19"/>
        <v>4.2349137931034488E-2</v>
      </c>
      <c r="CZ396">
        <f t="shared" si="20"/>
        <v>4.2564655172413791E-2</v>
      </c>
      <c r="DA396" t="e">
        <f>IF(CR396&lt;CX396,"yes","no")</f>
        <v>#DIV/0!</v>
      </c>
      <c r="DB396" t="e">
        <f>IF(CS396&lt;CY396,"yes","no")</f>
        <v>#DIV/0!</v>
      </c>
      <c r="DC396" t="e">
        <f>IF(CT396&lt;CZ396,"yes","no")</f>
        <v>#DIV/0!</v>
      </c>
    </row>
    <row r="397" spans="1:107" x14ac:dyDescent="0.2">
      <c r="A397" s="2" t="b">
        <v>0</v>
      </c>
      <c r="B397" s="2" t="s">
        <v>79</v>
      </c>
      <c r="C397" s="2" t="s">
        <v>80</v>
      </c>
      <c r="D397" s="2" t="s">
        <v>1510</v>
      </c>
      <c r="E397" s="2" t="s">
        <v>1511</v>
      </c>
      <c r="F397" s="2">
        <v>1</v>
      </c>
      <c r="G397" s="2">
        <v>1</v>
      </c>
      <c r="H397" s="2">
        <v>23.4</v>
      </c>
      <c r="I397" s="2">
        <v>7.36</v>
      </c>
      <c r="J397" s="2" t="s">
        <v>1512</v>
      </c>
      <c r="K397" s="2" t="s">
        <v>845</v>
      </c>
      <c r="L397" s="2" t="s">
        <v>102</v>
      </c>
      <c r="M397" s="2" t="s">
        <v>1513</v>
      </c>
      <c r="N397" s="2" t="s">
        <v>1514</v>
      </c>
      <c r="O397" s="2" t="s">
        <v>83</v>
      </c>
      <c r="P397" s="2" t="s">
        <v>83</v>
      </c>
      <c r="Q397" s="2" t="s">
        <v>83</v>
      </c>
      <c r="R397" s="2" t="s">
        <v>83</v>
      </c>
      <c r="S397" s="2" t="s">
        <v>83</v>
      </c>
      <c r="T397" s="2" t="s">
        <v>83</v>
      </c>
      <c r="U397" s="2" t="s">
        <v>83</v>
      </c>
      <c r="V397" s="2" t="s">
        <v>83</v>
      </c>
      <c r="W397" s="2" t="s">
        <v>83</v>
      </c>
      <c r="X397" s="2" t="s">
        <v>83</v>
      </c>
      <c r="Y397" s="2" t="s">
        <v>83</v>
      </c>
      <c r="Z397" s="2" t="s">
        <v>83</v>
      </c>
      <c r="AA397" s="2" t="s">
        <v>83</v>
      </c>
      <c r="AB397" s="2" t="s">
        <v>83</v>
      </c>
      <c r="AC397" s="2" t="s">
        <v>83</v>
      </c>
      <c r="AD397" s="2" t="s">
        <v>83</v>
      </c>
      <c r="AE397" s="2" t="s">
        <v>83</v>
      </c>
      <c r="AF397" s="2" t="s">
        <v>83</v>
      </c>
      <c r="AG397" s="2" t="s">
        <v>83</v>
      </c>
      <c r="AH397" s="2" t="s">
        <v>83</v>
      </c>
      <c r="AI397" s="2" t="s">
        <v>83</v>
      </c>
      <c r="AJ397" s="2" t="s">
        <v>83</v>
      </c>
      <c r="AK397" s="2" t="s">
        <v>83</v>
      </c>
      <c r="AL397" s="2" t="s">
        <v>83</v>
      </c>
      <c r="AM397" s="2" t="s">
        <v>83</v>
      </c>
      <c r="AN397" s="2" t="s">
        <v>83</v>
      </c>
      <c r="AO397" s="2" t="s">
        <v>83</v>
      </c>
      <c r="AP397" s="2" t="s">
        <v>83</v>
      </c>
      <c r="AQ397" s="2" t="s">
        <v>83</v>
      </c>
      <c r="AR397" s="2" t="s">
        <v>83</v>
      </c>
      <c r="AS397" s="2" t="s">
        <v>83</v>
      </c>
      <c r="AT397" s="2" t="s">
        <v>83</v>
      </c>
      <c r="AU397" s="2" t="s">
        <v>83</v>
      </c>
      <c r="AV397" s="2" t="s">
        <v>83</v>
      </c>
      <c r="AW397" s="2" t="s">
        <v>83</v>
      </c>
      <c r="AX397" s="2" t="s">
        <v>83</v>
      </c>
      <c r="AY397" s="2" t="s">
        <v>83</v>
      </c>
      <c r="AZ397" s="2" t="s">
        <v>83</v>
      </c>
      <c r="BA397" s="2" t="s">
        <v>83</v>
      </c>
      <c r="BB397" s="2" t="s">
        <v>83</v>
      </c>
      <c r="BC397" s="2" t="s">
        <v>98</v>
      </c>
      <c r="BD397" s="2" t="s">
        <v>98</v>
      </c>
      <c r="BE397" s="2" t="s">
        <v>98</v>
      </c>
      <c r="BF397" s="2" t="s">
        <v>79</v>
      </c>
      <c r="BG397" s="2" t="s">
        <v>98</v>
      </c>
      <c r="BH397" s="2" t="s">
        <v>98</v>
      </c>
      <c r="BI397" s="2" t="s">
        <v>98</v>
      </c>
      <c r="BJ397" s="2" t="s">
        <v>98</v>
      </c>
      <c r="BK397" s="2" t="s">
        <v>98</v>
      </c>
      <c r="BL397" s="2" t="s">
        <v>98</v>
      </c>
      <c r="BM397" s="2" t="s">
        <v>98</v>
      </c>
      <c r="BN397" s="2" t="s">
        <v>98</v>
      </c>
      <c r="BO397" s="2" t="s">
        <v>98</v>
      </c>
      <c r="BP397" s="2" t="s">
        <v>98</v>
      </c>
      <c r="BQ397" s="2" t="s">
        <v>98</v>
      </c>
      <c r="BR397" s="2" t="s">
        <v>98</v>
      </c>
      <c r="BS397" s="2" t="s">
        <v>98</v>
      </c>
      <c r="BT397" s="2" t="s">
        <v>98</v>
      </c>
      <c r="BU397" s="2" t="s">
        <v>98</v>
      </c>
      <c r="BV397" s="2" t="s">
        <v>98</v>
      </c>
      <c r="BW397" s="2" t="s">
        <v>98</v>
      </c>
      <c r="BX397" s="2" t="s">
        <v>98</v>
      </c>
      <c r="BY397" s="2" t="s">
        <v>98</v>
      </c>
      <c r="BZ397" s="2" t="s">
        <v>98</v>
      </c>
      <c r="CA397" s="2" t="s">
        <v>98</v>
      </c>
      <c r="CB397" t="e">
        <f>TTEST(AS397:AW397,AI397:AM397,2,2)</f>
        <v>#DIV/0!</v>
      </c>
      <c r="CC397" t="e">
        <f>TTEST(AD397:AH397,AI397:AM397,2,2)</f>
        <v>#DIV/0!</v>
      </c>
      <c r="CD397" t="e">
        <f>TTEST(AN397:AR397,AI397:AM397,2,2)</f>
        <v>#DIV/0!</v>
      </c>
      <c r="CE397" t="e">
        <f>TTEST(AX397:BB397,AI397:AM397,2,2)</f>
        <v>#DIV/0!</v>
      </c>
      <c r="CF397">
        <v>373</v>
      </c>
      <c r="CG397">
        <v>387</v>
      </c>
      <c r="CH397">
        <v>391</v>
      </c>
      <c r="CI397">
        <v>394</v>
      </c>
      <c r="CJ397">
        <f>0.05*CF397/464</f>
        <v>4.0193965517241387E-2</v>
      </c>
      <c r="CK397">
        <f>0.05*CG397/464</f>
        <v>4.1702586206896555E-2</v>
      </c>
      <c r="CL397">
        <f>0.05*CH397/464</f>
        <v>4.2133620689655177E-2</v>
      </c>
      <c r="CM397">
        <f>0.05*CI397/464</f>
        <v>4.2456896551724146E-2</v>
      </c>
      <c r="CN397" t="e">
        <f>IF(CB397&lt;CJ397,"yes","no")</f>
        <v>#DIV/0!</v>
      </c>
      <c r="CO397" t="e">
        <f>IF(CC397&lt;CK397,"yes","no")</f>
        <v>#DIV/0!</v>
      </c>
      <c r="CP397" t="e">
        <f>IF(CD397&lt;CL397,"yes","no")</f>
        <v>#DIV/0!</v>
      </c>
      <c r="CQ397" t="e">
        <f>IF(CE397&lt;CM397,"yes","no")</f>
        <v>#DIV/0!</v>
      </c>
      <c r="CR397" t="e">
        <f>TTEST(AS397:AW397,AD397:AH397,2,2)</f>
        <v>#DIV/0!</v>
      </c>
      <c r="CS397" t="e">
        <f>TTEST(AS397:AW397,AN397:AR397,2,2)</f>
        <v>#DIV/0!</v>
      </c>
      <c r="CT397" t="e">
        <f>TTEST(AS397:AW397,AX397:BB397,2,2)</f>
        <v>#DIV/0!</v>
      </c>
      <c r="CU397">
        <v>391</v>
      </c>
      <c r="CV397">
        <v>394</v>
      </c>
      <c r="CW397">
        <v>396</v>
      </c>
      <c r="CX397">
        <f t="shared" si="18"/>
        <v>4.2133620689655177E-2</v>
      </c>
      <c r="CY397">
        <f t="shared" si="19"/>
        <v>4.2456896551724146E-2</v>
      </c>
      <c r="CZ397">
        <f t="shared" si="20"/>
        <v>4.267241379310345E-2</v>
      </c>
      <c r="DA397" t="e">
        <f>IF(CR397&lt;CX397,"yes","no")</f>
        <v>#DIV/0!</v>
      </c>
      <c r="DB397" t="e">
        <f>IF(CS397&lt;CY397,"yes","no")</f>
        <v>#DIV/0!</v>
      </c>
      <c r="DC397" t="e">
        <f>IF(CT397&lt;CZ397,"yes","no")</f>
        <v>#DIV/0!</v>
      </c>
    </row>
    <row r="398" spans="1:107" x14ac:dyDescent="0.2">
      <c r="A398" s="2" t="b">
        <v>0</v>
      </c>
      <c r="B398" s="2" t="s">
        <v>79</v>
      </c>
      <c r="C398" s="2" t="s">
        <v>80</v>
      </c>
      <c r="D398" s="2" t="s">
        <v>1519</v>
      </c>
      <c r="E398" s="2" t="s">
        <v>1520</v>
      </c>
      <c r="F398" s="2">
        <v>1</v>
      </c>
      <c r="G398" s="2">
        <v>1</v>
      </c>
      <c r="H398" s="2">
        <v>63.3</v>
      </c>
      <c r="I398" s="2">
        <v>6.4</v>
      </c>
      <c r="J398" s="2" t="s">
        <v>135</v>
      </c>
      <c r="K398" s="2" t="s">
        <v>363</v>
      </c>
      <c r="L398" s="2" t="s">
        <v>119</v>
      </c>
      <c r="M398" s="2" t="s">
        <v>83</v>
      </c>
      <c r="N398" s="2" t="s">
        <v>1519</v>
      </c>
      <c r="O398" s="2" t="s">
        <v>83</v>
      </c>
      <c r="P398" s="2" t="s">
        <v>83</v>
      </c>
      <c r="Q398" s="2" t="s">
        <v>83</v>
      </c>
      <c r="R398" s="2" t="s">
        <v>83</v>
      </c>
      <c r="S398" s="2" t="s">
        <v>83</v>
      </c>
      <c r="T398" s="2" t="s">
        <v>83</v>
      </c>
      <c r="U398" s="2" t="s">
        <v>83</v>
      </c>
      <c r="V398" s="2" t="s">
        <v>83</v>
      </c>
      <c r="W398" s="2" t="s">
        <v>83</v>
      </c>
      <c r="X398" s="2" t="s">
        <v>83</v>
      </c>
      <c r="Y398" s="2" t="s">
        <v>83</v>
      </c>
      <c r="Z398" s="2" t="s">
        <v>83</v>
      </c>
      <c r="AA398" s="2" t="s">
        <v>83</v>
      </c>
      <c r="AB398" s="2" t="s">
        <v>83</v>
      </c>
      <c r="AC398" s="2" t="s">
        <v>83</v>
      </c>
      <c r="AD398" s="2" t="s">
        <v>83</v>
      </c>
      <c r="AE398" s="2" t="s">
        <v>83</v>
      </c>
      <c r="AF398" s="2" t="s">
        <v>83</v>
      </c>
      <c r="AG398" s="2" t="s">
        <v>83</v>
      </c>
      <c r="AH398" s="2" t="s">
        <v>83</v>
      </c>
      <c r="AI398" s="2" t="s">
        <v>83</v>
      </c>
      <c r="AJ398" s="2" t="s">
        <v>83</v>
      </c>
      <c r="AK398" s="2" t="s">
        <v>83</v>
      </c>
      <c r="AL398" s="2" t="s">
        <v>83</v>
      </c>
      <c r="AM398" s="2" t="s">
        <v>83</v>
      </c>
      <c r="AN398" s="2" t="s">
        <v>83</v>
      </c>
      <c r="AO398" s="2" t="s">
        <v>83</v>
      </c>
      <c r="AP398" s="2" t="s">
        <v>83</v>
      </c>
      <c r="AQ398" s="2" t="s">
        <v>83</v>
      </c>
      <c r="AR398" s="2" t="s">
        <v>83</v>
      </c>
      <c r="AS398" s="2" t="s">
        <v>83</v>
      </c>
      <c r="AT398" s="2" t="s">
        <v>83</v>
      </c>
      <c r="AU398" s="2" t="s">
        <v>83</v>
      </c>
      <c r="AV398" s="2" t="s">
        <v>83</v>
      </c>
      <c r="AW398" s="2" t="s">
        <v>83</v>
      </c>
      <c r="AX398" s="2" t="s">
        <v>83</v>
      </c>
      <c r="AY398" s="2" t="s">
        <v>83</v>
      </c>
      <c r="AZ398" s="2" t="s">
        <v>83</v>
      </c>
      <c r="BA398" s="2" t="s">
        <v>83</v>
      </c>
      <c r="BB398" s="2" t="s">
        <v>83</v>
      </c>
      <c r="BC398" s="2" t="s">
        <v>98</v>
      </c>
      <c r="BD398" s="2" t="s">
        <v>98</v>
      </c>
      <c r="BE398" s="2" t="s">
        <v>98</v>
      </c>
      <c r="BF398" s="2" t="s">
        <v>79</v>
      </c>
      <c r="BG398" s="2" t="s">
        <v>98</v>
      </c>
      <c r="BH398" s="2" t="s">
        <v>98</v>
      </c>
      <c r="BI398" s="2" t="s">
        <v>98</v>
      </c>
      <c r="BJ398" s="2" t="s">
        <v>98</v>
      </c>
      <c r="BK398" s="2" t="s">
        <v>98</v>
      </c>
      <c r="BL398" s="2" t="s">
        <v>98</v>
      </c>
      <c r="BM398" s="2" t="s">
        <v>98</v>
      </c>
      <c r="BN398" s="2" t="s">
        <v>98</v>
      </c>
      <c r="BO398" s="2" t="s">
        <v>98</v>
      </c>
      <c r="BP398" s="2" t="s">
        <v>98</v>
      </c>
      <c r="BQ398" s="2" t="s">
        <v>98</v>
      </c>
      <c r="BR398" s="2" t="s">
        <v>98</v>
      </c>
      <c r="BS398" s="2" t="s">
        <v>98</v>
      </c>
      <c r="BT398" s="2" t="s">
        <v>98</v>
      </c>
      <c r="BU398" s="2" t="s">
        <v>98</v>
      </c>
      <c r="BV398" s="2" t="s">
        <v>98</v>
      </c>
      <c r="BW398" s="2" t="s">
        <v>98</v>
      </c>
      <c r="BX398" s="2" t="s">
        <v>98</v>
      </c>
      <c r="BY398" s="2" t="s">
        <v>98</v>
      </c>
      <c r="BZ398" s="2" t="s">
        <v>98</v>
      </c>
      <c r="CA398" s="2" t="s">
        <v>98</v>
      </c>
      <c r="CB398" t="e">
        <f>TTEST(AS398:AW398,AI398:AM398,2,2)</f>
        <v>#DIV/0!</v>
      </c>
      <c r="CC398" t="e">
        <f>TTEST(AD398:AH398,AI398:AM398,2,2)</f>
        <v>#DIV/0!</v>
      </c>
      <c r="CD398" t="e">
        <f>TTEST(AN398:AR398,AI398:AM398,2,2)</f>
        <v>#DIV/0!</v>
      </c>
      <c r="CE398" t="e">
        <f>TTEST(AX398:BB398,AI398:AM398,2,2)</f>
        <v>#DIV/0!</v>
      </c>
      <c r="CF398">
        <v>374</v>
      </c>
      <c r="CG398">
        <v>388</v>
      </c>
      <c r="CH398">
        <v>392</v>
      </c>
      <c r="CI398">
        <v>395</v>
      </c>
      <c r="CJ398">
        <f>0.05*CF398/464</f>
        <v>4.0301724137931032E-2</v>
      </c>
      <c r="CK398">
        <f>0.05*CG398/464</f>
        <v>4.1810344827586214E-2</v>
      </c>
      <c r="CL398">
        <f>0.05*CH398/464</f>
        <v>4.2241379310344829E-2</v>
      </c>
      <c r="CM398">
        <f>0.05*CI398/464</f>
        <v>4.2564655172413791E-2</v>
      </c>
      <c r="CN398" t="e">
        <f>IF(CB398&lt;CJ398,"yes","no")</f>
        <v>#DIV/0!</v>
      </c>
      <c r="CO398" t="e">
        <f>IF(CC398&lt;CK398,"yes","no")</f>
        <v>#DIV/0!</v>
      </c>
      <c r="CP398" t="e">
        <f>IF(CD398&lt;CL398,"yes","no")</f>
        <v>#DIV/0!</v>
      </c>
      <c r="CQ398" t="e">
        <f>IF(CE398&lt;CM398,"yes","no")</f>
        <v>#DIV/0!</v>
      </c>
      <c r="CR398" t="e">
        <f>TTEST(AS398:AW398,AD398:AH398,2,2)</f>
        <v>#DIV/0!</v>
      </c>
      <c r="CS398" t="e">
        <f>TTEST(AS398:AW398,AN398:AR398,2,2)</f>
        <v>#DIV/0!</v>
      </c>
      <c r="CT398" t="e">
        <f>TTEST(AS398:AW398,AX398:BB398,2,2)</f>
        <v>#DIV/0!</v>
      </c>
      <c r="CU398">
        <v>392</v>
      </c>
      <c r="CV398">
        <v>395</v>
      </c>
      <c r="CW398">
        <v>397</v>
      </c>
      <c r="CX398">
        <f t="shared" si="18"/>
        <v>4.2241379310344829E-2</v>
      </c>
      <c r="CY398">
        <f t="shared" si="19"/>
        <v>4.2564655172413791E-2</v>
      </c>
      <c r="CZ398">
        <f t="shared" si="20"/>
        <v>4.2780172413793109E-2</v>
      </c>
      <c r="DA398" t="e">
        <f>IF(CR398&lt;CX398,"yes","no")</f>
        <v>#DIV/0!</v>
      </c>
      <c r="DB398" t="e">
        <f>IF(CS398&lt;CY398,"yes","no")</f>
        <v>#DIV/0!</v>
      </c>
      <c r="DC398" t="e">
        <f>IF(CT398&lt;CZ398,"yes","no")</f>
        <v>#DIV/0!</v>
      </c>
    </row>
    <row r="399" spans="1:107" x14ac:dyDescent="0.2">
      <c r="A399" s="2" t="b">
        <v>0</v>
      </c>
      <c r="B399" s="2" t="s">
        <v>79</v>
      </c>
      <c r="C399" s="2" t="s">
        <v>80</v>
      </c>
      <c r="D399" s="2" t="s">
        <v>1521</v>
      </c>
      <c r="E399" s="2" t="s">
        <v>1522</v>
      </c>
      <c r="F399" s="2">
        <v>1</v>
      </c>
      <c r="G399" s="2">
        <v>1</v>
      </c>
      <c r="H399" s="2">
        <v>26.9</v>
      </c>
      <c r="I399" s="2">
        <v>7.06</v>
      </c>
      <c r="J399" s="2" t="s">
        <v>83</v>
      </c>
      <c r="K399" s="2" t="s">
        <v>629</v>
      </c>
      <c r="L399" s="2" t="s">
        <v>83</v>
      </c>
      <c r="M399" s="2" t="s">
        <v>83</v>
      </c>
      <c r="N399" s="2" t="s">
        <v>1521</v>
      </c>
      <c r="O399" s="2">
        <v>0.01</v>
      </c>
      <c r="P399" s="2">
        <v>0.01</v>
      </c>
      <c r="Q399" s="2">
        <v>7.8449999999999998</v>
      </c>
      <c r="R399" s="2">
        <v>100</v>
      </c>
      <c r="S399" s="2" t="s">
        <v>83</v>
      </c>
      <c r="T399" s="2" t="s">
        <v>83</v>
      </c>
      <c r="U399" s="2">
        <v>100</v>
      </c>
      <c r="V399" s="2" t="s">
        <v>83</v>
      </c>
      <c r="W399" s="2">
        <v>100</v>
      </c>
      <c r="X399" s="2">
        <v>100</v>
      </c>
      <c r="Y399" s="2">
        <v>61</v>
      </c>
      <c r="Z399" s="2" t="s">
        <v>83</v>
      </c>
      <c r="AA399" s="2" t="s">
        <v>83</v>
      </c>
      <c r="AB399" s="2" t="s">
        <v>83</v>
      </c>
      <c r="AC399" s="2">
        <v>439</v>
      </c>
      <c r="AD399" s="2">
        <v>41429.34375</v>
      </c>
      <c r="AE399" s="2">
        <v>26987.3203125</v>
      </c>
      <c r="AF399" s="2">
        <v>36740.74609375</v>
      </c>
      <c r="AG399" s="2">
        <v>29958.388671875</v>
      </c>
      <c r="AH399" s="2">
        <v>39011.8125</v>
      </c>
      <c r="AI399" s="2" t="s">
        <v>83</v>
      </c>
      <c r="AJ399" s="2" t="s">
        <v>83</v>
      </c>
      <c r="AK399" s="2" t="s">
        <v>83</v>
      </c>
      <c r="AL399" s="2" t="s">
        <v>83</v>
      </c>
      <c r="AM399" s="2" t="s">
        <v>83</v>
      </c>
      <c r="AN399" s="2" t="s">
        <v>83</v>
      </c>
      <c r="AO399" s="2" t="s">
        <v>83</v>
      </c>
      <c r="AP399" s="2" t="s">
        <v>83</v>
      </c>
      <c r="AQ399" s="2" t="s">
        <v>83</v>
      </c>
      <c r="AR399" s="2" t="s">
        <v>83</v>
      </c>
      <c r="AS399" s="2" t="s">
        <v>83</v>
      </c>
      <c r="AT399" s="2" t="s">
        <v>83</v>
      </c>
      <c r="AU399" s="2" t="s">
        <v>83</v>
      </c>
      <c r="AV399" s="2" t="s">
        <v>83</v>
      </c>
      <c r="AW399" s="2" t="s">
        <v>83</v>
      </c>
      <c r="AX399" s="2" t="s">
        <v>83</v>
      </c>
      <c r="AY399" s="2">
        <v>17628.91796875</v>
      </c>
      <c r="AZ399" s="2">
        <v>20179.779296875</v>
      </c>
      <c r="BA399" s="2" t="s">
        <v>83</v>
      </c>
      <c r="BB399" s="2" t="s">
        <v>83</v>
      </c>
      <c r="BC399" s="2" t="s">
        <v>79</v>
      </c>
      <c r="BD399" s="2" t="s">
        <v>91</v>
      </c>
      <c r="BE399" s="2" t="s">
        <v>79</v>
      </c>
      <c r="BF399" s="2" t="s">
        <v>79</v>
      </c>
      <c r="BG399" s="2" t="s">
        <v>91</v>
      </c>
      <c r="BH399" s="2" t="s">
        <v>98</v>
      </c>
      <c r="BI399" s="2" t="s">
        <v>98</v>
      </c>
      <c r="BJ399" s="2" t="s">
        <v>98</v>
      </c>
      <c r="BK399" s="2" t="s">
        <v>98</v>
      </c>
      <c r="BL399" s="2" t="s">
        <v>98</v>
      </c>
      <c r="BM399" s="2" t="s">
        <v>98</v>
      </c>
      <c r="BN399" s="2" t="s">
        <v>98</v>
      </c>
      <c r="BO399" s="2" t="s">
        <v>98</v>
      </c>
      <c r="BP399" s="2" t="s">
        <v>98</v>
      </c>
      <c r="BQ399" s="2" t="s">
        <v>98</v>
      </c>
      <c r="BR399" s="2" t="s">
        <v>98</v>
      </c>
      <c r="BS399" s="2" t="s">
        <v>98</v>
      </c>
      <c r="BT399" s="2" t="s">
        <v>98</v>
      </c>
      <c r="BU399" s="2" t="s">
        <v>98</v>
      </c>
      <c r="BV399" s="2" t="s">
        <v>98</v>
      </c>
      <c r="BW399" s="2" t="s">
        <v>98</v>
      </c>
      <c r="BX399" s="2" t="s">
        <v>91</v>
      </c>
      <c r="BY399" s="2" t="s">
        <v>91</v>
      </c>
      <c r="BZ399" s="2" t="s">
        <v>98</v>
      </c>
      <c r="CA399" s="2" t="s">
        <v>98</v>
      </c>
      <c r="CB399" t="e">
        <f>TTEST(AS399:AW399,AI399:AM399,2,2)</f>
        <v>#DIV/0!</v>
      </c>
      <c r="CC399" t="e">
        <f>TTEST(AD399:AH399,AI399:AM399,2,2)</f>
        <v>#DIV/0!</v>
      </c>
      <c r="CD399" t="e">
        <f>TTEST(AN399:AR399,AI399:AM399,2,2)</f>
        <v>#DIV/0!</v>
      </c>
      <c r="CE399" t="e">
        <f>TTEST(AX399:BB399,AI399:AM399,2,2)</f>
        <v>#DIV/0!</v>
      </c>
      <c r="CF399">
        <v>375</v>
      </c>
      <c r="CG399">
        <v>389</v>
      </c>
      <c r="CH399">
        <v>393</v>
      </c>
      <c r="CI399">
        <v>396</v>
      </c>
      <c r="CJ399">
        <f>0.05*CF399/464</f>
        <v>4.0409482758620691E-2</v>
      </c>
      <c r="CK399">
        <f>0.05*CG399/464</f>
        <v>4.1918103448275866E-2</v>
      </c>
      <c r="CL399">
        <f>0.05*CH399/464</f>
        <v>4.2349137931034488E-2</v>
      </c>
      <c r="CM399">
        <f>0.05*CI399/464</f>
        <v>4.267241379310345E-2</v>
      </c>
      <c r="CN399" t="e">
        <f>IF(CB399&lt;CJ399,"yes","no")</f>
        <v>#DIV/0!</v>
      </c>
      <c r="CO399" t="e">
        <f>IF(CC399&lt;CK399,"yes","no")</f>
        <v>#DIV/0!</v>
      </c>
      <c r="CP399" t="e">
        <f>IF(CD399&lt;CL399,"yes","no")</f>
        <v>#DIV/0!</v>
      </c>
      <c r="CQ399" t="e">
        <f>IF(CE399&lt;CM399,"yes","no")</f>
        <v>#DIV/0!</v>
      </c>
      <c r="CR399" t="e">
        <f>TTEST(AS399:AW399,AD399:AH399,2,2)</f>
        <v>#DIV/0!</v>
      </c>
      <c r="CS399" t="e">
        <f>TTEST(AS399:AW399,AN399:AR399,2,2)</f>
        <v>#DIV/0!</v>
      </c>
      <c r="CT399" t="e">
        <f>TTEST(AS399:AW399,AX399:BB399,2,2)</f>
        <v>#DIV/0!</v>
      </c>
      <c r="CU399">
        <v>393</v>
      </c>
      <c r="CV399">
        <v>396</v>
      </c>
      <c r="CW399">
        <v>398</v>
      </c>
      <c r="CX399">
        <f t="shared" si="18"/>
        <v>4.2349137931034488E-2</v>
      </c>
      <c r="CY399">
        <f t="shared" si="19"/>
        <v>4.267241379310345E-2</v>
      </c>
      <c r="CZ399">
        <f t="shared" si="20"/>
        <v>4.2887931034482761E-2</v>
      </c>
      <c r="DA399" t="e">
        <f>IF(CR399&lt;CX399,"yes","no")</f>
        <v>#DIV/0!</v>
      </c>
      <c r="DB399" t="e">
        <f>IF(CS399&lt;CY399,"yes","no")</f>
        <v>#DIV/0!</v>
      </c>
      <c r="DC399" t="e">
        <f>IF(CT399&lt;CZ399,"yes","no")</f>
        <v>#DIV/0!</v>
      </c>
    </row>
    <row r="400" spans="1:107" x14ac:dyDescent="0.2">
      <c r="A400" s="2" t="b">
        <v>0</v>
      </c>
      <c r="B400" s="2" t="s">
        <v>79</v>
      </c>
      <c r="C400" s="2" t="s">
        <v>80</v>
      </c>
      <c r="D400" s="2" t="s">
        <v>1523</v>
      </c>
      <c r="E400" s="2" t="s">
        <v>1524</v>
      </c>
      <c r="F400" s="2">
        <v>1</v>
      </c>
      <c r="G400" s="2">
        <v>1</v>
      </c>
      <c r="H400" s="2">
        <v>31.5</v>
      </c>
      <c r="I400" s="2">
        <v>8.1300000000000008</v>
      </c>
      <c r="J400" s="2" t="s">
        <v>83</v>
      </c>
      <c r="K400" s="2" t="s">
        <v>83</v>
      </c>
      <c r="L400" s="2" t="s">
        <v>119</v>
      </c>
      <c r="M400" s="2" t="s">
        <v>83</v>
      </c>
      <c r="N400" s="2" t="s">
        <v>1525</v>
      </c>
      <c r="O400" s="2" t="s">
        <v>83</v>
      </c>
      <c r="P400" s="2" t="s">
        <v>83</v>
      </c>
      <c r="Q400" s="2" t="s">
        <v>83</v>
      </c>
      <c r="R400" s="2" t="s">
        <v>83</v>
      </c>
      <c r="S400" s="2" t="s">
        <v>83</v>
      </c>
      <c r="T400" s="2" t="s">
        <v>83</v>
      </c>
      <c r="U400" s="2" t="s">
        <v>83</v>
      </c>
      <c r="V400" s="2" t="s">
        <v>83</v>
      </c>
      <c r="W400" s="2" t="s">
        <v>83</v>
      </c>
      <c r="X400" s="2" t="s">
        <v>83</v>
      </c>
      <c r="Y400" s="2" t="s">
        <v>83</v>
      </c>
      <c r="Z400" s="2" t="s">
        <v>83</v>
      </c>
      <c r="AA400" s="2" t="s">
        <v>83</v>
      </c>
      <c r="AB400" s="2" t="s">
        <v>83</v>
      </c>
      <c r="AC400" s="2" t="s">
        <v>83</v>
      </c>
      <c r="AD400" s="2" t="s">
        <v>83</v>
      </c>
      <c r="AE400" s="2" t="s">
        <v>83</v>
      </c>
      <c r="AF400" s="2" t="s">
        <v>83</v>
      </c>
      <c r="AG400" s="2" t="s">
        <v>83</v>
      </c>
      <c r="AH400" s="2" t="s">
        <v>83</v>
      </c>
      <c r="AI400" s="2" t="s">
        <v>83</v>
      </c>
      <c r="AJ400" s="2" t="s">
        <v>83</v>
      </c>
      <c r="AK400" s="2" t="s">
        <v>83</v>
      </c>
      <c r="AL400" s="2" t="s">
        <v>83</v>
      </c>
      <c r="AM400" s="2" t="s">
        <v>83</v>
      </c>
      <c r="AN400" s="2" t="s">
        <v>83</v>
      </c>
      <c r="AO400" s="2" t="s">
        <v>83</v>
      </c>
      <c r="AP400" s="2" t="s">
        <v>83</v>
      </c>
      <c r="AQ400" s="2" t="s">
        <v>83</v>
      </c>
      <c r="AR400" s="2" t="s">
        <v>83</v>
      </c>
      <c r="AS400" s="2" t="s">
        <v>83</v>
      </c>
      <c r="AT400" s="2" t="s">
        <v>83</v>
      </c>
      <c r="AU400" s="2" t="s">
        <v>83</v>
      </c>
      <c r="AV400" s="2" t="s">
        <v>83</v>
      </c>
      <c r="AW400" s="2" t="s">
        <v>83</v>
      </c>
      <c r="AX400" s="2" t="s">
        <v>83</v>
      </c>
      <c r="AY400" s="2" t="s">
        <v>83</v>
      </c>
      <c r="AZ400" s="2" t="s">
        <v>83</v>
      </c>
      <c r="BA400" s="2" t="s">
        <v>83</v>
      </c>
      <c r="BB400" s="2" t="s">
        <v>83</v>
      </c>
      <c r="BC400" s="2" t="s">
        <v>98</v>
      </c>
      <c r="BD400" s="2" t="s">
        <v>98</v>
      </c>
      <c r="BE400" s="2" t="s">
        <v>98</v>
      </c>
      <c r="BF400" s="2" t="s">
        <v>79</v>
      </c>
      <c r="BG400" s="2" t="s">
        <v>98</v>
      </c>
      <c r="BH400" s="2" t="s">
        <v>98</v>
      </c>
      <c r="BI400" s="2" t="s">
        <v>98</v>
      </c>
      <c r="BJ400" s="2" t="s">
        <v>98</v>
      </c>
      <c r="BK400" s="2" t="s">
        <v>98</v>
      </c>
      <c r="BL400" s="2" t="s">
        <v>98</v>
      </c>
      <c r="BM400" s="2" t="s">
        <v>98</v>
      </c>
      <c r="BN400" s="2" t="s">
        <v>98</v>
      </c>
      <c r="BO400" s="2" t="s">
        <v>98</v>
      </c>
      <c r="BP400" s="2" t="s">
        <v>98</v>
      </c>
      <c r="BQ400" s="2" t="s">
        <v>98</v>
      </c>
      <c r="BR400" s="2" t="s">
        <v>98</v>
      </c>
      <c r="BS400" s="2" t="s">
        <v>98</v>
      </c>
      <c r="BT400" s="2" t="s">
        <v>98</v>
      </c>
      <c r="BU400" s="2" t="s">
        <v>98</v>
      </c>
      <c r="BV400" s="2" t="s">
        <v>98</v>
      </c>
      <c r="BW400" s="2" t="s">
        <v>98</v>
      </c>
      <c r="BX400" s="2" t="s">
        <v>98</v>
      </c>
      <c r="BY400" s="2" t="s">
        <v>98</v>
      </c>
      <c r="BZ400" s="2" t="s">
        <v>98</v>
      </c>
      <c r="CA400" s="2" t="s">
        <v>98</v>
      </c>
      <c r="CB400" t="e">
        <f>TTEST(AS400:AW400,AI400:AM400,2,2)</f>
        <v>#DIV/0!</v>
      </c>
      <c r="CC400" t="e">
        <f>TTEST(AD400:AH400,AI400:AM400,2,2)</f>
        <v>#DIV/0!</v>
      </c>
      <c r="CD400" t="e">
        <f>TTEST(AN400:AR400,AI400:AM400,2,2)</f>
        <v>#DIV/0!</v>
      </c>
      <c r="CE400" t="e">
        <f>TTEST(AX400:BB400,AI400:AM400,2,2)</f>
        <v>#DIV/0!</v>
      </c>
      <c r="CF400">
        <v>376</v>
      </c>
      <c r="CG400">
        <v>390</v>
      </c>
      <c r="CH400">
        <v>394</v>
      </c>
      <c r="CI400">
        <v>397</v>
      </c>
      <c r="CJ400">
        <f>0.05*CF400/464</f>
        <v>4.0517241379310349E-2</v>
      </c>
      <c r="CK400">
        <f>0.05*CG400/464</f>
        <v>4.2025862068965518E-2</v>
      </c>
      <c r="CL400">
        <f>0.05*CH400/464</f>
        <v>4.2456896551724146E-2</v>
      </c>
      <c r="CM400">
        <f>0.05*CI400/464</f>
        <v>4.2780172413793109E-2</v>
      </c>
      <c r="CN400" t="e">
        <f>IF(CB400&lt;CJ400,"yes","no")</f>
        <v>#DIV/0!</v>
      </c>
      <c r="CO400" t="e">
        <f>IF(CC400&lt;CK400,"yes","no")</f>
        <v>#DIV/0!</v>
      </c>
      <c r="CP400" t="e">
        <f>IF(CD400&lt;CL400,"yes","no")</f>
        <v>#DIV/0!</v>
      </c>
      <c r="CQ400" t="e">
        <f>IF(CE400&lt;CM400,"yes","no")</f>
        <v>#DIV/0!</v>
      </c>
      <c r="CR400" t="e">
        <f>TTEST(AS400:AW400,AD400:AH400,2,2)</f>
        <v>#DIV/0!</v>
      </c>
      <c r="CS400" t="e">
        <f>TTEST(AS400:AW400,AN400:AR400,2,2)</f>
        <v>#DIV/0!</v>
      </c>
      <c r="CT400" t="e">
        <f>TTEST(AS400:AW400,AX400:BB400,2,2)</f>
        <v>#DIV/0!</v>
      </c>
      <c r="CU400">
        <v>394</v>
      </c>
      <c r="CV400">
        <v>397</v>
      </c>
      <c r="CW400">
        <v>399</v>
      </c>
      <c r="CX400">
        <f t="shared" si="18"/>
        <v>4.2456896551724146E-2</v>
      </c>
      <c r="CY400">
        <f t="shared" si="19"/>
        <v>4.2780172413793109E-2</v>
      </c>
      <c r="CZ400">
        <f t="shared" si="20"/>
        <v>4.299568965517242E-2</v>
      </c>
      <c r="DA400" t="e">
        <f>IF(CR400&lt;CX400,"yes","no")</f>
        <v>#DIV/0!</v>
      </c>
      <c r="DB400" t="e">
        <f>IF(CS400&lt;CY400,"yes","no")</f>
        <v>#DIV/0!</v>
      </c>
      <c r="DC400" t="e">
        <f>IF(CT400&lt;CZ400,"yes","no")</f>
        <v>#DIV/0!</v>
      </c>
    </row>
    <row r="401" spans="1:107" x14ac:dyDescent="0.2">
      <c r="A401" s="2" t="b">
        <v>0</v>
      </c>
      <c r="B401" s="2" t="s">
        <v>79</v>
      </c>
      <c r="C401" s="2" t="s">
        <v>80</v>
      </c>
      <c r="D401" s="2" t="s">
        <v>1533</v>
      </c>
      <c r="E401" s="2" t="s">
        <v>1534</v>
      </c>
      <c r="F401" s="2">
        <v>1</v>
      </c>
      <c r="G401" s="2">
        <v>1</v>
      </c>
      <c r="H401" s="2">
        <v>165.8</v>
      </c>
      <c r="I401" s="2">
        <v>5.2</v>
      </c>
      <c r="J401" s="2" t="s">
        <v>965</v>
      </c>
      <c r="K401" s="2" t="s">
        <v>1535</v>
      </c>
      <c r="L401" s="2" t="s">
        <v>146</v>
      </c>
      <c r="M401" s="2" t="s">
        <v>1536</v>
      </c>
      <c r="N401" s="2" t="s">
        <v>1537</v>
      </c>
      <c r="O401" s="2" t="s">
        <v>83</v>
      </c>
      <c r="P401" s="2" t="s">
        <v>83</v>
      </c>
      <c r="Q401" s="2" t="s">
        <v>83</v>
      </c>
      <c r="R401" s="2" t="s">
        <v>83</v>
      </c>
      <c r="S401" s="2" t="s">
        <v>83</v>
      </c>
      <c r="T401" s="2" t="s">
        <v>83</v>
      </c>
      <c r="U401" s="2" t="s">
        <v>83</v>
      </c>
      <c r="V401" s="2" t="s">
        <v>83</v>
      </c>
      <c r="W401" s="2" t="s">
        <v>83</v>
      </c>
      <c r="X401" s="2" t="s">
        <v>83</v>
      </c>
      <c r="Y401" s="2" t="s">
        <v>83</v>
      </c>
      <c r="Z401" s="2" t="s">
        <v>83</v>
      </c>
      <c r="AA401" s="2" t="s">
        <v>83</v>
      </c>
      <c r="AB401" s="2" t="s">
        <v>83</v>
      </c>
      <c r="AC401" s="2" t="s">
        <v>83</v>
      </c>
      <c r="AD401" s="2" t="s">
        <v>83</v>
      </c>
      <c r="AE401" s="2" t="s">
        <v>83</v>
      </c>
      <c r="AF401" s="2" t="s">
        <v>83</v>
      </c>
      <c r="AG401" s="2" t="s">
        <v>83</v>
      </c>
      <c r="AH401" s="2" t="s">
        <v>83</v>
      </c>
      <c r="AI401" s="2" t="s">
        <v>83</v>
      </c>
      <c r="AJ401" s="2" t="s">
        <v>83</v>
      </c>
      <c r="AK401" s="2" t="s">
        <v>83</v>
      </c>
      <c r="AL401" s="2" t="s">
        <v>83</v>
      </c>
      <c r="AM401" s="2" t="s">
        <v>83</v>
      </c>
      <c r="AN401" s="2" t="s">
        <v>83</v>
      </c>
      <c r="AO401" s="2" t="s">
        <v>83</v>
      </c>
      <c r="AP401" s="2" t="s">
        <v>83</v>
      </c>
      <c r="AQ401" s="2" t="s">
        <v>83</v>
      </c>
      <c r="AR401" s="2" t="s">
        <v>83</v>
      </c>
      <c r="AS401" s="2" t="s">
        <v>83</v>
      </c>
      <c r="AT401" s="2" t="s">
        <v>83</v>
      </c>
      <c r="AU401" s="2" t="s">
        <v>83</v>
      </c>
      <c r="AV401" s="2" t="s">
        <v>83</v>
      </c>
      <c r="AW401" s="2" t="s">
        <v>83</v>
      </c>
      <c r="AX401" s="2" t="s">
        <v>83</v>
      </c>
      <c r="AY401" s="2" t="s">
        <v>83</v>
      </c>
      <c r="AZ401" s="2" t="s">
        <v>83</v>
      </c>
      <c r="BA401" s="2" t="s">
        <v>83</v>
      </c>
      <c r="BB401" s="2" t="s">
        <v>83</v>
      </c>
      <c r="BC401" s="2" t="s">
        <v>98</v>
      </c>
      <c r="BD401" s="2" t="s">
        <v>98</v>
      </c>
      <c r="BE401" s="2" t="s">
        <v>98</v>
      </c>
      <c r="BF401" s="2" t="s">
        <v>98</v>
      </c>
      <c r="BG401" s="2" t="s">
        <v>98</v>
      </c>
      <c r="BH401" s="2" t="s">
        <v>98</v>
      </c>
      <c r="BI401" s="2" t="s">
        <v>98</v>
      </c>
      <c r="BJ401" s="2" t="s">
        <v>98</v>
      </c>
      <c r="BK401" s="2" t="s">
        <v>98</v>
      </c>
      <c r="BL401" s="2" t="s">
        <v>98</v>
      </c>
      <c r="BM401" s="2" t="s">
        <v>98</v>
      </c>
      <c r="BN401" s="2" t="s">
        <v>98</v>
      </c>
      <c r="BO401" s="2" t="s">
        <v>98</v>
      </c>
      <c r="BP401" s="2" t="s">
        <v>98</v>
      </c>
      <c r="BQ401" s="2" t="s">
        <v>98</v>
      </c>
      <c r="BR401" s="2" t="s">
        <v>98</v>
      </c>
      <c r="BS401" s="2" t="s">
        <v>98</v>
      </c>
      <c r="BT401" s="2" t="s">
        <v>98</v>
      </c>
      <c r="BU401" s="2" t="s">
        <v>98</v>
      </c>
      <c r="BV401" s="2" t="s">
        <v>98</v>
      </c>
      <c r="BW401" s="2" t="s">
        <v>98</v>
      </c>
      <c r="BX401" s="2" t="s">
        <v>98</v>
      </c>
      <c r="BY401" s="2" t="s">
        <v>98</v>
      </c>
      <c r="BZ401" s="2" t="s">
        <v>79</v>
      </c>
      <c r="CA401" s="2" t="s">
        <v>98</v>
      </c>
      <c r="CB401" t="e">
        <f>TTEST(AS401:AW401,AI401:AM401,2,2)</f>
        <v>#DIV/0!</v>
      </c>
      <c r="CC401" t="e">
        <f>TTEST(AD401:AH401,AI401:AM401,2,2)</f>
        <v>#DIV/0!</v>
      </c>
      <c r="CD401" t="e">
        <f>TTEST(AN401:AR401,AI401:AM401,2,2)</f>
        <v>#DIV/0!</v>
      </c>
      <c r="CE401" t="e">
        <f>TTEST(AX401:BB401,AI401:AM401,2,2)</f>
        <v>#DIV/0!</v>
      </c>
      <c r="CF401">
        <v>377</v>
      </c>
      <c r="CG401">
        <v>391</v>
      </c>
      <c r="CH401">
        <v>395</v>
      </c>
      <c r="CI401">
        <v>398</v>
      </c>
      <c r="CJ401">
        <f>0.05*CF401/464</f>
        <v>4.0625000000000001E-2</v>
      </c>
      <c r="CK401">
        <f>0.05*CG401/464</f>
        <v>4.2133620689655177E-2</v>
      </c>
      <c r="CL401">
        <f>0.05*CH401/464</f>
        <v>4.2564655172413791E-2</v>
      </c>
      <c r="CM401">
        <f>0.05*CI401/464</f>
        <v>4.2887931034482761E-2</v>
      </c>
      <c r="CN401" t="e">
        <f>IF(CB401&lt;CJ401,"yes","no")</f>
        <v>#DIV/0!</v>
      </c>
      <c r="CO401" t="e">
        <f>IF(CC401&lt;CK401,"yes","no")</f>
        <v>#DIV/0!</v>
      </c>
      <c r="CP401" t="e">
        <f>IF(CD401&lt;CL401,"yes","no")</f>
        <v>#DIV/0!</v>
      </c>
      <c r="CQ401" t="e">
        <f>IF(CE401&lt;CM401,"yes","no")</f>
        <v>#DIV/0!</v>
      </c>
      <c r="CR401" t="e">
        <f>TTEST(AS401:AW401,AD401:AH401,2,2)</f>
        <v>#DIV/0!</v>
      </c>
      <c r="CS401" t="e">
        <f>TTEST(AS401:AW401,AN401:AR401,2,2)</f>
        <v>#DIV/0!</v>
      </c>
      <c r="CT401" t="e">
        <f>TTEST(AS401:AW401,AX401:BB401,2,2)</f>
        <v>#DIV/0!</v>
      </c>
      <c r="CU401">
        <v>395</v>
      </c>
      <c r="CV401">
        <v>398</v>
      </c>
      <c r="CW401">
        <v>400</v>
      </c>
      <c r="CX401">
        <f t="shared" si="18"/>
        <v>4.2564655172413791E-2</v>
      </c>
      <c r="CY401">
        <f t="shared" si="19"/>
        <v>4.2887931034482761E-2</v>
      </c>
      <c r="CZ401">
        <f t="shared" si="20"/>
        <v>4.3103448275862072E-2</v>
      </c>
      <c r="DA401" t="e">
        <f>IF(CR401&lt;CX401,"yes","no")</f>
        <v>#DIV/0!</v>
      </c>
      <c r="DB401" t="e">
        <f>IF(CS401&lt;CY401,"yes","no")</f>
        <v>#DIV/0!</v>
      </c>
      <c r="DC401" t="e">
        <f>IF(CT401&lt;CZ401,"yes","no")</f>
        <v>#DIV/0!</v>
      </c>
    </row>
    <row r="402" spans="1:107" x14ac:dyDescent="0.2">
      <c r="A402" s="2" t="b">
        <v>0</v>
      </c>
      <c r="B402" s="2" t="s">
        <v>79</v>
      </c>
      <c r="C402" s="2" t="s">
        <v>80</v>
      </c>
      <c r="D402" s="2" t="s">
        <v>1538</v>
      </c>
      <c r="E402" s="2" t="s">
        <v>1539</v>
      </c>
      <c r="F402" s="2">
        <v>1</v>
      </c>
      <c r="G402" s="2">
        <v>1</v>
      </c>
      <c r="H402" s="2">
        <v>52.5</v>
      </c>
      <c r="I402" s="2">
        <v>5.2</v>
      </c>
      <c r="J402" s="2" t="s">
        <v>83</v>
      </c>
      <c r="K402" s="2" t="s">
        <v>1540</v>
      </c>
      <c r="L402" s="2" t="s">
        <v>119</v>
      </c>
      <c r="M402" s="2" t="s">
        <v>1541</v>
      </c>
      <c r="N402" s="2" t="s">
        <v>1538</v>
      </c>
      <c r="O402" s="2" t="s">
        <v>83</v>
      </c>
      <c r="P402" s="2" t="s">
        <v>83</v>
      </c>
      <c r="Q402" s="2" t="s">
        <v>83</v>
      </c>
      <c r="R402" s="2" t="s">
        <v>83</v>
      </c>
      <c r="S402" s="2" t="s">
        <v>83</v>
      </c>
      <c r="T402" s="2" t="s">
        <v>83</v>
      </c>
      <c r="U402" s="2" t="s">
        <v>83</v>
      </c>
      <c r="V402" s="2" t="s">
        <v>83</v>
      </c>
      <c r="W402" s="2" t="s">
        <v>83</v>
      </c>
      <c r="X402" s="2" t="s">
        <v>83</v>
      </c>
      <c r="Y402" s="2" t="s">
        <v>83</v>
      </c>
      <c r="Z402" s="2" t="s">
        <v>83</v>
      </c>
      <c r="AA402" s="2" t="s">
        <v>83</v>
      </c>
      <c r="AB402" s="2" t="s">
        <v>83</v>
      </c>
      <c r="AC402" s="2" t="s">
        <v>83</v>
      </c>
      <c r="AD402" s="2" t="s">
        <v>83</v>
      </c>
      <c r="AE402" s="2" t="s">
        <v>83</v>
      </c>
      <c r="AF402" s="2" t="s">
        <v>83</v>
      </c>
      <c r="AG402" s="2" t="s">
        <v>83</v>
      </c>
      <c r="AH402" s="2" t="s">
        <v>83</v>
      </c>
      <c r="AI402" s="2" t="s">
        <v>83</v>
      </c>
      <c r="AJ402" s="2" t="s">
        <v>83</v>
      </c>
      <c r="AK402" s="2" t="s">
        <v>83</v>
      </c>
      <c r="AL402" s="2" t="s">
        <v>83</v>
      </c>
      <c r="AM402" s="2" t="s">
        <v>83</v>
      </c>
      <c r="AN402" s="2" t="s">
        <v>83</v>
      </c>
      <c r="AO402" s="2" t="s">
        <v>83</v>
      </c>
      <c r="AP402" s="2" t="s">
        <v>83</v>
      </c>
      <c r="AQ402" s="2" t="s">
        <v>83</v>
      </c>
      <c r="AR402" s="2" t="s">
        <v>83</v>
      </c>
      <c r="AS402" s="2" t="s">
        <v>83</v>
      </c>
      <c r="AT402" s="2" t="s">
        <v>83</v>
      </c>
      <c r="AU402" s="2" t="s">
        <v>83</v>
      </c>
      <c r="AV402" s="2" t="s">
        <v>83</v>
      </c>
      <c r="AW402" s="2" t="s">
        <v>83</v>
      </c>
      <c r="AX402" s="2" t="s">
        <v>83</v>
      </c>
      <c r="AY402" s="2" t="s">
        <v>83</v>
      </c>
      <c r="AZ402" s="2" t="s">
        <v>83</v>
      </c>
      <c r="BA402" s="2" t="s">
        <v>83</v>
      </c>
      <c r="BB402" s="2" t="s">
        <v>83</v>
      </c>
      <c r="BC402" s="2" t="s">
        <v>79</v>
      </c>
      <c r="BD402" s="2" t="s">
        <v>98</v>
      </c>
      <c r="BE402" s="2" t="s">
        <v>98</v>
      </c>
      <c r="BF402" s="2" t="s">
        <v>79</v>
      </c>
      <c r="BG402" s="2" t="s">
        <v>98</v>
      </c>
      <c r="BH402" s="2" t="s">
        <v>98</v>
      </c>
      <c r="BI402" s="2" t="s">
        <v>98</v>
      </c>
      <c r="BJ402" s="2" t="s">
        <v>98</v>
      </c>
      <c r="BK402" s="2" t="s">
        <v>98</v>
      </c>
      <c r="BL402" s="2" t="s">
        <v>98</v>
      </c>
      <c r="BM402" s="2" t="s">
        <v>98</v>
      </c>
      <c r="BN402" s="2" t="s">
        <v>98</v>
      </c>
      <c r="BO402" s="2" t="s">
        <v>98</v>
      </c>
      <c r="BP402" s="2" t="s">
        <v>98</v>
      </c>
      <c r="BQ402" s="2" t="s">
        <v>98</v>
      </c>
      <c r="BR402" s="2" t="s">
        <v>98</v>
      </c>
      <c r="BS402" s="2" t="s">
        <v>98</v>
      </c>
      <c r="BT402" s="2" t="s">
        <v>98</v>
      </c>
      <c r="BU402" s="2" t="s">
        <v>98</v>
      </c>
      <c r="BV402" s="2" t="s">
        <v>98</v>
      </c>
      <c r="BW402" s="2" t="s">
        <v>98</v>
      </c>
      <c r="BX402" s="2" t="s">
        <v>98</v>
      </c>
      <c r="BY402" s="2" t="s">
        <v>98</v>
      </c>
      <c r="BZ402" s="2" t="s">
        <v>98</v>
      </c>
      <c r="CA402" s="2" t="s">
        <v>98</v>
      </c>
      <c r="CB402" t="e">
        <f>TTEST(AS402:AW402,AI402:AM402,2,2)</f>
        <v>#DIV/0!</v>
      </c>
      <c r="CC402" t="e">
        <f>TTEST(AD402:AH402,AI402:AM402,2,2)</f>
        <v>#DIV/0!</v>
      </c>
      <c r="CD402" t="e">
        <f>TTEST(AN402:AR402,AI402:AM402,2,2)</f>
        <v>#DIV/0!</v>
      </c>
      <c r="CE402" t="e">
        <f>TTEST(AX402:BB402,AI402:AM402,2,2)</f>
        <v>#DIV/0!</v>
      </c>
      <c r="CF402">
        <v>378</v>
      </c>
      <c r="CG402">
        <v>392</v>
      </c>
      <c r="CH402">
        <v>396</v>
      </c>
      <c r="CI402">
        <v>399</v>
      </c>
      <c r="CJ402">
        <f>0.05*CF402/464</f>
        <v>4.073275862068966E-2</v>
      </c>
      <c r="CK402">
        <f>0.05*CG402/464</f>
        <v>4.2241379310344829E-2</v>
      </c>
      <c r="CL402">
        <f>0.05*CH402/464</f>
        <v>4.267241379310345E-2</v>
      </c>
      <c r="CM402">
        <f>0.05*CI402/464</f>
        <v>4.299568965517242E-2</v>
      </c>
      <c r="CN402" t="e">
        <f>IF(CB402&lt;CJ402,"yes","no")</f>
        <v>#DIV/0!</v>
      </c>
      <c r="CO402" t="e">
        <f>IF(CC402&lt;CK402,"yes","no")</f>
        <v>#DIV/0!</v>
      </c>
      <c r="CP402" t="e">
        <f>IF(CD402&lt;CL402,"yes","no")</f>
        <v>#DIV/0!</v>
      </c>
      <c r="CQ402" t="e">
        <f>IF(CE402&lt;CM402,"yes","no")</f>
        <v>#DIV/0!</v>
      </c>
      <c r="CR402" t="e">
        <f>TTEST(AS402:AW402,AD402:AH402,2,2)</f>
        <v>#DIV/0!</v>
      </c>
      <c r="CS402" t="e">
        <f>TTEST(AS402:AW402,AN402:AR402,2,2)</f>
        <v>#DIV/0!</v>
      </c>
      <c r="CT402" t="e">
        <f>TTEST(AS402:AW402,AX402:BB402,2,2)</f>
        <v>#DIV/0!</v>
      </c>
      <c r="CU402">
        <v>396</v>
      </c>
      <c r="CV402">
        <v>399</v>
      </c>
      <c r="CW402">
        <v>401</v>
      </c>
      <c r="CX402">
        <f t="shared" si="18"/>
        <v>4.267241379310345E-2</v>
      </c>
      <c r="CY402">
        <f t="shared" si="19"/>
        <v>4.299568965517242E-2</v>
      </c>
      <c r="CZ402">
        <f t="shared" si="20"/>
        <v>4.3211206896551724E-2</v>
      </c>
      <c r="DA402" t="e">
        <f>IF(CR402&lt;CX402,"yes","no")</f>
        <v>#DIV/0!</v>
      </c>
      <c r="DB402" t="e">
        <f>IF(CS402&lt;CY402,"yes","no")</f>
        <v>#DIV/0!</v>
      </c>
      <c r="DC402" t="e">
        <f>IF(CT402&lt;CZ402,"yes","no")</f>
        <v>#DIV/0!</v>
      </c>
    </row>
    <row r="403" spans="1:107" x14ac:dyDescent="0.2">
      <c r="A403" s="2" t="b">
        <v>0</v>
      </c>
      <c r="B403" s="2" t="s">
        <v>79</v>
      </c>
      <c r="C403" s="2" t="s">
        <v>80</v>
      </c>
      <c r="D403" s="2" t="s">
        <v>1548</v>
      </c>
      <c r="E403" s="2" t="s">
        <v>1549</v>
      </c>
      <c r="F403" s="2">
        <v>1</v>
      </c>
      <c r="G403" s="2">
        <v>1</v>
      </c>
      <c r="H403" s="2">
        <v>36.5</v>
      </c>
      <c r="I403" s="2">
        <v>5.35</v>
      </c>
      <c r="J403" s="2" t="s">
        <v>792</v>
      </c>
      <c r="K403" s="2" t="s">
        <v>84</v>
      </c>
      <c r="L403" s="2" t="s">
        <v>83</v>
      </c>
      <c r="M403" s="2" t="s">
        <v>83</v>
      </c>
      <c r="N403" s="2" t="s">
        <v>1548</v>
      </c>
      <c r="O403" s="2" t="s">
        <v>83</v>
      </c>
      <c r="P403" s="2" t="s">
        <v>83</v>
      </c>
      <c r="Q403" s="2" t="s">
        <v>83</v>
      </c>
      <c r="R403" s="2" t="s">
        <v>83</v>
      </c>
      <c r="S403" s="2" t="s">
        <v>83</v>
      </c>
      <c r="T403" s="2" t="s">
        <v>83</v>
      </c>
      <c r="U403" s="2" t="s">
        <v>83</v>
      </c>
      <c r="V403" s="2" t="s">
        <v>83</v>
      </c>
      <c r="W403" s="2" t="s">
        <v>83</v>
      </c>
      <c r="X403" s="2" t="s">
        <v>83</v>
      </c>
      <c r="Y403" s="2" t="s">
        <v>83</v>
      </c>
      <c r="Z403" s="2" t="s">
        <v>83</v>
      </c>
      <c r="AA403" s="2" t="s">
        <v>83</v>
      </c>
      <c r="AB403" s="2" t="s">
        <v>83</v>
      </c>
      <c r="AC403" s="2" t="s">
        <v>83</v>
      </c>
      <c r="AD403" s="2" t="s">
        <v>83</v>
      </c>
      <c r="AE403" s="2" t="s">
        <v>83</v>
      </c>
      <c r="AF403" s="2" t="s">
        <v>83</v>
      </c>
      <c r="AG403" s="2" t="s">
        <v>83</v>
      </c>
      <c r="AH403" s="2" t="s">
        <v>83</v>
      </c>
      <c r="AI403" s="2" t="s">
        <v>83</v>
      </c>
      <c r="AJ403" s="2" t="s">
        <v>83</v>
      </c>
      <c r="AK403" s="2" t="s">
        <v>83</v>
      </c>
      <c r="AL403" s="2" t="s">
        <v>83</v>
      </c>
      <c r="AM403" s="2" t="s">
        <v>83</v>
      </c>
      <c r="AN403" s="2" t="s">
        <v>83</v>
      </c>
      <c r="AO403" s="2" t="s">
        <v>83</v>
      </c>
      <c r="AP403" s="2" t="s">
        <v>83</v>
      </c>
      <c r="AQ403" s="2" t="s">
        <v>83</v>
      </c>
      <c r="AR403" s="2" t="s">
        <v>83</v>
      </c>
      <c r="AS403" s="2" t="s">
        <v>83</v>
      </c>
      <c r="AT403" s="2" t="s">
        <v>83</v>
      </c>
      <c r="AU403" s="2" t="s">
        <v>83</v>
      </c>
      <c r="AV403" s="2" t="s">
        <v>83</v>
      </c>
      <c r="AW403" s="2" t="s">
        <v>83</v>
      </c>
      <c r="AX403" s="2" t="s">
        <v>83</v>
      </c>
      <c r="AY403" s="2" t="s">
        <v>83</v>
      </c>
      <c r="AZ403" s="2" t="s">
        <v>83</v>
      </c>
      <c r="BA403" s="2" t="s">
        <v>83</v>
      </c>
      <c r="BB403" s="2" t="s">
        <v>83</v>
      </c>
      <c r="BC403" s="2" t="s">
        <v>79</v>
      </c>
      <c r="BD403" s="2" t="s">
        <v>98</v>
      </c>
      <c r="BE403" s="2" t="s">
        <v>79</v>
      </c>
      <c r="BF403" s="2" t="s">
        <v>98</v>
      </c>
      <c r="BG403" s="2" t="s">
        <v>98</v>
      </c>
      <c r="BH403" s="2" t="s">
        <v>98</v>
      </c>
      <c r="BI403" s="2" t="s">
        <v>98</v>
      </c>
      <c r="BJ403" s="2" t="s">
        <v>98</v>
      </c>
      <c r="BK403" s="2" t="s">
        <v>98</v>
      </c>
      <c r="BL403" s="2" t="s">
        <v>98</v>
      </c>
      <c r="BM403" s="2" t="s">
        <v>98</v>
      </c>
      <c r="BN403" s="2" t="s">
        <v>98</v>
      </c>
      <c r="BO403" s="2" t="s">
        <v>98</v>
      </c>
      <c r="BP403" s="2" t="s">
        <v>98</v>
      </c>
      <c r="BQ403" s="2" t="s">
        <v>98</v>
      </c>
      <c r="BR403" s="2" t="s">
        <v>98</v>
      </c>
      <c r="BS403" s="2" t="s">
        <v>98</v>
      </c>
      <c r="BT403" s="2" t="s">
        <v>98</v>
      </c>
      <c r="BU403" s="2" t="s">
        <v>98</v>
      </c>
      <c r="BV403" s="2" t="s">
        <v>98</v>
      </c>
      <c r="BW403" s="2" t="s">
        <v>98</v>
      </c>
      <c r="BX403" s="2" t="s">
        <v>98</v>
      </c>
      <c r="BY403" s="2" t="s">
        <v>98</v>
      </c>
      <c r="BZ403" s="2" t="s">
        <v>98</v>
      </c>
      <c r="CA403" s="2" t="s">
        <v>98</v>
      </c>
      <c r="CB403" t="e">
        <f>TTEST(AS403:AW403,AI403:AM403,2,2)</f>
        <v>#DIV/0!</v>
      </c>
      <c r="CC403" t="e">
        <f>TTEST(AD403:AH403,AI403:AM403,2,2)</f>
        <v>#DIV/0!</v>
      </c>
      <c r="CD403" t="e">
        <f>TTEST(AN403:AR403,AI403:AM403,2,2)</f>
        <v>#DIV/0!</v>
      </c>
      <c r="CE403" t="e">
        <f>TTEST(AX403:BB403,AI403:AM403,2,2)</f>
        <v>#DIV/0!</v>
      </c>
      <c r="CF403">
        <v>379</v>
      </c>
      <c r="CG403">
        <v>393</v>
      </c>
      <c r="CH403">
        <v>397</v>
      </c>
      <c r="CI403">
        <v>400</v>
      </c>
      <c r="CJ403">
        <f>0.05*CF403/464</f>
        <v>4.0840517241379312E-2</v>
      </c>
      <c r="CK403">
        <f>0.05*CG403/464</f>
        <v>4.2349137931034488E-2</v>
      </c>
      <c r="CL403">
        <f>0.05*CH403/464</f>
        <v>4.2780172413793109E-2</v>
      </c>
      <c r="CM403">
        <f>0.05*CI403/464</f>
        <v>4.3103448275862072E-2</v>
      </c>
      <c r="CN403" t="e">
        <f>IF(CB403&lt;CJ403,"yes","no")</f>
        <v>#DIV/0!</v>
      </c>
      <c r="CO403" t="e">
        <f>IF(CC403&lt;CK403,"yes","no")</f>
        <v>#DIV/0!</v>
      </c>
      <c r="CP403" t="e">
        <f>IF(CD403&lt;CL403,"yes","no")</f>
        <v>#DIV/0!</v>
      </c>
      <c r="CQ403" t="e">
        <f>IF(CE403&lt;CM403,"yes","no")</f>
        <v>#DIV/0!</v>
      </c>
      <c r="CR403" t="e">
        <f>TTEST(AS403:AW403,AD403:AH403,2,2)</f>
        <v>#DIV/0!</v>
      </c>
      <c r="CS403" t="e">
        <f>TTEST(AS403:AW403,AN403:AR403,2,2)</f>
        <v>#DIV/0!</v>
      </c>
      <c r="CT403" t="e">
        <f>TTEST(AS403:AW403,AX403:BB403,2,2)</f>
        <v>#DIV/0!</v>
      </c>
      <c r="CU403">
        <v>397</v>
      </c>
      <c r="CV403">
        <v>400</v>
      </c>
      <c r="CW403">
        <v>402</v>
      </c>
      <c r="CX403">
        <f t="shared" si="18"/>
        <v>4.2780172413793109E-2</v>
      </c>
      <c r="CY403">
        <f t="shared" si="19"/>
        <v>4.3103448275862072E-2</v>
      </c>
      <c r="CZ403">
        <f t="shared" si="20"/>
        <v>4.3318965517241383E-2</v>
      </c>
      <c r="DA403" t="e">
        <f>IF(CR403&lt;CX403,"yes","no")</f>
        <v>#DIV/0!</v>
      </c>
      <c r="DB403" t="e">
        <f>IF(CS403&lt;CY403,"yes","no")</f>
        <v>#DIV/0!</v>
      </c>
      <c r="DC403" t="e">
        <f>IF(CT403&lt;CZ403,"yes","no")</f>
        <v>#DIV/0!</v>
      </c>
    </row>
    <row r="404" spans="1:107" x14ac:dyDescent="0.2">
      <c r="A404" s="2" t="b">
        <v>0</v>
      </c>
      <c r="B404" s="2" t="s">
        <v>79</v>
      </c>
      <c r="C404" s="2" t="s">
        <v>80</v>
      </c>
      <c r="D404" s="2" t="s">
        <v>1550</v>
      </c>
      <c r="E404" s="2" t="s">
        <v>1551</v>
      </c>
      <c r="F404" s="2">
        <v>1</v>
      </c>
      <c r="G404" s="2">
        <v>1</v>
      </c>
      <c r="H404" s="2">
        <v>85.3</v>
      </c>
      <c r="I404" s="2">
        <v>6.3</v>
      </c>
      <c r="J404" s="2" t="s">
        <v>1552</v>
      </c>
      <c r="K404" s="2" t="s">
        <v>1553</v>
      </c>
      <c r="L404" s="2" t="s">
        <v>119</v>
      </c>
      <c r="M404" s="2" t="s">
        <v>1554</v>
      </c>
      <c r="N404" s="2" t="s">
        <v>1550</v>
      </c>
      <c r="O404" s="2" t="s">
        <v>83</v>
      </c>
      <c r="P404" s="2" t="s">
        <v>83</v>
      </c>
      <c r="Q404" s="2" t="s">
        <v>83</v>
      </c>
      <c r="R404" s="2" t="s">
        <v>83</v>
      </c>
      <c r="S404" s="2" t="s">
        <v>83</v>
      </c>
      <c r="T404" s="2" t="s">
        <v>83</v>
      </c>
      <c r="U404" s="2" t="s">
        <v>83</v>
      </c>
      <c r="V404" s="2" t="s">
        <v>83</v>
      </c>
      <c r="W404" s="2" t="s">
        <v>83</v>
      </c>
      <c r="X404" s="2" t="s">
        <v>83</v>
      </c>
      <c r="Y404" s="2" t="s">
        <v>83</v>
      </c>
      <c r="Z404" s="2" t="s">
        <v>83</v>
      </c>
      <c r="AA404" s="2" t="s">
        <v>83</v>
      </c>
      <c r="AB404" s="2" t="s">
        <v>83</v>
      </c>
      <c r="AC404" s="2" t="s">
        <v>83</v>
      </c>
      <c r="AD404" s="2" t="s">
        <v>83</v>
      </c>
      <c r="AE404" s="2" t="s">
        <v>83</v>
      </c>
      <c r="AF404" s="2" t="s">
        <v>83</v>
      </c>
      <c r="AG404" s="2" t="s">
        <v>83</v>
      </c>
      <c r="AH404" s="2" t="s">
        <v>83</v>
      </c>
      <c r="AI404" s="2" t="s">
        <v>83</v>
      </c>
      <c r="AJ404" s="2" t="s">
        <v>83</v>
      </c>
      <c r="AK404" s="2" t="s">
        <v>83</v>
      </c>
      <c r="AL404" s="2" t="s">
        <v>83</v>
      </c>
      <c r="AM404" s="2" t="s">
        <v>83</v>
      </c>
      <c r="AN404" s="2" t="s">
        <v>83</v>
      </c>
      <c r="AO404" s="2" t="s">
        <v>83</v>
      </c>
      <c r="AP404" s="2" t="s">
        <v>83</v>
      </c>
      <c r="AQ404" s="2" t="s">
        <v>83</v>
      </c>
      <c r="AR404" s="2" t="s">
        <v>83</v>
      </c>
      <c r="AS404" s="2" t="s">
        <v>83</v>
      </c>
      <c r="AT404" s="2" t="s">
        <v>83</v>
      </c>
      <c r="AU404" s="2" t="s">
        <v>83</v>
      </c>
      <c r="AV404" s="2" t="s">
        <v>83</v>
      </c>
      <c r="AW404" s="2" t="s">
        <v>83</v>
      </c>
      <c r="AX404" s="2" t="s">
        <v>83</v>
      </c>
      <c r="AY404" s="2" t="s">
        <v>83</v>
      </c>
      <c r="AZ404" s="2" t="s">
        <v>83</v>
      </c>
      <c r="BA404" s="2" t="s">
        <v>83</v>
      </c>
      <c r="BB404" s="2" t="s">
        <v>83</v>
      </c>
      <c r="BC404" s="2" t="s">
        <v>98</v>
      </c>
      <c r="BD404" s="2" t="s">
        <v>98</v>
      </c>
      <c r="BE404" s="2" t="s">
        <v>98</v>
      </c>
      <c r="BF404" s="2" t="s">
        <v>98</v>
      </c>
      <c r="BG404" s="2" t="s">
        <v>98</v>
      </c>
      <c r="BH404" s="2" t="s">
        <v>98</v>
      </c>
      <c r="BI404" s="2" t="s">
        <v>98</v>
      </c>
      <c r="BJ404" s="2" t="s">
        <v>98</v>
      </c>
      <c r="BK404" s="2" t="s">
        <v>98</v>
      </c>
      <c r="BL404" s="2" t="s">
        <v>98</v>
      </c>
      <c r="BM404" s="2" t="s">
        <v>98</v>
      </c>
      <c r="BN404" s="2" t="s">
        <v>98</v>
      </c>
      <c r="BO404" s="2" t="s">
        <v>79</v>
      </c>
      <c r="BP404" s="2" t="s">
        <v>98</v>
      </c>
      <c r="BQ404" s="2" t="s">
        <v>98</v>
      </c>
      <c r="BR404" s="2" t="s">
        <v>98</v>
      </c>
      <c r="BS404" s="2" t="s">
        <v>98</v>
      </c>
      <c r="BT404" s="2" t="s">
        <v>98</v>
      </c>
      <c r="BU404" s="2" t="s">
        <v>98</v>
      </c>
      <c r="BV404" s="2" t="s">
        <v>98</v>
      </c>
      <c r="BW404" s="2" t="s">
        <v>98</v>
      </c>
      <c r="BX404" s="2" t="s">
        <v>98</v>
      </c>
      <c r="BY404" s="2" t="s">
        <v>98</v>
      </c>
      <c r="BZ404" s="2" t="s">
        <v>98</v>
      </c>
      <c r="CA404" s="2" t="s">
        <v>98</v>
      </c>
      <c r="CB404" t="e">
        <f>TTEST(AS404:AW404,AI404:AM404,2,2)</f>
        <v>#DIV/0!</v>
      </c>
      <c r="CC404" t="e">
        <f>TTEST(AD404:AH404,AI404:AM404,2,2)</f>
        <v>#DIV/0!</v>
      </c>
      <c r="CD404" t="e">
        <f>TTEST(AN404:AR404,AI404:AM404,2,2)</f>
        <v>#DIV/0!</v>
      </c>
      <c r="CE404" t="e">
        <f>TTEST(AX404:BB404,AI404:AM404,2,2)</f>
        <v>#DIV/0!</v>
      </c>
      <c r="CF404">
        <v>380</v>
      </c>
      <c r="CG404">
        <v>394</v>
      </c>
      <c r="CH404">
        <v>398</v>
      </c>
      <c r="CI404">
        <v>401</v>
      </c>
      <c r="CJ404">
        <f>0.05*CF404/464</f>
        <v>4.0948275862068964E-2</v>
      </c>
      <c r="CK404">
        <f>0.05*CG404/464</f>
        <v>4.2456896551724146E-2</v>
      </c>
      <c r="CL404">
        <f>0.05*CH404/464</f>
        <v>4.2887931034482761E-2</v>
      </c>
      <c r="CM404">
        <f>0.05*CI404/464</f>
        <v>4.3211206896551724E-2</v>
      </c>
      <c r="CN404" t="e">
        <f>IF(CB404&lt;CJ404,"yes","no")</f>
        <v>#DIV/0!</v>
      </c>
      <c r="CO404" t="e">
        <f>IF(CC404&lt;CK404,"yes","no")</f>
        <v>#DIV/0!</v>
      </c>
      <c r="CP404" t="e">
        <f>IF(CD404&lt;CL404,"yes","no")</f>
        <v>#DIV/0!</v>
      </c>
      <c r="CQ404" t="e">
        <f>IF(CE404&lt;CM404,"yes","no")</f>
        <v>#DIV/0!</v>
      </c>
      <c r="CR404" t="e">
        <f>TTEST(AS404:AW404,AD404:AH404,2,2)</f>
        <v>#DIV/0!</v>
      </c>
      <c r="CS404" t="e">
        <f>TTEST(AS404:AW404,AN404:AR404,2,2)</f>
        <v>#DIV/0!</v>
      </c>
      <c r="CT404" t="e">
        <f>TTEST(AS404:AW404,AX404:BB404,2,2)</f>
        <v>#DIV/0!</v>
      </c>
      <c r="CU404">
        <v>398</v>
      </c>
      <c r="CV404">
        <v>401</v>
      </c>
      <c r="CW404">
        <v>403</v>
      </c>
      <c r="CX404">
        <f t="shared" si="18"/>
        <v>4.2887931034482761E-2</v>
      </c>
      <c r="CY404">
        <f t="shared" si="19"/>
        <v>4.3211206896551724E-2</v>
      </c>
      <c r="CZ404">
        <f t="shared" si="20"/>
        <v>4.3426724137931041E-2</v>
      </c>
      <c r="DA404" t="e">
        <f>IF(CR404&lt;CX404,"yes","no")</f>
        <v>#DIV/0!</v>
      </c>
      <c r="DB404" t="e">
        <f>IF(CS404&lt;CY404,"yes","no")</f>
        <v>#DIV/0!</v>
      </c>
      <c r="DC404" t="e">
        <f>IF(CT404&lt;CZ404,"yes","no")</f>
        <v>#DIV/0!</v>
      </c>
    </row>
    <row r="405" spans="1:107" x14ac:dyDescent="0.2">
      <c r="A405" s="2" t="b">
        <v>0</v>
      </c>
      <c r="B405" s="2" t="s">
        <v>79</v>
      </c>
      <c r="C405" s="2" t="s">
        <v>80</v>
      </c>
      <c r="D405" s="2" t="s">
        <v>1559</v>
      </c>
      <c r="E405" s="2" t="s">
        <v>1560</v>
      </c>
      <c r="F405" s="2">
        <v>1</v>
      </c>
      <c r="G405" s="2">
        <v>1</v>
      </c>
      <c r="H405" s="2">
        <v>24.2</v>
      </c>
      <c r="I405" s="2">
        <v>4.8600000000000003</v>
      </c>
      <c r="J405" s="2" t="s">
        <v>228</v>
      </c>
      <c r="K405" s="2" t="s">
        <v>84</v>
      </c>
      <c r="L405" s="2" t="s">
        <v>83</v>
      </c>
      <c r="M405" s="2" t="s">
        <v>1561</v>
      </c>
      <c r="N405" s="2" t="s">
        <v>1559</v>
      </c>
      <c r="O405" s="2" t="s">
        <v>83</v>
      </c>
      <c r="P405" s="2" t="s">
        <v>83</v>
      </c>
      <c r="Q405" s="2" t="s">
        <v>83</v>
      </c>
      <c r="R405" s="2" t="s">
        <v>83</v>
      </c>
      <c r="S405" s="2" t="s">
        <v>83</v>
      </c>
      <c r="T405" s="2" t="s">
        <v>83</v>
      </c>
      <c r="U405" s="2" t="s">
        <v>83</v>
      </c>
      <c r="V405" s="2" t="s">
        <v>83</v>
      </c>
      <c r="W405" s="2" t="s">
        <v>83</v>
      </c>
      <c r="X405" s="2" t="s">
        <v>83</v>
      </c>
      <c r="Y405" s="2" t="s">
        <v>83</v>
      </c>
      <c r="Z405" s="2" t="s">
        <v>83</v>
      </c>
      <c r="AA405" s="2" t="s">
        <v>83</v>
      </c>
      <c r="AB405" s="2" t="s">
        <v>83</v>
      </c>
      <c r="AC405" s="2" t="s">
        <v>83</v>
      </c>
      <c r="AD405" s="2" t="s">
        <v>83</v>
      </c>
      <c r="AE405" s="2" t="s">
        <v>83</v>
      </c>
      <c r="AF405" s="2" t="s">
        <v>83</v>
      </c>
      <c r="AG405" s="2" t="s">
        <v>83</v>
      </c>
      <c r="AH405" s="2" t="s">
        <v>83</v>
      </c>
      <c r="AI405" s="2" t="s">
        <v>83</v>
      </c>
      <c r="AJ405" s="2" t="s">
        <v>83</v>
      </c>
      <c r="AK405" s="2" t="s">
        <v>83</v>
      </c>
      <c r="AL405" s="2" t="s">
        <v>83</v>
      </c>
      <c r="AM405" s="2" t="s">
        <v>83</v>
      </c>
      <c r="AN405" s="2" t="s">
        <v>83</v>
      </c>
      <c r="AO405" s="2" t="s">
        <v>83</v>
      </c>
      <c r="AP405" s="2" t="s">
        <v>83</v>
      </c>
      <c r="AQ405" s="2" t="s">
        <v>83</v>
      </c>
      <c r="AR405" s="2" t="s">
        <v>83</v>
      </c>
      <c r="AS405" s="2" t="s">
        <v>83</v>
      </c>
      <c r="AT405" s="2" t="s">
        <v>83</v>
      </c>
      <c r="AU405" s="2" t="s">
        <v>83</v>
      </c>
      <c r="AV405" s="2" t="s">
        <v>83</v>
      </c>
      <c r="AW405" s="2" t="s">
        <v>83</v>
      </c>
      <c r="AX405" s="2" t="s">
        <v>83</v>
      </c>
      <c r="AY405" s="2" t="s">
        <v>83</v>
      </c>
      <c r="AZ405" s="2" t="s">
        <v>83</v>
      </c>
      <c r="BA405" s="2" t="s">
        <v>83</v>
      </c>
      <c r="BB405" s="2" t="s">
        <v>83</v>
      </c>
      <c r="BC405" s="2" t="s">
        <v>79</v>
      </c>
      <c r="BD405" s="2" t="s">
        <v>98</v>
      </c>
      <c r="BE405" s="2" t="s">
        <v>98</v>
      </c>
      <c r="BF405" s="2" t="s">
        <v>98</v>
      </c>
      <c r="BG405" s="2" t="s">
        <v>79</v>
      </c>
      <c r="BH405" s="2" t="s">
        <v>98</v>
      </c>
      <c r="BI405" s="2" t="s">
        <v>98</v>
      </c>
      <c r="BJ405" s="2" t="s">
        <v>98</v>
      </c>
      <c r="BK405" s="2" t="s">
        <v>98</v>
      </c>
      <c r="BL405" s="2" t="s">
        <v>98</v>
      </c>
      <c r="BM405" s="2" t="s">
        <v>98</v>
      </c>
      <c r="BN405" s="2" t="s">
        <v>98</v>
      </c>
      <c r="BO405" s="2" t="s">
        <v>98</v>
      </c>
      <c r="BP405" s="2" t="s">
        <v>98</v>
      </c>
      <c r="BQ405" s="2" t="s">
        <v>98</v>
      </c>
      <c r="BR405" s="2" t="s">
        <v>98</v>
      </c>
      <c r="BS405" s="2" t="s">
        <v>98</v>
      </c>
      <c r="BT405" s="2" t="s">
        <v>98</v>
      </c>
      <c r="BU405" s="2" t="s">
        <v>98</v>
      </c>
      <c r="BV405" s="2" t="s">
        <v>98</v>
      </c>
      <c r="BW405" s="2" t="s">
        <v>98</v>
      </c>
      <c r="BX405" s="2" t="s">
        <v>98</v>
      </c>
      <c r="BY405" s="2" t="s">
        <v>98</v>
      </c>
      <c r="BZ405" s="2" t="s">
        <v>98</v>
      </c>
      <c r="CA405" s="2" t="s">
        <v>98</v>
      </c>
      <c r="CB405" t="e">
        <f>TTEST(AS405:AW405,AI405:AM405,2,2)</f>
        <v>#DIV/0!</v>
      </c>
      <c r="CC405" t="e">
        <f>TTEST(AD405:AH405,AI405:AM405,2,2)</f>
        <v>#DIV/0!</v>
      </c>
      <c r="CD405" t="e">
        <f>TTEST(AN405:AR405,AI405:AM405,2,2)</f>
        <v>#DIV/0!</v>
      </c>
      <c r="CE405" t="e">
        <f>TTEST(AX405:BB405,AI405:AM405,2,2)</f>
        <v>#DIV/0!</v>
      </c>
      <c r="CF405">
        <v>381</v>
      </c>
      <c r="CG405">
        <v>395</v>
      </c>
      <c r="CH405">
        <v>399</v>
      </c>
      <c r="CI405">
        <v>402</v>
      </c>
      <c r="CJ405">
        <f>0.05*CF405/464</f>
        <v>4.1056034482758623E-2</v>
      </c>
      <c r="CK405">
        <f>0.05*CG405/464</f>
        <v>4.2564655172413791E-2</v>
      </c>
      <c r="CL405">
        <f>0.05*CH405/464</f>
        <v>4.299568965517242E-2</v>
      </c>
      <c r="CM405">
        <f>0.05*CI405/464</f>
        <v>4.3318965517241383E-2</v>
      </c>
      <c r="CN405" t="e">
        <f>IF(CB405&lt;CJ405,"yes","no")</f>
        <v>#DIV/0!</v>
      </c>
      <c r="CO405" t="e">
        <f>IF(CC405&lt;CK405,"yes","no")</f>
        <v>#DIV/0!</v>
      </c>
      <c r="CP405" t="e">
        <f>IF(CD405&lt;CL405,"yes","no")</f>
        <v>#DIV/0!</v>
      </c>
      <c r="CQ405" t="e">
        <f>IF(CE405&lt;CM405,"yes","no")</f>
        <v>#DIV/0!</v>
      </c>
      <c r="CR405" t="e">
        <f>TTEST(AS405:AW405,AD405:AH405,2,2)</f>
        <v>#DIV/0!</v>
      </c>
      <c r="CS405" t="e">
        <f>TTEST(AS405:AW405,AN405:AR405,2,2)</f>
        <v>#DIV/0!</v>
      </c>
      <c r="CT405" t="e">
        <f>TTEST(AS405:AW405,AX405:BB405,2,2)</f>
        <v>#DIV/0!</v>
      </c>
      <c r="CU405">
        <v>399</v>
      </c>
      <c r="CV405">
        <v>402</v>
      </c>
      <c r="CW405">
        <v>404</v>
      </c>
      <c r="CX405">
        <f t="shared" si="18"/>
        <v>4.299568965517242E-2</v>
      </c>
      <c r="CY405">
        <f t="shared" si="19"/>
        <v>4.3318965517241383E-2</v>
      </c>
      <c r="CZ405">
        <f t="shared" si="20"/>
        <v>4.3534482758620693E-2</v>
      </c>
      <c r="DA405" t="e">
        <f>IF(CR405&lt;CX405,"yes","no")</f>
        <v>#DIV/0!</v>
      </c>
      <c r="DB405" t="e">
        <f>IF(CS405&lt;CY405,"yes","no")</f>
        <v>#DIV/0!</v>
      </c>
      <c r="DC405" t="e">
        <f>IF(CT405&lt;CZ405,"yes","no")</f>
        <v>#DIV/0!</v>
      </c>
    </row>
    <row r="406" spans="1:107" x14ac:dyDescent="0.2">
      <c r="A406" s="2" t="b">
        <v>0</v>
      </c>
      <c r="B406" s="2" t="s">
        <v>79</v>
      </c>
      <c r="C406" s="2" t="s">
        <v>80</v>
      </c>
      <c r="D406" s="2" t="s">
        <v>1562</v>
      </c>
      <c r="E406" s="2" t="s">
        <v>1563</v>
      </c>
      <c r="F406" s="2">
        <v>1</v>
      </c>
      <c r="G406" s="2">
        <v>1</v>
      </c>
      <c r="H406" s="2">
        <v>78.900000000000006</v>
      </c>
      <c r="I406" s="2">
        <v>5.41</v>
      </c>
      <c r="J406" s="2" t="s">
        <v>254</v>
      </c>
      <c r="K406" s="2" t="s">
        <v>319</v>
      </c>
      <c r="L406" s="2" t="s">
        <v>83</v>
      </c>
      <c r="M406" s="2" t="s">
        <v>1564</v>
      </c>
      <c r="N406" s="2" t="s">
        <v>1562</v>
      </c>
      <c r="O406" s="2" t="s">
        <v>83</v>
      </c>
      <c r="P406" s="2" t="s">
        <v>83</v>
      </c>
      <c r="Q406" s="2" t="s">
        <v>83</v>
      </c>
      <c r="R406" s="2" t="s">
        <v>83</v>
      </c>
      <c r="S406" s="2" t="s">
        <v>83</v>
      </c>
      <c r="T406" s="2" t="s">
        <v>83</v>
      </c>
      <c r="U406" s="2" t="s">
        <v>83</v>
      </c>
      <c r="V406" s="2" t="s">
        <v>83</v>
      </c>
      <c r="W406" s="2" t="s">
        <v>83</v>
      </c>
      <c r="X406" s="2" t="s">
        <v>83</v>
      </c>
      <c r="Y406" s="2" t="s">
        <v>83</v>
      </c>
      <c r="Z406" s="2" t="s">
        <v>83</v>
      </c>
      <c r="AA406" s="2" t="s">
        <v>83</v>
      </c>
      <c r="AB406" s="2" t="s">
        <v>83</v>
      </c>
      <c r="AC406" s="2" t="s">
        <v>83</v>
      </c>
      <c r="AD406" s="2" t="s">
        <v>83</v>
      </c>
      <c r="AE406" s="2" t="s">
        <v>83</v>
      </c>
      <c r="AF406" s="2" t="s">
        <v>83</v>
      </c>
      <c r="AG406" s="2" t="s">
        <v>83</v>
      </c>
      <c r="AH406" s="2" t="s">
        <v>83</v>
      </c>
      <c r="AI406" s="2" t="s">
        <v>83</v>
      </c>
      <c r="AJ406" s="2" t="s">
        <v>83</v>
      </c>
      <c r="AK406" s="2" t="s">
        <v>83</v>
      </c>
      <c r="AL406" s="2" t="s">
        <v>83</v>
      </c>
      <c r="AM406" s="2" t="s">
        <v>83</v>
      </c>
      <c r="AN406" s="2" t="s">
        <v>83</v>
      </c>
      <c r="AO406" s="2" t="s">
        <v>83</v>
      </c>
      <c r="AP406" s="2" t="s">
        <v>83</v>
      </c>
      <c r="AQ406" s="2" t="s">
        <v>83</v>
      </c>
      <c r="AR406" s="2" t="s">
        <v>83</v>
      </c>
      <c r="AS406" s="2" t="s">
        <v>83</v>
      </c>
      <c r="AT406" s="2" t="s">
        <v>83</v>
      </c>
      <c r="AU406" s="2" t="s">
        <v>83</v>
      </c>
      <c r="AV406" s="2" t="s">
        <v>83</v>
      </c>
      <c r="AW406" s="2" t="s">
        <v>83</v>
      </c>
      <c r="AX406" s="2" t="s">
        <v>83</v>
      </c>
      <c r="AY406" s="2" t="s">
        <v>83</v>
      </c>
      <c r="AZ406" s="2" t="s">
        <v>83</v>
      </c>
      <c r="BA406" s="2" t="s">
        <v>83</v>
      </c>
      <c r="BB406" s="2" t="s">
        <v>83</v>
      </c>
      <c r="BC406" s="2" t="s">
        <v>98</v>
      </c>
      <c r="BD406" s="2" t="s">
        <v>98</v>
      </c>
      <c r="BE406" s="2" t="s">
        <v>79</v>
      </c>
      <c r="BF406" s="2" t="s">
        <v>98</v>
      </c>
      <c r="BG406" s="2" t="s">
        <v>98</v>
      </c>
      <c r="BH406" s="2" t="s">
        <v>98</v>
      </c>
      <c r="BI406" s="2" t="s">
        <v>98</v>
      </c>
      <c r="BJ406" s="2" t="s">
        <v>98</v>
      </c>
      <c r="BK406" s="2" t="s">
        <v>98</v>
      </c>
      <c r="BL406" s="2" t="s">
        <v>98</v>
      </c>
      <c r="BM406" s="2" t="s">
        <v>98</v>
      </c>
      <c r="BN406" s="2" t="s">
        <v>98</v>
      </c>
      <c r="BO406" s="2" t="s">
        <v>98</v>
      </c>
      <c r="BP406" s="2" t="s">
        <v>98</v>
      </c>
      <c r="BQ406" s="2" t="s">
        <v>98</v>
      </c>
      <c r="BR406" s="2" t="s">
        <v>98</v>
      </c>
      <c r="BS406" s="2" t="s">
        <v>98</v>
      </c>
      <c r="BT406" s="2" t="s">
        <v>98</v>
      </c>
      <c r="BU406" s="2" t="s">
        <v>98</v>
      </c>
      <c r="BV406" s="2" t="s">
        <v>98</v>
      </c>
      <c r="BW406" s="2" t="s">
        <v>98</v>
      </c>
      <c r="BX406" s="2" t="s">
        <v>98</v>
      </c>
      <c r="BY406" s="2" t="s">
        <v>98</v>
      </c>
      <c r="BZ406" s="2" t="s">
        <v>98</v>
      </c>
      <c r="CA406" s="2" t="s">
        <v>98</v>
      </c>
      <c r="CB406" t="e">
        <f>TTEST(AS406:AW406,AI406:AM406,2,2)</f>
        <v>#DIV/0!</v>
      </c>
      <c r="CC406" t="e">
        <f>TTEST(AD406:AH406,AI406:AM406,2,2)</f>
        <v>#DIV/0!</v>
      </c>
      <c r="CD406" t="e">
        <f>TTEST(AN406:AR406,AI406:AM406,2,2)</f>
        <v>#DIV/0!</v>
      </c>
      <c r="CE406" t="e">
        <f>TTEST(AX406:BB406,AI406:AM406,2,2)</f>
        <v>#DIV/0!</v>
      </c>
      <c r="CF406">
        <v>382</v>
      </c>
      <c r="CG406">
        <v>396</v>
      </c>
      <c r="CH406">
        <v>400</v>
      </c>
      <c r="CI406">
        <v>403</v>
      </c>
      <c r="CJ406">
        <f>0.05*CF406/464</f>
        <v>4.1163793103448282E-2</v>
      </c>
      <c r="CK406">
        <f>0.05*CG406/464</f>
        <v>4.267241379310345E-2</v>
      </c>
      <c r="CL406">
        <f>0.05*CH406/464</f>
        <v>4.3103448275862072E-2</v>
      </c>
      <c r="CM406">
        <f>0.05*CI406/464</f>
        <v>4.3426724137931041E-2</v>
      </c>
      <c r="CN406" t="e">
        <f>IF(CB406&lt;CJ406,"yes","no")</f>
        <v>#DIV/0!</v>
      </c>
      <c r="CO406" t="e">
        <f>IF(CC406&lt;CK406,"yes","no")</f>
        <v>#DIV/0!</v>
      </c>
      <c r="CP406" t="e">
        <f>IF(CD406&lt;CL406,"yes","no")</f>
        <v>#DIV/0!</v>
      </c>
      <c r="CQ406" t="e">
        <f>IF(CE406&lt;CM406,"yes","no")</f>
        <v>#DIV/0!</v>
      </c>
      <c r="CR406" t="e">
        <f>TTEST(AS406:AW406,AD406:AH406,2,2)</f>
        <v>#DIV/0!</v>
      </c>
      <c r="CS406" t="e">
        <f>TTEST(AS406:AW406,AN406:AR406,2,2)</f>
        <v>#DIV/0!</v>
      </c>
      <c r="CT406" t="e">
        <f>TTEST(AS406:AW406,AX406:BB406,2,2)</f>
        <v>#DIV/0!</v>
      </c>
      <c r="CU406">
        <v>400</v>
      </c>
      <c r="CV406">
        <v>403</v>
      </c>
      <c r="CW406">
        <v>405</v>
      </c>
      <c r="CX406">
        <f t="shared" si="18"/>
        <v>4.3103448275862072E-2</v>
      </c>
      <c r="CY406">
        <f t="shared" si="19"/>
        <v>4.3426724137931041E-2</v>
      </c>
      <c r="CZ406">
        <f t="shared" si="20"/>
        <v>4.3642241379310345E-2</v>
      </c>
      <c r="DA406" t="e">
        <f>IF(CR406&lt;CX406,"yes","no")</f>
        <v>#DIV/0!</v>
      </c>
      <c r="DB406" t="e">
        <f>IF(CS406&lt;CY406,"yes","no")</f>
        <v>#DIV/0!</v>
      </c>
      <c r="DC406" t="e">
        <f>IF(CT406&lt;CZ406,"yes","no")</f>
        <v>#DIV/0!</v>
      </c>
    </row>
    <row r="407" spans="1:107" x14ac:dyDescent="0.2">
      <c r="A407" s="2" t="b">
        <v>0</v>
      </c>
      <c r="B407" s="2" t="s">
        <v>79</v>
      </c>
      <c r="C407" s="2" t="s">
        <v>80</v>
      </c>
      <c r="D407" s="2" t="s">
        <v>1570</v>
      </c>
      <c r="E407" s="2" t="s">
        <v>1571</v>
      </c>
      <c r="F407" s="2">
        <v>1</v>
      </c>
      <c r="G407" s="2">
        <v>1</v>
      </c>
      <c r="H407" s="2">
        <v>45.1</v>
      </c>
      <c r="I407" s="2">
        <v>6.47</v>
      </c>
      <c r="J407" s="2" t="s">
        <v>89</v>
      </c>
      <c r="K407" s="2" t="s">
        <v>95</v>
      </c>
      <c r="L407" s="2" t="s">
        <v>102</v>
      </c>
      <c r="M407" s="2" t="s">
        <v>1572</v>
      </c>
      <c r="N407" s="2" t="s">
        <v>1570</v>
      </c>
      <c r="O407" s="2" t="s">
        <v>83</v>
      </c>
      <c r="P407" s="2" t="s">
        <v>83</v>
      </c>
      <c r="Q407" s="2" t="s">
        <v>83</v>
      </c>
      <c r="R407" s="2" t="s">
        <v>83</v>
      </c>
      <c r="S407" s="2" t="s">
        <v>83</v>
      </c>
      <c r="T407" s="2" t="s">
        <v>83</v>
      </c>
      <c r="U407" s="2" t="s">
        <v>83</v>
      </c>
      <c r="V407" s="2" t="s">
        <v>83</v>
      </c>
      <c r="W407" s="2" t="s">
        <v>83</v>
      </c>
      <c r="X407" s="2" t="s">
        <v>83</v>
      </c>
      <c r="Y407" s="2" t="s">
        <v>83</v>
      </c>
      <c r="Z407" s="2" t="s">
        <v>83</v>
      </c>
      <c r="AA407" s="2" t="s">
        <v>83</v>
      </c>
      <c r="AB407" s="2" t="s">
        <v>83</v>
      </c>
      <c r="AC407" s="2" t="s">
        <v>83</v>
      </c>
      <c r="AD407" s="2" t="s">
        <v>83</v>
      </c>
      <c r="AE407" s="2" t="s">
        <v>83</v>
      </c>
      <c r="AF407" s="2" t="s">
        <v>83</v>
      </c>
      <c r="AG407" s="2" t="s">
        <v>83</v>
      </c>
      <c r="AH407" s="2" t="s">
        <v>83</v>
      </c>
      <c r="AI407" s="2" t="s">
        <v>83</v>
      </c>
      <c r="AJ407" s="2" t="s">
        <v>83</v>
      </c>
      <c r="AK407" s="2" t="s">
        <v>83</v>
      </c>
      <c r="AL407" s="2" t="s">
        <v>83</v>
      </c>
      <c r="AM407" s="2" t="s">
        <v>83</v>
      </c>
      <c r="AN407" s="2" t="s">
        <v>83</v>
      </c>
      <c r="AO407" s="2" t="s">
        <v>83</v>
      </c>
      <c r="AP407" s="2" t="s">
        <v>83</v>
      </c>
      <c r="AQ407" s="2" t="s">
        <v>83</v>
      </c>
      <c r="AR407" s="2" t="s">
        <v>83</v>
      </c>
      <c r="AS407" s="2" t="s">
        <v>83</v>
      </c>
      <c r="AT407" s="2" t="s">
        <v>83</v>
      </c>
      <c r="AU407" s="2" t="s">
        <v>83</v>
      </c>
      <c r="AV407" s="2" t="s">
        <v>83</v>
      </c>
      <c r="AW407" s="2" t="s">
        <v>83</v>
      </c>
      <c r="AX407" s="2" t="s">
        <v>83</v>
      </c>
      <c r="AY407" s="2" t="s">
        <v>83</v>
      </c>
      <c r="AZ407" s="2" t="s">
        <v>83</v>
      </c>
      <c r="BA407" s="2" t="s">
        <v>83</v>
      </c>
      <c r="BB407" s="2" t="s">
        <v>83</v>
      </c>
      <c r="BC407" s="2" t="s">
        <v>98</v>
      </c>
      <c r="BD407" s="2" t="s">
        <v>98</v>
      </c>
      <c r="BE407" s="2" t="s">
        <v>98</v>
      </c>
      <c r="BF407" s="2" t="s">
        <v>79</v>
      </c>
      <c r="BG407" s="2" t="s">
        <v>98</v>
      </c>
      <c r="BH407" s="2" t="s">
        <v>98</v>
      </c>
      <c r="BI407" s="2" t="s">
        <v>98</v>
      </c>
      <c r="BJ407" s="2" t="s">
        <v>98</v>
      </c>
      <c r="BK407" s="2" t="s">
        <v>98</v>
      </c>
      <c r="BL407" s="2" t="s">
        <v>98</v>
      </c>
      <c r="BM407" s="2" t="s">
        <v>98</v>
      </c>
      <c r="BN407" s="2" t="s">
        <v>98</v>
      </c>
      <c r="BO407" s="2" t="s">
        <v>98</v>
      </c>
      <c r="BP407" s="2" t="s">
        <v>98</v>
      </c>
      <c r="BQ407" s="2" t="s">
        <v>98</v>
      </c>
      <c r="BR407" s="2" t="s">
        <v>98</v>
      </c>
      <c r="BS407" s="2" t="s">
        <v>98</v>
      </c>
      <c r="BT407" s="2" t="s">
        <v>98</v>
      </c>
      <c r="BU407" s="2" t="s">
        <v>98</v>
      </c>
      <c r="BV407" s="2" t="s">
        <v>98</v>
      </c>
      <c r="BW407" s="2" t="s">
        <v>98</v>
      </c>
      <c r="BX407" s="2" t="s">
        <v>98</v>
      </c>
      <c r="BY407" s="2" t="s">
        <v>98</v>
      </c>
      <c r="BZ407" s="2" t="s">
        <v>98</v>
      </c>
      <c r="CA407" s="2" t="s">
        <v>98</v>
      </c>
      <c r="CB407" t="e">
        <f>TTEST(AS407:AW407,AI407:AM407,2,2)</f>
        <v>#DIV/0!</v>
      </c>
      <c r="CC407" t="e">
        <f>TTEST(AD407:AH407,AI407:AM407,2,2)</f>
        <v>#DIV/0!</v>
      </c>
      <c r="CD407" t="e">
        <f>TTEST(AN407:AR407,AI407:AM407,2,2)</f>
        <v>#DIV/0!</v>
      </c>
      <c r="CE407" t="e">
        <f>TTEST(AX407:BB407,AI407:AM407,2,2)</f>
        <v>#DIV/0!</v>
      </c>
      <c r="CF407">
        <v>383</v>
      </c>
      <c r="CG407">
        <v>397</v>
      </c>
      <c r="CH407">
        <v>401</v>
      </c>
      <c r="CI407">
        <v>404</v>
      </c>
      <c r="CJ407">
        <f>0.05*CF407/464</f>
        <v>4.1271551724137934E-2</v>
      </c>
      <c r="CK407">
        <f>0.05*CG407/464</f>
        <v>4.2780172413793109E-2</v>
      </c>
      <c r="CL407">
        <f>0.05*CH407/464</f>
        <v>4.3211206896551724E-2</v>
      </c>
      <c r="CM407">
        <f>0.05*CI407/464</f>
        <v>4.3534482758620693E-2</v>
      </c>
      <c r="CN407" t="e">
        <f>IF(CB407&lt;CJ407,"yes","no")</f>
        <v>#DIV/0!</v>
      </c>
      <c r="CO407" t="e">
        <f>IF(CC407&lt;CK407,"yes","no")</f>
        <v>#DIV/0!</v>
      </c>
      <c r="CP407" t="e">
        <f>IF(CD407&lt;CL407,"yes","no")</f>
        <v>#DIV/0!</v>
      </c>
      <c r="CQ407" t="e">
        <f>IF(CE407&lt;CM407,"yes","no")</f>
        <v>#DIV/0!</v>
      </c>
      <c r="CR407" t="e">
        <f>TTEST(AS407:AW407,AD407:AH407,2,2)</f>
        <v>#DIV/0!</v>
      </c>
      <c r="CS407" t="e">
        <f>TTEST(AS407:AW407,AN407:AR407,2,2)</f>
        <v>#DIV/0!</v>
      </c>
      <c r="CT407" t="e">
        <f>TTEST(AS407:AW407,AX407:BB407,2,2)</f>
        <v>#DIV/0!</v>
      </c>
      <c r="CU407">
        <v>401</v>
      </c>
      <c r="CV407">
        <v>404</v>
      </c>
      <c r="CW407">
        <v>406</v>
      </c>
      <c r="CX407">
        <f t="shared" si="18"/>
        <v>4.3211206896551724E-2</v>
      </c>
      <c r="CY407">
        <f t="shared" si="19"/>
        <v>4.3534482758620693E-2</v>
      </c>
      <c r="CZ407">
        <f t="shared" si="20"/>
        <v>4.3750000000000004E-2</v>
      </c>
      <c r="DA407" t="e">
        <f>IF(CR407&lt;CX407,"yes","no")</f>
        <v>#DIV/0!</v>
      </c>
      <c r="DB407" t="e">
        <f>IF(CS407&lt;CY407,"yes","no")</f>
        <v>#DIV/0!</v>
      </c>
      <c r="DC407" t="e">
        <f>IF(CT407&lt;CZ407,"yes","no")</f>
        <v>#DIV/0!</v>
      </c>
    </row>
    <row r="408" spans="1:107" x14ac:dyDescent="0.2">
      <c r="A408" s="2" t="b">
        <v>0</v>
      </c>
      <c r="B408" s="2" t="s">
        <v>79</v>
      </c>
      <c r="C408" s="2" t="s">
        <v>80</v>
      </c>
      <c r="D408" s="2" t="s">
        <v>1573</v>
      </c>
      <c r="E408" s="2" t="s">
        <v>1574</v>
      </c>
      <c r="F408" s="2">
        <v>1</v>
      </c>
      <c r="G408" s="2">
        <v>1</v>
      </c>
      <c r="H408" s="2">
        <v>7.3</v>
      </c>
      <c r="I408" s="2">
        <v>9.99</v>
      </c>
      <c r="J408" s="2" t="s">
        <v>83</v>
      </c>
      <c r="K408" s="2" t="s">
        <v>1575</v>
      </c>
      <c r="L408" s="2" t="s">
        <v>83</v>
      </c>
      <c r="M408" s="2" t="s">
        <v>83</v>
      </c>
      <c r="N408" s="2" t="s">
        <v>1573</v>
      </c>
      <c r="O408" s="2" t="s">
        <v>83</v>
      </c>
      <c r="P408" s="2" t="s">
        <v>83</v>
      </c>
      <c r="Q408" s="2" t="s">
        <v>83</v>
      </c>
      <c r="R408" s="2" t="s">
        <v>83</v>
      </c>
      <c r="S408" s="2" t="s">
        <v>83</v>
      </c>
      <c r="T408" s="2" t="s">
        <v>83</v>
      </c>
      <c r="U408" s="2" t="s">
        <v>83</v>
      </c>
      <c r="V408" s="2" t="s">
        <v>83</v>
      </c>
      <c r="W408" s="2" t="s">
        <v>83</v>
      </c>
      <c r="X408" s="2" t="s">
        <v>83</v>
      </c>
      <c r="Y408" s="2" t="s">
        <v>83</v>
      </c>
      <c r="Z408" s="2" t="s">
        <v>83</v>
      </c>
      <c r="AA408" s="2" t="s">
        <v>83</v>
      </c>
      <c r="AB408" s="2" t="s">
        <v>83</v>
      </c>
      <c r="AC408" s="2" t="s">
        <v>83</v>
      </c>
      <c r="AD408" s="2" t="s">
        <v>83</v>
      </c>
      <c r="AE408" s="2" t="s">
        <v>83</v>
      </c>
      <c r="AF408" s="2" t="s">
        <v>83</v>
      </c>
      <c r="AG408" s="2" t="s">
        <v>83</v>
      </c>
      <c r="AH408" s="2" t="s">
        <v>83</v>
      </c>
      <c r="AI408" s="2" t="s">
        <v>83</v>
      </c>
      <c r="AJ408" s="2" t="s">
        <v>83</v>
      </c>
      <c r="AK408" s="2" t="s">
        <v>83</v>
      </c>
      <c r="AL408" s="2" t="s">
        <v>83</v>
      </c>
      <c r="AM408" s="2" t="s">
        <v>83</v>
      </c>
      <c r="AN408" s="2" t="s">
        <v>83</v>
      </c>
      <c r="AO408" s="2" t="s">
        <v>83</v>
      </c>
      <c r="AP408" s="2" t="s">
        <v>83</v>
      </c>
      <c r="AQ408" s="2" t="s">
        <v>83</v>
      </c>
      <c r="AR408" s="2" t="s">
        <v>83</v>
      </c>
      <c r="AS408" s="2" t="s">
        <v>83</v>
      </c>
      <c r="AT408" s="2" t="s">
        <v>83</v>
      </c>
      <c r="AU408" s="2" t="s">
        <v>83</v>
      </c>
      <c r="AV408" s="2" t="s">
        <v>83</v>
      </c>
      <c r="AW408" s="2" t="s">
        <v>83</v>
      </c>
      <c r="AX408" s="2" t="s">
        <v>83</v>
      </c>
      <c r="AY408" s="2" t="s">
        <v>83</v>
      </c>
      <c r="AZ408" s="2" t="s">
        <v>83</v>
      </c>
      <c r="BA408" s="2" t="s">
        <v>83</v>
      </c>
      <c r="BB408" s="2" t="s">
        <v>83</v>
      </c>
      <c r="BC408" s="2" t="s">
        <v>98</v>
      </c>
      <c r="BD408" s="2" t="s">
        <v>98</v>
      </c>
      <c r="BE408" s="2" t="s">
        <v>98</v>
      </c>
      <c r="BF408" s="2" t="s">
        <v>98</v>
      </c>
      <c r="BG408" s="2" t="s">
        <v>79</v>
      </c>
      <c r="BH408" s="2" t="s">
        <v>98</v>
      </c>
      <c r="BI408" s="2" t="s">
        <v>98</v>
      </c>
      <c r="BJ408" s="2" t="s">
        <v>98</v>
      </c>
      <c r="BK408" s="2" t="s">
        <v>98</v>
      </c>
      <c r="BL408" s="2" t="s">
        <v>98</v>
      </c>
      <c r="BM408" s="2" t="s">
        <v>98</v>
      </c>
      <c r="BN408" s="2" t="s">
        <v>98</v>
      </c>
      <c r="BO408" s="2" t="s">
        <v>98</v>
      </c>
      <c r="BP408" s="2" t="s">
        <v>98</v>
      </c>
      <c r="BQ408" s="2" t="s">
        <v>98</v>
      </c>
      <c r="BR408" s="2" t="s">
        <v>98</v>
      </c>
      <c r="BS408" s="2" t="s">
        <v>98</v>
      </c>
      <c r="BT408" s="2" t="s">
        <v>98</v>
      </c>
      <c r="BU408" s="2" t="s">
        <v>98</v>
      </c>
      <c r="BV408" s="2" t="s">
        <v>98</v>
      </c>
      <c r="BW408" s="2" t="s">
        <v>98</v>
      </c>
      <c r="BX408" s="2" t="s">
        <v>98</v>
      </c>
      <c r="BY408" s="2" t="s">
        <v>98</v>
      </c>
      <c r="BZ408" s="2" t="s">
        <v>98</v>
      </c>
      <c r="CA408" s="2" t="s">
        <v>98</v>
      </c>
      <c r="CB408" t="e">
        <f>TTEST(AS408:AW408,AI408:AM408,2,2)</f>
        <v>#DIV/0!</v>
      </c>
      <c r="CC408" t="e">
        <f>TTEST(AD408:AH408,AI408:AM408,2,2)</f>
        <v>#DIV/0!</v>
      </c>
      <c r="CD408" t="e">
        <f>TTEST(AN408:AR408,AI408:AM408,2,2)</f>
        <v>#DIV/0!</v>
      </c>
      <c r="CE408" t="e">
        <f>TTEST(AX408:BB408,AI408:AM408,2,2)</f>
        <v>#DIV/0!</v>
      </c>
      <c r="CF408">
        <v>384</v>
      </c>
      <c r="CG408">
        <v>398</v>
      </c>
      <c r="CH408">
        <v>402</v>
      </c>
      <c r="CI408">
        <v>405</v>
      </c>
      <c r="CJ408">
        <f>0.05*CF408/464</f>
        <v>4.1379310344827593E-2</v>
      </c>
      <c r="CK408">
        <f>0.05*CG408/464</f>
        <v>4.2887931034482761E-2</v>
      </c>
      <c r="CL408">
        <f>0.05*CH408/464</f>
        <v>4.3318965517241383E-2</v>
      </c>
      <c r="CM408">
        <f>0.05*CI408/464</f>
        <v>4.3642241379310345E-2</v>
      </c>
      <c r="CN408" t="e">
        <f>IF(CB408&lt;CJ408,"yes","no")</f>
        <v>#DIV/0!</v>
      </c>
      <c r="CO408" t="e">
        <f>IF(CC408&lt;CK408,"yes","no")</f>
        <v>#DIV/0!</v>
      </c>
      <c r="CP408" t="e">
        <f>IF(CD408&lt;CL408,"yes","no")</f>
        <v>#DIV/0!</v>
      </c>
      <c r="CQ408" t="e">
        <f>IF(CE408&lt;CM408,"yes","no")</f>
        <v>#DIV/0!</v>
      </c>
      <c r="CR408" t="e">
        <f>TTEST(AS408:AW408,AD408:AH408,2,2)</f>
        <v>#DIV/0!</v>
      </c>
      <c r="CS408" t="e">
        <f>TTEST(AS408:AW408,AN408:AR408,2,2)</f>
        <v>#DIV/0!</v>
      </c>
      <c r="CT408" t="e">
        <f>TTEST(AS408:AW408,AX408:BB408,2,2)</f>
        <v>#DIV/0!</v>
      </c>
      <c r="CU408">
        <v>402</v>
      </c>
      <c r="CV408">
        <v>405</v>
      </c>
      <c r="CW408">
        <v>407</v>
      </c>
      <c r="CX408">
        <f t="shared" si="18"/>
        <v>4.3318965517241383E-2</v>
      </c>
      <c r="CY408">
        <f t="shared" si="19"/>
        <v>4.3642241379310345E-2</v>
      </c>
      <c r="CZ408">
        <f t="shared" si="20"/>
        <v>4.3857758620689656E-2</v>
      </c>
      <c r="DA408" t="e">
        <f>IF(CR408&lt;CX408,"yes","no")</f>
        <v>#DIV/0!</v>
      </c>
      <c r="DB408" t="e">
        <f>IF(CS408&lt;CY408,"yes","no")</f>
        <v>#DIV/0!</v>
      </c>
      <c r="DC408" t="e">
        <f>IF(CT408&lt;CZ408,"yes","no")</f>
        <v>#DIV/0!</v>
      </c>
    </row>
    <row r="409" spans="1:107" x14ac:dyDescent="0.2">
      <c r="A409" s="2" t="b">
        <v>0</v>
      </c>
      <c r="B409" s="2" t="s">
        <v>79</v>
      </c>
      <c r="C409" s="2" t="s">
        <v>80</v>
      </c>
      <c r="D409" s="2" t="s">
        <v>1579</v>
      </c>
      <c r="E409" s="2" t="s">
        <v>1580</v>
      </c>
      <c r="F409" s="2">
        <v>1</v>
      </c>
      <c r="G409" s="2">
        <v>1</v>
      </c>
      <c r="H409" s="2">
        <v>43.7</v>
      </c>
      <c r="I409" s="2">
        <v>7.46</v>
      </c>
      <c r="J409" s="2" t="s">
        <v>857</v>
      </c>
      <c r="K409" s="2" t="s">
        <v>1581</v>
      </c>
      <c r="L409" s="2" t="s">
        <v>119</v>
      </c>
      <c r="M409" s="2" t="s">
        <v>1582</v>
      </c>
      <c r="N409" s="2" t="s">
        <v>1583</v>
      </c>
      <c r="O409" s="2" t="s">
        <v>83</v>
      </c>
      <c r="P409" s="2" t="s">
        <v>83</v>
      </c>
      <c r="Q409" s="2" t="s">
        <v>83</v>
      </c>
      <c r="R409" s="2" t="s">
        <v>83</v>
      </c>
      <c r="S409" s="2" t="s">
        <v>83</v>
      </c>
      <c r="T409" s="2" t="s">
        <v>83</v>
      </c>
      <c r="U409" s="2" t="s">
        <v>83</v>
      </c>
      <c r="V409" s="2" t="s">
        <v>83</v>
      </c>
      <c r="W409" s="2" t="s">
        <v>83</v>
      </c>
      <c r="X409" s="2" t="s">
        <v>83</v>
      </c>
      <c r="Y409" s="2" t="s">
        <v>83</v>
      </c>
      <c r="Z409" s="2" t="s">
        <v>83</v>
      </c>
      <c r="AA409" s="2" t="s">
        <v>83</v>
      </c>
      <c r="AB409" s="2" t="s">
        <v>83</v>
      </c>
      <c r="AC409" s="2" t="s">
        <v>83</v>
      </c>
      <c r="AD409" s="2" t="s">
        <v>83</v>
      </c>
      <c r="AE409" s="2" t="s">
        <v>83</v>
      </c>
      <c r="AF409" s="2" t="s">
        <v>83</v>
      </c>
      <c r="AG409" s="2" t="s">
        <v>83</v>
      </c>
      <c r="AH409" s="2" t="s">
        <v>83</v>
      </c>
      <c r="AI409" s="2" t="s">
        <v>83</v>
      </c>
      <c r="AJ409" s="2" t="s">
        <v>83</v>
      </c>
      <c r="AK409" s="2" t="s">
        <v>83</v>
      </c>
      <c r="AL409" s="2" t="s">
        <v>83</v>
      </c>
      <c r="AM409" s="2" t="s">
        <v>83</v>
      </c>
      <c r="AN409" s="2" t="s">
        <v>83</v>
      </c>
      <c r="AO409" s="2" t="s">
        <v>83</v>
      </c>
      <c r="AP409" s="2" t="s">
        <v>83</v>
      </c>
      <c r="AQ409" s="2" t="s">
        <v>83</v>
      </c>
      <c r="AR409" s="2" t="s">
        <v>83</v>
      </c>
      <c r="AS409" s="2" t="s">
        <v>83</v>
      </c>
      <c r="AT409" s="2" t="s">
        <v>83</v>
      </c>
      <c r="AU409" s="2" t="s">
        <v>83</v>
      </c>
      <c r="AV409" s="2" t="s">
        <v>83</v>
      </c>
      <c r="AW409" s="2" t="s">
        <v>83</v>
      </c>
      <c r="AX409" s="2" t="s">
        <v>83</v>
      </c>
      <c r="AY409" s="2" t="s">
        <v>83</v>
      </c>
      <c r="AZ409" s="2" t="s">
        <v>83</v>
      </c>
      <c r="BA409" s="2" t="s">
        <v>83</v>
      </c>
      <c r="BB409" s="2" t="s">
        <v>83</v>
      </c>
      <c r="BC409" s="2" t="s">
        <v>98</v>
      </c>
      <c r="BD409" s="2" t="s">
        <v>98</v>
      </c>
      <c r="BE409" s="2" t="s">
        <v>98</v>
      </c>
      <c r="BF409" s="2" t="s">
        <v>98</v>
      </c>
      <c r="BG409" s="2" t="s">
        <v>98</v>
      </c>
      <c r="BH409" s="2" t="s">
        <v>98</v>
      </c>
      <c r="BI409" s="2" t="s">
        <v>98</v>
      </c>
      <c r="BJ409" s="2" t="s">
        <v>98</v>
      </c>
      <c r="BK409" s="2" t="s">
        <v>98</v>
      </c>
      <c r="BL409" s="2" t="s">
        <v>98</v>
      </c>
      <c r="BM409" s="2" t="s">
        <v>98</v>
      </c>
      <c r="BN409" s="2" t="s">
        <v>98</v>
      </c>
      <c r="BO409" s="2" t="s">
        <v>98</v>
      </c>
      <c r="BP409" s="2" t="s">
        <v>98</v>
      </c>
      <c r="BQ409" s="2" t="s">
        <v>98</v>
      </c>
      <c r="BR409" s="2" t="s">
        <v>98</v>
      </c>
      <c r="BS409" s="2" t="s">
        <v>98</v>
      </c>
      <c r="BT409" s="2" t="s">
        <v>98</v>
      </c>
      <c r="BU409" s="2" t="s">
        <v>98</v>
      </c>
      <c r="BV409" s="2" t="s">
        <v>98</v>
      </c>
      <c r="BW409" s="2" t="s">
        <v>98</v>
      </c>
      <c r="BX409" s="2" t="s">
        <v>98</v>
      </c>
      <c r="BY409" s="2" t="s">
        <v>79</v>
      </c>
      <c r="BZ409" s="2" t="s">
        <v>98</v>
      </c>
      <c r="CA409" s="2" t="s">
        <v>98</v>
      </c>
      <c r="CB409" t="e">
        <f>TTEST(AS409:AW409,AI409:AM409,2,2)</f>
        <v>#DIV/0!</v>
      </c>
      <c r="CC409" t="e">
        <f>TTEST(AD409:AH409,AI409:AM409,2,2)</f>
        <v>#DIV/0!</v>
      </c>
      <c r="CD409" t="e">
        <f>TTEST(AN409:AR409,AI409:AM409,2,2)</f>
        <v>#DIV/0!</v>
      </c>
      <c r="CE409" t="e">
        <f>TTEST(AX409:BB409,AI409:AM409,2,2)</f>
        <v>#DIV/0!</v>
      </c>
      <c r="CF409">
        <v>385</v>
      </c>
      <c r="CG409">
        <v>399</v>
      </c>
      <c r="CH409">
        <v>403</v>
      </c>
      <c r="CI409">
        <v>406</v>
      </c>
      <c r="CJ409">
        <f>0.05*CF409/464</f>
        <v>4.1487068965517244E-2</v>
      </c>
      <c r="CK409">
        <f>0.05*CG409/464</f>
        <v>4.299568965517242E-2</v>
      </c>
      <c r="CL409">
        <f>0.05*CH409/464</f>
        <v>4.3426724137931041E-2</v>
      </c>
      <c r="CM409">
        <f>0.05*CI409/464</f>
        <v>4.3750000000000004E-2</v>
      </c>
      <c r="CN409" t="e">
        <f>IF(CB409&lt;CJ409,"yes","no")</f>
        <v>#DIV/0!</v>
      </c>
      <c r="CO409" t="e">
        <f>IF(CC409&lt;CK409,"yes","no")</f>
        <v>#DIV/0!</v>
      </c>
      <c r="CP409" t="e">
        <f>IF(CD409&lt;CL409,"yes","no")</f>
        <v>#DIV/0!</v>
      </c>
      <c r="CQ409" t="e">
        <f>IF(CE409&lt;CM409,"yes","no")</f>
        <v>#DIV/0!</v>
      </c>
      <c r="CR409" t="e">
        <f>TTEST(AS409:AW409,AD409:AH409,2,2)</f>
        <v>#DIV/0!</v>
      </c>
      <c r="CS409" t="e">
        <f>TTEST(AS409:AW409,AN409:AR409,2,2)</f>
        <v>#DIV/0!</v>
      </c>
      <c r="CT409" t="e">
        <f>TTEST(AS409:AW409,AX409:BB409,2,2)</f>
        <v>#DIV/0!</v>
      </c>
      <c r="CU409">
        <v>403</v>
      </c>
      <c r="CV409">
        <v>406</v>
      </c>
      <c r="CW409">
        <v>408</v>
      </c>
      <c r="CX409">
        <f t="shared" si="18"/>
        <v>4.3426724137931041E-2</v>
      </c>
      <c r="CY409">
        <f t="shared" si="19"/>
        <v>4.3750000000000004E-2</v>
      </c>
      <c r="CZ409">
        <f t="shared" si="20"/>
        <v>4.3965517241379315E-2</v>
      </c>
      <c r="DA409" t="e">
        <f>IF(CR409&lt;CX409,"yes","no")</f>
        <v>#DIV/0!</v>
      </c>
      <c r="DB409" t="e">
        <f>IF(CS409&lt;CY409,"yes","no")</f>
        <v>#DIV/0!</v>
      </c>
      <c r="DC409" t="e">
        <f>IF(CT409&lt;CZ409,"yes","no")</f>
        <v>#DIV/0!</v>
      </c>
    </row>
    <row r="410" spans="1:107" x14ac:dyDescent="0.2">
      <c r="A410" s="2" t="b">
        <v>0</v>
      </c>
      <c r="B410" s="2" t="s">
        <v>79</v>
      </c>
      <c r="C410" s="2" t="s">
        <v>80</v>
      </c>
      <c r="D410" s="2" t="s">
        <v>1584</v>
      </c>
      <c r="E410" s="2" t="s">
        <v>1585</v>
      </c>
      <c r="F410" s="2">
        <v>1</v>
      </c>
      <c r="G410" s="2">
        <v>1</v>
      </c>
      <c r="H410" s="2">
        <v>82.6</v>
      </c>
      <c r="I410" s="2">
        <v>5.95</v>
      </c>
      <c r="J410" s="2" t="s">
        <v>539</v>
      </c>
      <c r="K410" s="2" t="s">
        <v>1586</v>
      </c>
      <c r="L410" s="2" t="s">
        <v>119</v>
      </c>
      <c r="M410" s="2" t="s">
        <v>1587</v>
      </c>
      <c r="N410" s="2" t="s">
        <v>1584</v>
      </c>
      <c r="O410" s="2" t="s">
        <v>83</v>
      </c>
      <c r="P410" s="2" t="s">
        <v>83</v>
      </c>
      <c r="Q410" s="2" t="s">
        <v>83</v>
      </c>
      <c r="R410" s="2" t="s">
        <v>83</v>
      </c>
      <c r="S410" s="2" t="s">
        <v>83</v>
      </c>
      <c r="T410" s="2" t="s">
        <v>83</v>
      </c>
      <c r="U410" s="2" t="s">
        <v>83</v>
      </c>
      <c r="V410" s="2" t="s">
        <v>83</v>
      </c>
      <c r="W410" s="2" t="s">
        <v>83</v>
      </c>
      <c r="X410" s="2" t="s">
        <v>83</v>
      </c>
      <c r="Y410" s="2" t="s">
        <v>83</v>
      </c>
      <c r="Z410" s="2" t="s">
        <v>83</v>
      </c>
      <c r="AA410" s="2" t="s">
        <v>83</v>
      </c>
      <c r="AB410" s="2" t="s">
        <v>83</v>
      </c>
      <c r="AC410" s="2" t="s">
        <v>83</v>
      </c>
      <c r="AD410" s="2" t="s">
        <v>83</v>
      </c>
      <c r="AE410" s="2" t="s">
        <v>83</v>
      </c>
      <c r="AF410" s="2" t="s">
        <v>83</v>
      </c>
      <c r="AG410" s="2" t="s">
        <v>83</v>
      </c>
      <c r="AH410" s="2" t="s">
        <v>83</v>
      </c>
      <c r="AI410" s="2" t="s">
        <v>83</v>
      </c>
      <c r="AJ410" s="2" t="s">
        <v>83</v>
      </c>
      <c r="AK410" s="2" t="s">
        <v>83</v>
      </c>
      <c r="AL410" s="2" t="s">
        <v>83</v>
      </c>
      <c r="AM410" s="2" t="s">
        <v>83</v>
      </c>
      <c r="AN410" s="2" t="s">
        <v>83</v>
      </c>
      <c r="AO410" s="2" t="s">
        <v>83</v>
      </c>
      <c r="AP410" s="2" t="s">
        <v>83</v>
      </c>
      <c r="AQ410" s="2" t="s">
        <v>83</v>
      </c>
      <c r="AR410" s="2" t="s">
        <v>83</v>
      </c>
      <c r="AS410" s="2" t="s">
        <v>83</v>
      </c>
      <c r="AT410" s="2" t="s">
        <v>83</v>
      </c>
      <c r="AU410" s="2" t="s">
        <v>83</v>
      </c>
      <c r="AV410" s="2" t="s">
        <v>83</v>
      </c>
      <c r="AW410" s="2" t="s">
        <v>83</v>
      </c>
      <c r="AX410" s="2" t="s">
        <v>83</v>
      </c>
      <c r="AY410" s="2" t="s">
        <v>83</v>
      </c>
      <c r="AZ410" s="2" t="s">
        <v>83</v>
      </c>
      <c r="BA410" s="2" t="s">
        <v>83</v>
      </c>
      <c r="BB410" s="2" t="s">
        <v>83</v>
      </c>
      <c r="BC410" s="2" t="s">
        <v>79</v>
      </c>
      <c r="BD410" s="2" t="s">
        <v>79</v>
      </c>
      <c r="BE410" s="2" t="s">
        <v>79</v>
      </c>
      <c r="BF410" s="2" t="s">
        <v>98</v>
      </c>
      <c r="BG410" s="2" t="s">
        <v>79</v>
      </c>
      <c r="BH410" s="2" t="s">
        <v>98</v>
      </c>
      <c r="BI410" s="2" t="s">
        <v>98</v>
      </c>
      <c r="BJ410" s="2" t="s">
        <v>98</v>
      </c>
      <c r="BK410" s="2" t="s">
        <v>98</v>
      </c>
      <c r="BL410" s="2" t="s">
        <v>98</v>
      </c>
      <c r="BM410" s="2" t="s">
        <v>98</v>
      </c>
      <c r="BN410" s="2" t="s">
        <v>98</v>
      </c>
      <c r="BO410" s="2" t="s">
        <v>98</v>
      </c>
      <c r="BP410" s="2" t="s">
        <v>98</v>
      </c>
      <c r="BQ410" s="2" t="s">
        <v>98</v>
      </c>
      <c r="BR410" s="2" t="s">
        <v>98</v>
      </c>
      <c r="BS410" s="2" t="s">
        <v>98</v>
      </c>
      <c r="BT410" s="2" t="s">
        <v>98</v>
      </c>
      <c r="BU410" s="2" t="s">
        <v>98</v>
      </c>
      <c r="BV410" s="2" t="s">
        <v>98</v>
      </c>
      <c r="BW410" s="2" t="s">
        <v>98</v>
      </c>
      <c r="BX410" s="2" t="s">
        <v>98</v>
      </c>
      <c r="BY410" s="2" t="s">
        <v>98</v>
      </c>
      <c r="BZ410" s="2" t="s">
        <v>98</v>
      </c>
      <c r="CA410" s="2" t="s">
        <v>98</v>
      </c>
      <c r="CB410" t="e">
        <f>TTEST(AS410:AW410,AI410:AM410,2,2)</f>
        <v>#DIV/0!</v>
      </c>
      <c r="CC410" t="e">
        <f>TTEST(AD410:AH410,AI410:AM410,2,2)</f>
        <v>#DIV/0!</v>
      </c>
      <c r="CD410" t="e">
        <f>TTEST(AN410:AR410,AI410:AM410,2,2)</f>
        <v>#DIV/0!</v>
      </c>
      <c r="CE410" t="e">
        <f>TTEST(AX410:BB410,AI410:AM410,2,2)</f>
        <v>#DIV/0!</v>
      </c>
      <c r="CF410">
        <v>386</v>
      </c>
      <c r="CG410">
        <v>400</v>
      </c>
      <c r="CH410">
        <v>404</v>
      </c>
      <c r="CI410">
        <v>407</v>
      </c>
      <c r="CJ410">
        <f>0.05*CF410/464</f>
        <v>4.1594827586206896E-2</v>
      </c>
      <c r="CK410">
        <f>0.05*CG410/464</f>
        <v>4.3103448275862072E-2</v>
      </c>
      <c r="CL410">
        <f>0.05*CH410/464</f>
        <v>4.3534482758620693E-2</v>
      </c>
      <c r="CM410">
        <f>0.05*CI410/464</f>
        <v>4.3857758620689656E-2</v>
      </c>
      <c r="CN410" t="e">
        <f>IF(CB410&lt;CJ410,"yes","no")</f>
        <v>#DIV/0!</v>
      </c>
      <c r="CO410" t="e">
        <f>IF(CC410&lt;CK410,"yes","no")</f>
        <v>#DIV/0!</v>
      </c>
      <c r="CP410" t="e">
        <f>IF(CD410&lt;CL410,"yes","no")</f>
        <v>#DIV/0!</v>
      </c>
      <c r="CQ410" t="e">
        <f>IF(CE410&lt;CM410,"yes","no")</f>
        <v>#DIV/0!</v>
      </c>
      <c r="CR410" t="e">
        <f>TTEST(AS410:AW410,AD410:AH410,2,2)</f>
        <v>#DIV/0!</v>
      </c>
      <c r="CS410" t="e">
        <f>TTEST(AS410:AW410,AN410:AR410,2,2)</f>
        <v>#DIV/0!</v>
      </c>
      <c r="CT410" t="e">
        <f>TTEST(AS410:AW410,AX410:BB410,2,2)</f>
        <v>#DIV/0!</v>
      </c>
      <c r="CU410">
        <v>404</v>
      </c>
      <c r="CV410">
        <v>407</v>
      </c>
      <c r="CW410">
        <v>409</v>
      </c>
      <c r="CX410">
        <f t="shared" si="18"/>
        <v>4.3534482758620693E-2</v>
      </c>
      <c r="CY410">
        <f t="shared" si="19"/>
        <v>4.3857758620689656E-2</v>
      </c>
      <c r="CZ410">
        <f t="shared" si="20"/>
        <v>4.4073275862068974E-2</v>
      </c>
      <c r="DA410" t="e">
        <f>IF(CR410&lt;CX410,"yes","no")</f>
        <v>#DIV/0!</v>
      </c>
      <c r="DB410" t="e">
        <f>IF(CS410&lt;CY410,"yes","no")</f>
        <v>#DIV/0!</v>
      </c>
      <c r="DC410" t="e">
        <f>IF(CT410&lt;CZ410,"yes","no")</f>
        <v>#DIV/0!</v>
      </c>
    </row>
    <row r="411" spans="1:107" x14ac:dyDescent="0.2">
      <c r="A411" s="2" t="b">
        <v>0</v>
      </c>
      <c r="B411" s="2" t="s">
        <v>79</v>
      </c>
      <c r="C411" s="2" t="s">
        <v>80</v>
      </c>
      <c r="D411" s="2" t="s">
        <v>1591</v>
      </c>
      <c r="E411" s="2" t="s">
        <v>1592</v>
      </c>
      <c r="F411" s="2">
        <v>1</v>
      </c>
      <c r="G411" s="2">
        <v>1</v>
      </c>
      <c r="H411" s="2">
        <v>82.3</v>
      </c>
      <c r="I411" s="2">
        <v>6.54</v>
      </c>
      <c r="J411" s="2" t="s">
        <v>553</v>
      </c>
      <c r="K411" s="2" t="s">
        <v>1593</v>
      </c>
      <c r="L411" s="2" t="s">
        <v>119</v>
      </c>
      <c r="M411" s="2" t="s">
        <v>1594</v>
      </c>
      <c r="N411" s="2" t="s">
        <v>1591</v>
      </c>
      <c r="O411" s="2">
        <v>0.01</v>
      </c>
      <c r="P411" s="2">
        <v>0.01</v>
      </c>
      <c r="Q411" s="2">
        <v>1.2350000000000001</v>
      </c>
      <c r="R411" s="2">
        <v>100</v>
      </c>
      <c r="S411" s="2" t="s">
        <v>83</v>
      </c>
      <c r="T411" s="2" t="s">
        <v>83</v>
      </c>
      <c r="U411" s="2">
        <v>100</v>
      </c>
      <c r="V411" s="2" t="s">
        <v>83</v>
      </c>
      <c r="W411" s="2">
        <v>100</v>
      </c>
      <c r="X411" s="2">
        <v>100</v>
      </c>
      <c r="Y411" s="2">
        <v>223.8</v>
      </c>
      <c r="Z411" s="2" t="s">
        <v>83</v>
      </c>
      <c r="AA411" s="2" t="s">
        <v>83</v>
      </c>
      <c r="AB411" s="2" t="s">
        <v>83</v>
      </c>
      <c r="AC411" s="2">
        <v>276.2</v>
      </c>
      <c r="AD411" s="2" t="s">
        <v>83</v>
      </c>
      <c r="AE411" s="2" t="s">
        <v>83</v>
      </c>
      <c r="AF411" s="2" t="s">
        <v>83</v>
      </c>
      <c r="AG411" s="2">
        <v>52650.80078125</v>
      </c>
      <c r="AH411" s="2" t="s">
        <v>83</v>
      </c>
      <c r="AI411" s="2" t="s">
        <v>83</v>
      </c>
      <c r="AJ411" s="2" t="s">
        <v>83</v>
      </c>
      <c r="AK411" s="2" t="s">
        <v>83</v>
      </c>
      <c r="AL411" s="2" t="s">
        <v>83</v>
      </c>
      <c r="AM411" s="2" t="s">
        <v>83</v>
      </c>
      <c r="AN411" s="2" t="s">
        <v>83</v>
      </c>
      <c r="AO411" s="2" t="s">
        <v>83</v>
      </c>
      <c r="AP411" s="2" t="s">
        <v>83</v>
      </c>
      <c r="AQ411" s="2" t="s">
        <v>83</v>
      </c>
      <c r="AR411" s="2" t="s">
        <v>83</v>
      </c>
      <c r="AS411" s="2" t="s">
        <v>83</v>
      </c>
      <c r="AT411" s="2" t="s">
        <v>83</v>
      </c>
      <c r="AU411" s="2" t="s">
        <v>83</v>
      </c>
      <c r="AV411" s="2" t="s">
        <v>83</v>
      </c>
      <c r="AW411" s="2" t="s">
        <v>83</v>
      </c>
      <c r="AX411" s="2" t="s">
        <v>83</v>
      </c>
      <c r="AY411" s="2">
        <v>5187.25439453125</v>
      </c>
      <c r="AZ411" s="2" t="s">
        <v>83</v>
      </c>
      <c r="BA411" s="2" t="s">
        <v>83</v>
      </c>
      <c r="BB411" s="2" t="s">
        <v>83</v>
      </c>
      <c r="BC411" s="2" t="s">
        <v>79</v>
      </c>
      <c r="BD411" s="2" t="s">
        <v>79</v>
      </c>
      <c r="BE411" s="2" t="s">
        <v>79</v>
      </c>
      <c r="BF411" s="2" t="s">
        <v>79</v>
      </c>
      <c r="BG411" s="2" t="s">
        <v>79</v>
      </c>
      <c r="BH411" s="2" t="s">
        <v>98</v>
      </c>
      <c r="BI411" s="2" t="s">
        <v>98</v>
      </c>
      <c r="BJ411" s="2" t="s">
        <v>98</v>
      </c>
      <c r="BK411" s="2" t="s">
        <v>98</v>
      </c>
      <c r="BL411" s="2" t="s">
        <v>98</v>
      </c>
      <c r="BM411" s="2" t="s">
        <v>98</v>
      </c>
      <c r="BN411" s="2" t="s">
        <v>98</v>
      </c>
      <c r="BO411" s="2" t="s">
        <v>98</v>
      </c>
      <c r="BP411" s="2" t="s">
        <v>98</v>
      </c>
      <c r="BQ411" s="2" t="s">
        <v>98</v>
      </c>
      <c r="BR411" s="2" t="s">
        <v>98</v>
      </c>
      <c r="BS411" s="2" t="s">
        <v>98</v>
      </c>
      <c r="BT411" s="2" t="s">
        <v>98</v>
      </c>
      <c r="BU411" s="2" t="s">
        <v>98</v>
      </c>
      <c r="BV411" s="2" t="s">
        <v>98</v>
      </c>
      <c r="BW411" s="2" t="s">
        <v>98</v>
      </c>
      <c r="BX411" s="2" t="s">
        <v>91</v>
      </c>
      <c r="BY411" s="2" t="s">
        <v>98</v>
      </c>
      <c r="BZ411" s="2" t="s">
        <v>98</v>
      </c>
      <c r="CA411" s="2" t="s">
        <v>98</v>
      </c>
      <c r="CB411" t="e">
        <f>TTEST(AS411:AW411,AI411:AM411,2,2)</f>
        <v>#DIV/0!</v>
      </c>
      <c r="CC411" t="e">
        <f>TTEST(AD411:AH411,AI411:AM411,2,2)</f>
        <v>#DIV/0!</v>
      </c>
      <c r="CD411" t="e">
        <f>TTEST(AN411:AR411,AI411:AM411,2,2)</f>
        <v>#DIV/0!</v>
      </c>
      <c r="CE411" t="e">
        <f>TTEST(AX411:BB411,AI411:AM411,2,2)</f>
        <v>#DIV/0!</v>
      </c>
      <c r="CF411">
        <v>387</v>
      </c>
      <c r="CG411">
        <v>401</v>
      </c>
      <c r="CH411">
        <v>405</v>
      </c>
      <c r="CI411">
        <v>408</v>
      </c>
      <c r="CJ411">
        <f>0.05*CF411/464</f>
        <v>4.1702586206896555E-2</v>
      </c>
      <c r="CK411">
        <f>0.05*CG411/464</f>
        <v>4.3211206896551724E-2</v>
      </c>
      <c r="CL411">
        <f>0.05*CH411/464</f>
        <v>4.3642241379310345E-2</v>
      </c>
      <c r="CM411">
        <f>0.05*CI411/464</f>
        <v>4.3965517241379315E-2</v>
      </c>
      <c r="CN411" t="e">
        <f>IF(CB411&lt;CJ411,"yes","no")</f>
        <v>#DIV/0!</v>
      </c>
      <c r="CO411" t="e">
        <f>IF(CC411&lt;CK411,"yes","no")</f>
        <v>#DIV/0!</v>
      </c>
      <c r="CP411" t="e">
        <f>IF(CD411&lt;CL411,"yes","no")</f>
        <v>#DIV/0!</v>
      </c>
      <c r="CQ411" t="e">
        <f>IF(CE411&lt;CM411,"yes","no")</f>
        <v>#DIV/0!</v>
      </c>
      <c r="CR411" t="e">
        <f>TTEST(AS411:AW411,AD411:AH411,2,2)</f>
        <v>#DIV/0!</v>
      </c>
      <c r="CS411" t="e">
        <f>TTEST(AS411:AW411,AN411:AR411,2,2)</f>
        <v>#DIV/0!</v>
      </c>
      <c r="CT411" t="e">
        <f>TTEST(AS411:AW411,AX411:BB411,2,2)</f>
        <v>#DIV/0!</v>
      </c>
      <c r="CU411">
        <v>405</v>
      </c>
      <c r="CV411">
        <v>408</v>
      </c>
      <c r="CW411">
        <v>410</v>
      </c>
      <c r="CX411">
        <f t="shared" si="18"/>
        <v>4.3642241379310345E-2</v>
      </c>
      <c r="CY411">
        <f t="shared" si="19"/>
        <v>4.3965517241379315E-2</v>
      </c>
      <c r="CZ411">
        <f t="shared" si="20"/>
        <v>4.4181034482758619E-2</v>
      </c>
      <c r="DA411" t="e">
        <f>IF(CR411&lt;CX411,"yes","no")</f>
        <v>#DIV/0!</v>
      </c>
      <c r="DB411" t="e">
        <f>IF(CS411&lt;CY411,"yes","no")</f>
        <v>#DIV/0!</v>
      </c>
      <c r="DC411" t="e">
        <f>IF(CT411&lt;CZ411,"yes","no")</f>
        <v>#DIV/0!</v>
      </c>
    </row>
    <row r="412" spans="1:107" x14ac:dyDescent="0.2">
      <c r="A412" s="2" t="b">
        <v>0</v>
      </c>
      <c r="B412" s="2" t="s">
        <v>79</v>
      </c>
      <c r="C412" s="2" t="s">
        <v>80</v>
      </c>
      <c r="D412" s="2" t="s">
        <v>1595</v>
      </c>
      <c r="E412" s="2" t="s">
        <v>1596</v>
      </c>
      <c r="F412" s="2">
        <v>1</v>
      </c>
      <c r="G412" s="2">
        <v>1</v>
      </c>
      <c r="H412" s="2">
        <v>78.2</v>
      </c>
      <c r="I412" s="2">
        <v>5.57</v>
      </c>
      <c r="J412" s="2" t="s">
        <v>1204</v>
      </c>
      <c r="K412" s="2" t="s">
        <v>217</v>
      </c>
      <c r="L412" s="2" t="s">
        <v>83</v>
      </c>
      <c r="M412" s="2" t="s">
        <v>1597</v>
      </c>
      <c r="N412" s="2" t="s">
        <v>1598</v>
      </c>
      <c r="O412" s="2">
        <v>11.698</v>
      </c>
      <c r="P412" s="2">
        <v>0.01</v>
      </c>
      <c r="Q412" s="2">
        <v>0.01</v>
      </c>
      <c r="R412" s="2">
        <v>100</v>
      </c>
      <c r="S412" s="2">
        <v>100</v>
      </c>
      <c r="T412" s="2" t="s">
        <v>83</v>
      </c>
      <c r="U412" s="2" t="s">
        <v>83</v>
      </c>
      <c r="V412" s="2">
        <v>0.01</v>
      </c>
      <c r="W412" s="2">
        <v>0.01</v>
      </c>
      <c r="X412" s="2" t="s">
        <v>83</v>
      </c>
      <c r="Y412" s="2">
        <v>39.4</v>
      </c>
      <c r="Z412" s="2" t="s">
        <v>83</v>
      </c>
      <c r="AA412" s="2">
        <v>460.6</v>
      </c>
      <c r="AB412" s="2" t="s">
        <v>83</v>
      </c>
      <c r="AC412" s="2" t="s">
        <v>83</v>
      </c>
      <c r="AD412" s="2">
        <v>131014.3828125</v>
      </c>
      <c r="AE412" s="2">
        <v>71555.2890625</v>
      </c>
      <c r="AF412" s="2" t="s">
        <v>83</v>
      </c>
      <c r="AG412" s="2" t="s">
        <v>83</v>
      </c>
      <c r="AH412" s="2" t="s">
        <v>83</v>
      </c>
      <c r="AI412" s="2" t="s">
        <v>83</v>
      </c>
      <c r="AJ412" s="2" t="s">
        <v>83</v>
      </c>
      <c r="AK412" s="2" t="s">
        <v>83</v>
      </c>
      <c r="AL412" s="2" t="s">
        <v>83</v>
      </c>
      <c r="AM412" s="2" t="s">
        <v>83</v>
      </c>
      <c r="AN412" s="2">
        <v>27431.349609375</v>
      </c>
      <c r="AO412" s="2">
        <v>25982.041015625</v>
      </c>
      <c r="AP412" s="2">
        <v>16853.734375</v>
      </c>
      <c r="AQ412" s="2" t="s">
        <v>83</v>
      </c>
      <c r="AR412" s="2">
        <v>14720.9775390625</v>
      </c>
      <c r="AS412" s="2" t="s">
        <v>83</v>
      </c>
      <c r="AT412" s="2" t="s">
        <v>83</v>
      </c>
      <c r="AU412" s="2" t="s">
        <v>83</v>
      </c>
      <c r="AV412" s="2" t="s">
        <v>83</v>
      </c>
      <c r="AW412" s="2" t="s">
        <v>83</v>
      </c>
      <c r="AX412" s="2" t="s">
        <v>83</v>
      </c>
      <c r="AY412" s="2" t="s">
        <v>83</v>
      </c>
      <c r="AZ412" s="2" t="s">
        <v>83</v>
      </c>
      <c r="BA412" s="2" t="s">
        <v>83</v>
      </c>
      <c r="BB412" s="2" t="s">
        <v>83</v>
      </c>
      <c r="BC412" s="2" t="s">
        <v>91</v>
      </c>
      <c r="BD412" s="2" t="s">
        <v>79</v>
      </c>
      <c r="BE412" s="2" t="s">
        <v>79</v>
      </c>
      <c r="BF412" s="2" t="s">
        <v>98</v>
      </c>
      <c r="BG412" s="2" t="s">
        <v>79</v>
      </c>
      <c r="BH412" s="2" t="s">
        <v>98</v>
      </c>
      <c r="BI412" s="2" t="s">
        <v>98</v>
      </c>
      <c r="BJ412" s="2" t="s">
        <v>98</v>
      </c>
      <c r="BK412" s="2" t="s">
        <v>98</v>
      </c>
      <c r="BL412" s="2" t="s">
        <v>98</v>
      </c>
      <c r="BM412" s="2" t="s">
        <v>79</v>
      </c>
      <c r="BN412" s="2" t="s">
        <v>91</v>
      </c>
      <c r="BO412" s="2" t="s">
        <v>79</v>
      </c>
      <c r="BP412" s="2" t="s">
        <v>98</v>
      </c>
      <c r="BQ412" s="2" t="s">
        <v>91</v>
      </c>
      <c r="BR412" s="2" t="s">
        <v>98</v>
      </c>
      <c r="BS412" s="2" t="s">
        <v>98</v>
      </c>
      <c r="BT412" s="2" t="s">
        <v>98</v>
      </c>
      <c r="BU412" s="2" t="s">
        <v>98</v>
      </c>
      <c r="BV412" s="2" t="s">
        <v>98</v>
      </c>
      <c r="BW412" s="2" t="s">
        <v>98</v>
      </c>
      <c r="BX412" s="2" t="s">
        <v>98</v>
      </c>
      <c r="BY412" s="2" t="s">
        <v>98</v>
      </c>
      <c r="BZ412" s="2" t="s">
        <v>98</v>
      </c>
      <c r="CA412" s="2" t="s">
        <v>98</v>
      </c>
      <c r="CB412" t="e">
        <f>TTEST(AS412:AW412,AI412:AM412,2,2)</f>
        <v>#DIV/0!</v>
      </c>
      <c r="CC412" t="e">
        <f>TTEST(AD412:AH412,AI412:AM412,2,2)</f>
        <v>#DIV/0!</v>
      </c>
      <c r="CD412" t="e">
        <f>TTEST(AN412:AR412,AI412:AM412,2,2)</f>
        <v>#DIV/0!</v>
      </c>
      <c r="CE412" t="e">
        <f>TTEST(AX412:BB412,AI412:AM412,2,2)</f>
        <v>#DIV/0!</v>
      </c>
      <c r="CF412">
        <v>388</v>
      </c>
      <c r="CG412">
        <v>402</v>
      </c>
      <c r="CH412">
        <v>406</v>
      </c>
      <c r="CI412">
        <v>409</v>
      </c>
      <c r="CJ412">
        <f>0.05*CF412/464</f>
        <v>4.1810344827586214E-2</v>
      </c>
      <c r="CK412">
        <f>0.05*CG412/464</f>
        <v>4.3318965517241383E-2</v>
      </c>
      <c r="CL412">
        <f>0.05*CH412/464</f>
        <v>4.3750000000000004E-2</v>
      </c>
      <c r="CM412">
        <f>0.05*CI412/464</f>
        <v>4.4073275862068974E-2</v>
      </c>
      <c r="CN412" t="e">
        <f>IF(CB412&lt;CJ412,"yes","no")</f>
        <v>#DIV/0!</v>
      </c>
      <c r="CO412" t="e">
        <f>IF(CC412&lt;CK412,"yes","no")</f>
        <v>#DIV/0!</v>
      </c>
      <c r="CP412" t="e">
        <f>IF(CD412&lt;CL412,"yes","no")</f>
        <v>#DIV/0!</v>
      </c>
      <c r="CQ412" t="e">
        <f>IF(CE412&lt;CM412,"yes","no")</f>
        <v>#DIV/0!</v>
      </c>
      <c r="CR412" t="e">
        <f>TTEST(AS412:AW412,AD412:AH412,2,2)</f>
        <v>#DIV/0!</v>
      </c>
      <c r="CS412" t="e">
        <f>TTEST(AS412:AW412,AN412:AR412,2,2)</f>
        <v>#DIV/0!</v>
      </c>
      <c r="CT412" t="e">
        <f>TTEST(AS412:AW412,AX412:BB412,2,2)</f>
        <v>#DIV/0!</v>
      </c>
      <c r="CU412">
        <v>406</v>
      </c>
      <c r="CV412">
        <v>409</v>
      </c>
      <c r="CW412">
        <v>411</v>
      </c>
      <c r="CX412">
        <f t="shared" si="18"/>
        <v>4.3750000000000004E-2</v>
      </c>
      <c r="CY412">
        <f t="shared" si="19"/>
        <v>4.4073275862068974E-2</v>
      </c>
      <c r="CZ412">
        <f t="shared" si="20"/>
        <v>4.4288793103448278E-2</v>
      </c>
      <c r="DA412" t="e">
        <f>IF(CR412&lt;CX412,"yes","no")</f>
        <v>#DIV/0!</v>
      </c>
      <c r="DB412" t="e">
        <f>IF(CS412&lt;CY412,"yes","no")</f>
        <v>#DIV/0!</v>
      </c>
      <c r="DC412" t="e">
        <f>IF(CT412&lt;CZ412,"yes","no")</f>
        <v>#DIV/0!</v>
      </c>
    </row>
    <row r="413" spans="1:107" x14ac:dyDescent="0.2">
      <c r="A413" s="2" t="b">
        <v>0</v>
      </c>
      <c r="B413" s="2" t="s">
        <v>79</v>
      </c>
      <c r="C413" s="2" t="s">
        <v>80</v>
      </c>
      <c r="D413" s="2" t="s">
        <v>1599</v>
      </c>
      <c r="E413" s="2" t="s">
        <v>1600</v>
      </c>
      <c r="F413" s="2">
        <v>1</v>
      </c>
      <c r="G413" s="2">
        <v>1</v>
      </c>
      <c r="H413" s="2">
        <v>34.4</v>
      </c>
      <c r="I413" s="2">
        <v>8.76</v>
      </c>
      <c r="J413" s="2" t="s">
        <v>322</v>
      </c>
      <c r="K413" s="2" t="s">
        <v>1446</v>
      </c>
      <c r="L413" s="2" t="s">
        <v>119</v>
      </c>
      <c r="M413" s="2" t="s">
        <v>1601</v>
      </c>
      <c r="N413" s="2" t="s">
        <v>1602</v>
      </c>
      <c r="O413" s="2" t="s">
        <v>83</v>
      </c>
      <c r="P413" s="2" t="s">
        <v>83</v>
      </c>
      <c r="Q413" s="2" t="s">
        <v>83</v>
      </c>
      <c r="R413" s="2" t="s">
        <v>83</v>
      </c>
      <c r="S413" s="2" t="s">
        <v>83</v>
      </c>
      <c r="T413" s="2" t="s">
        <v>83</v>
      </c>
      <c r="U413" s="2" t="s">
        <v>83</v>
      </c>
      <c r="V413" s="2" t="s">
        <v>83</v>
      </c>
      <c r="W413" s="2" t="s">
        <v>83</v>
      </c>
      <c r="X413" s="2" t="s">
        <v>83</v>
      </c>
      <c r="Y413" s="2" t="s">
        <v>83</v>
      </c>
      <c r="Z413" s="2" t="s">
        <v>83</v>
      </c>
      <c r="AA413" s="2" t="s">
        <v>83</v>
      </c>
      <c r="AB413" s="2" t="s">
        <v>83</v>
      </c>
      <c r="AC413" s="2" t="s">
        <v>83</v>
      </c>
      <c r="AD413" s="2" t="s">
        <v>83</v>
      </c>
      <c r="AE413" s="2" t="s">
        <v>83</v>
      </c>
      <c r="AF413" s="2" t="s">
        <v>83</v>
      </c>
      <c r="AG413" s="2" t="s">
        <v>83</v>
      </c>
      <c r="AH413" s="2" t="s">
        <v>83</v>
      </c>
      <c r="AI413" s="2" t="s">
        <v>83</v>
      </c>
      <c r="AJ413" s="2" t="s">
        <v>83</v>
      </c>
      <c r="AK413" s="2" t="s">
        <v>83</v>
      </c>
      <c r="AL413" s="2" t="s">
        <v>83</v>
      </c>
      <c r="AM413" s="2" t="s">
        <v>83</v>
      </c>
      <c r="AN413" s="2" t="s">
        <v>83</v>
      </c>
      <c r="AO413" s="2" t="s">
        <v>83</v>
      </c>
      <c r="AP413" s="2" t="s">
        <v>83</v>
      </c>
      <c r="AQ413" s="2" t="s">
        <v>83</v>
      </c>
      <c r="AR413" s="2" t="s">
        <v>83</v>
      </c>
      <c r="AS413" s="2" t="s">
        <v>83</v>
      </c>
      <c r="AT413" s="2" t="s">
        <v>83</v>
      </c>
      <c r="AU413" s="2" t="s">
        <v>83</v>
      </c>
      <c r="AV413" s="2" t="s">
        <v>83</v>
      </c>
      <c r="AW413" s="2" t="s">
        <v>83</v>
      </c>
      <c r="AX413" s="2" t="s">
        <v>83</v>
      </c>
      <c r="AY413" s="2" t="s">
        <v>83</v>
      </c>
      <c r="AZ413" s="2" t="s">
        <v>83</v>
      </c>
      <c r="BA413" s="2" t="s">
        <v>83</v>
      </c>
      <c r="BB413" s="2" t="s">
        <v>83</v>
      </c>
      <c r="BC413" s="2" t="s">
        <v>98</v>
      </c>
      <c r="BD413" s="2" t="s">
        <v>98</v>
      </c>
      <c r="BE413" s="2" t="s">
        <v>98</v>
      </c>
      <c r="BF413" s="2" t="s">
        <v>79</v>
      </c>
      <c r="BG413" s="2" t="s">
        <v>98</v>
      </c>
      <c r="BH413" s="2" t="s">
        <v>98</v>
      </c>
      <c r="BI413" s="2" t="s">
        <v>98</v>
      </c>
      <c r="BJ413" s="2" t="s">
        <v>98</v>
      </c>
      <c r="BK413" s="2" t="s">
        <v>98</v>
      </c>
      <c r="BL413" s="2" t="s">
        <v>98</v>
      </c>
      <c r="BM413" s="2" t="s">
        <v>98</v>
      </c>
      <c r="BN413" s="2" t="s">
        <v>98</v>
      </c>
      <c r="BO413" s="2" t="s">
        <v>98</v>
      </c>
      <c r="BP413" s="2" t="s">
        <v>98</v>
      </c>
      <c r="BQ413" s="2" t="s">
        <v>98</v>
      </c>
      <c r="BR413" s="2" t="s">
        <v>98</v>
      </c>
      <c r="BS413" s="2" t="s">
        <v>98</v>
      </c>
      <c r="BT413" s="2" t="s">
        <v>98</v>
      </c>
      <c r="BU413" s="2" t="s">
        <v>98</v>
      </c>
      <c r="BV413" s="2" t="s">
        <v>98</v>
      </c>
      <c r="BW413" s="2" t="s">
        <v>98</v>
      </c>
      <c r="BX413" s="2" t="s">
        <v>98</v>
      </c>
      <c r="BY413" s="2" t="s">
        <v>98</v>
      </c>
      <c r="BZ413" s="2" t="s">
        <v>98</v>
      </c>
      <c r="CA413" s="2" t="s">
        <v>98</v>
      </c>
      <c r="CB413" t="e">
        <f>TTEST(AS413:AW413,AI413:AM413,2,2)</f>
        <v>#DIV/0!</v>
      </c>
      <c r="CC413" t="e">
        <f>TTEST(AD413:AH413,AI413:AM413,2,2)</f>
        <v>#DIV/0!</v>
      </c>
      <c r="CD413" t="e">
        <f>TTEST(AN413:AR413,AI413:AM413,2,2)</f>
        <v>#DIV/0!</v>
      </c>
      <c r="CE413" t="e">
        <f>TTEST(AX413:BB413,AI413:AM413,2,2)</f>
        <v>#DIV/0!</v>
      </c>
      <c r="CF413">
        <v>389</v>
      </c>
      <c r="CG413">
        <v>403</v>
      </c>
      <c r="CH413">
        <v>407</v>
      </c>
      <c r="CI413">
        <v>410</v>
      </c>
      <c r="CJ413">
        <f>0.05*CF413/464</f>
        <v>4.1918103448275866E-2</v>
      </c>
      <c r="CK413">
        <f>0.05*CG413/464</f>
        <v>4.3426724137931041E-2</v>
      </c>
      <c r="CL413">
        <f>0.05*CH413/464</f>
        <v>4.3857758620689656E-2</v>
      </c>
      <c r="CM413">
        <f>0.05*CI413/464</f>
        <v>4.4181034482758619E-2</v>
      </c>
      <c r="CN413" t="e">
        <f>IF(CB413&lt;CJ413,"yes","no")</f>
        <v>#DIV/0!</v>
      </c>
      <c r="CO413" t="e">
        <f>IF(CC413&lt;CK413,"yes","no")</f>
        <v>#DIV/0!</v>
      </c>
      <c r="CP413" t="e">
        <f>IF(CD413&lt;CL413,"yes","no")</f>
        <v>#DIV/0!</v>
      </c>
      <c r="CQ413" t="e">
        <f>IF(CE413&lt;CM413,"yes","no")</f>
        <v>#DIV/0!</v>
      </c>
      <c r="CR413" t="e">
        <f>TTEST(AS413:AW413,AD413:AH413,2,2)</f>
        <v>#DIV/0!</v>
      </c>
      <c r="CS413" t="e">
        <f>TTEST(AS413:AW413,AN413:AR413,2,2)</f>
        <v>#DIV/0!</v>
      </c>
      <c r="CT413" t="e">
        <f>TTEST(AS413:AW413,AX413:BB413,2,2)</f>
        <v>#DIV/0!</v>
      </c>
      <c r="CU413">
        <v>407</v>
      </c>
      <c r="CV413">
        <v>410</v>
      </c>
      <c r="CW413">
        <v>412</v>
      </c>
      <c r="CX413">
        <f t="shared" si="18"/>
        <v>4.3857758620689656E-2</v>
      </c>
      <c r="CY413">
        <f t="shared" si="19"/>
        <v>4.4181034482758619E-2</v>
      </c>
      <c r="CZ413">
        <f t="shared" si="20"/>
        <v>4.4396551724137936E-2</v>
      </c>
      <c r="DA413" t="e">
        <f>IF(CR413&lt;CX413,"yes","no")</f>
        <v>#DIV/0!</v>
      </c>
      <c r="DB413" t="e">
        <f>IF(CS413&lt;CY413,"yes","no")</f>
        <v>#DIV/0!</v>
      </c>
      <c r="DC413" t="e">
        <f>IF(CT413&lt;CZ413,"yes","no")</f>
        <v>#DIV/0!</v>
      </c>
    </row>
    <row r="414" spans="1:107" x14ac:dyDescent="0.2">
      <c r="A414" s="2" t="b">
        <v>0</v>
      </c>
      <c r="B414" s="2" t="s">
        <v>79</v>
      </c>
      <c r="C414" s="2" t="s">
        <v>80</v>
      </c>
      <c r="D414" s="2" t="s">
        <v>1607</v>
      </c>
      <c r="E414" s="2" t="s">
        <v>1608</v>
      </c>
      <c r="F414" s="2">
        <v>1</v>
      </c>
      <c r="G414" s="2">
        <v>1</v>
      </c>
      <c r="H414" s="2">
        <v>137.1</v>
      </c>
      <c r="I414" s="2">
        <v>6.38</v>
      </c>
      <c r="J414" s="2" t="s">
        <v>1609</v>
      </c>
      <c r="K414" s="2" t="s">
        <v>319</v>
      </c>
      <c r="L414" s="2" t="s">
        <v>115</v>
      </c>
      <c r="M414" s="2" t="s">
        <v>1610</v>
      </c>
      <c r="N414" s="2" t="s">
        <v>1607</v>
      </c>
      <c r="O414" s="2" t="s">
        <v>83</v>
      </c>
      <c r="P414" s="2" t="s">
        <v>83</v>
      </c>
      <c r="Q414" s="2" t="s">
        <v>83</v>
      </c>
      <c r="R414" s="2" t="s">
        <v>83</v>
      </c>
      <c r="S414" s="2" t="s">
        <v>83</v>
      </c>
      <c r="T414" s="2" t="s">
        <v>83</v>
      </c>
      <c r="U414" s="2" t="s">
        <v>83</v>
      </c>
      <c r="V414" s="2" t="s">
        <v>83</v>
      </c>
      <c r="W414" s="2" t="s">
        <v>83</v>
      </c>
      <c r="X414" s="2" t="s">
        <v>83</v>
      </c>
      <c r="Y414" s="2" t="s">
        <v>83</v>
      </c>
      <c r="Z414" s="2" t="s">
        <v>83</v>
      </c>
      <c r="AA414" s="2" t="s">
        <v>83</v>
      </c>
      <c r="AB414" s="2" t="s">
        <v>83</v>
      </c>
      <c r="AC414" s="2" t="s">
        <v>83</v>
      </c>
      <c r="AD414" s="2" t="s">
        <v>83</v>
      </c>
      <c r="AE414" s="2" t="s">
        <v>83</v>
      </c>
      <c r="AF414" s="2" t="s">
        <v>83</v>
      </c>
      <c r="AG414" s="2" t="s">
        <v>83</v>
      </c>
      <c r="AH414" s="2" t="s">
        <v>83</v>
      </c>
      <c r="AI414" s="2" t="s">
        <v>83</v>
      </c>
      <c r="AJ414" s="2" t="s">
        <v>83</v>
      </c>
      <c r="AK414" s="2" t="s">
        <v>83</v>
      </c>
      <c r="AL414" s="2" t="s">
        <v>83</v>
      </c>
      <c r="AM414" s="2" t="s">
        <v>83</v>
      </c>
      <c r="AN414" s="2" t="s">
        <v>83</v>
      </c>
      <c r="AO414" s="2" t="s">
        <v>83</v>
      </c>
      <c r="AP414" s="2" t="s">
        <v>83</v>
      </c>
      <c r="AQ414" s="2" t="s">
        <v>83</v>
      </c>
      <c r="AR414" s="2" t="s">
        <v>83</v>
      </c>
      <c r="AS414" s="2" t="s">
        <v>83</v>
      </c>
      <c r="AT414" s="2" t="s">
        <v>83</v>
      </c>
      <c r="AU414" s="2" t="s">
        <v>83</v>
      </c>
      <c r="AV414" s="2" t="s">
        <v>83</v>
      </c>
      <c r="AW414" s="2" t="s">
        <v>83</v>
      </c>
      <c r="AX414" s="2" t="s">
        <v>83</v>
      </c>
      <c r="AY414" s="2" t="s">
        <v>83</v>
      </c>
      <c r="AZ414" s="2" t="s">
        <v>83</v>
      </c>
      <c r="BA414" s="2" t="s">
        <v>83</v>
      </c>
      <c r="BB414" s="2" t="s">
        <v>83</v>
      </c>
      <c r="BC414" s="2" t="s">
        <v>98</v>
      </c>
      <c r="BD414" s="2" t="s">
        <v>98</v>
      </c>
      <c r="BE414" s="2" t="s">
        <v>98</v>
      </c>
      <c r="BF414" s="2" t="s">
        <v>98</v>
      </c>
      <c r="BG414" s="2" t="s">
        <v>79</v>
      </c>
      <c r="BH414" s="2" t="s">
        <v>98</v>
      </c>
      <c r="BI414" s="2" t="s">
        <v>98</v>
      </c>
      <c r="BJ414" s="2" t="s">
        <v>98</v>
      </c>
      <c r="BK414" s="2" t="s">
        <v>98</v>
      </c>
      <c r="BL414" s="2" t="s">
        <v>98</v>
      </c>
      <c r="BM414" s="2" t="s">
        <v>98</v>
      </c>
      <c r="BN414" s="2" t="s">
        <v>98</v>
      </c>
      <c r="BO414" s="2" t="s">
        <v>98</v>
      </c>
      <c r="BP414" s="2" t="s">
        <v>98</v>
      </c>
      <c r="BQ414" s="2" t="s">
        <v>98</v>
      </c>
      <c r="BR414" s="2" t="s">
        <v>98</v>
      </c>
      <c r="BS414" s="2" t="s">
        <v>98</v>
      </c>
      <c r="BT414" s="2" t="s">
        <v>98</v>
      </c>
      <c r="BU414" s="2" t="s">
        <v>98</v>
      </c>
      <c r="BV414" s="2" t="s">
        <v>98</v>
      </c>
      <c r="BW414" s="2" t="s">
        <v>98</v>
      </c>
      <c r="BX414" s="2" t="s">
        <v>98</v>
      </c>
      <c r="BY414" s="2" t="s">
        <v>98</v>
      </c>
      <c r="BZ414" s="2" t="s">
        <v>98</v>
      </c>
      <c r="CA414" s="2" t="s">
        <v>98</v>
      </c>
      <c r="CB414" t="e">
        <f>TTEST(AS414:AW414,AI414:AM414,2,2)</f>
        <v>#DIV/0!</v>
      </c>
      <c r="CC414" t="e">
        <f>TTEST(AD414:AH414,AI414:AM414,2,2)</f>
        <v>#DIV/0!</v>
      </c>
      <c r="CD414" t="e">
        <f>TTEST(AN414:AR414,AI414:AM414,2,2)</f>
        <v>#DIV/0!</v>
      </c>
      <c r="CE414" t="e">
        <f>TTEST(AX414:BB414,AI414:AM414,2,2)</f>
        <v>#DIV/0!</v>
      </c>
      <c r="CF414">
        <v>390</v>
      </c>
      <c r="CG414">
        <v>404</v>
      </c>
      <c r="CH414">
        <v>408</v>
      </c>
      <c r="CI414">
        <v>411</v>
      </c>
      <c r="CJ414">
        <f>0.05*CF414/464</f>
        <v>4.2025862068965518E-2</v>
      </c>
      <c r="CK414">
        <f>0.05*CG414/464</f>
        <v>4.3534482758620693E-2</v>
      </c>
      <c r="CL414">
        <f>0.05*CH414/464</f>
        <v>4.3965517241379315E-2</v>
      </c>
      <c r="CM414">
        <f>0.05*CI414/464</f>
        <v>4.4288793103448278E-2</v>
      </c>
      <c r="CN414" t="e">
        <f>IF(CB414&lt;CJ414,"yes","no")</f>
        <v>#DIV/0!</v>
      </c>
      <c r="CO414" t="e">
        <f>IF(CC414&lt;CK414,"yes","no")</f>
        <v>#DIV/0!</v>
      </c>
      <c r="CP414" t="e">
        <f>IF(CD414&lt;CL414,"yes","no")</f>
        <v>#DIV/0!</v>
      </c>
      <c r="CQ414" t="e">
        <f>IF(CE414&lt;CM414,"yes","no")</f>
        <v>#DIV/0!</v>
      </c>
      <c r="CR414" t="e">
        <f>TTEST(AS414:AW414,AD414:AH414,2,2)</f>
        <v>#DIV/0!</v>
      </c>
      <c r="CS414" t="e">
        <f>TTEST(AS414:AW414,AN414:AR414,2,2)</f>
        <v>#DIV/0!</v>
      </c>
      <c r="CT414" t="e">
        <f>TTEST(AS414:AW414,AX414:BB414,2,2)</f>
        <v>#DIV/0!</v>
      </c>
      <c r="CU414">
        <v>408</v>
      </c>
      <c r="CV414">
        <v>411</v>
      </c>
      <c r="CW414">
        <v>413</v>
      </c>
      <c r="CX414">
        <f t="shared" si="18"/>
        <v>4.3965517241379315E-2</v>
      </c>
      <c r="CY414">
        <f t="shared" si="19"/>
        <v>4.4288793103448278E-2</v>
      </c>
      <c r="CZ414">
        <f t="shared" si="20"/>
        <v>4.4504310344827588E-2</v>
      </c>
      <c r="DA414" t="e">
        <f>IF(CR414&lt;CX414,"yes","no")</f>
        <v>#DIV/0!</v>
      </c>
      <c r="DB414" t="e">
        <f>IF(CS414&lt;CY414,"yes","no")</f>
        <v>#DIV/0!</v>
      </c>
      <c r="DC414" t="e">
        <f>IF(CT414&lt;CZ414,"yes","no")</f>
        <v>#DIV/0!</v>
      </c>
    </row>
    <row r="415" spans="1:107" x14ac:dyDescent="0.2">
      <c r="A415" s="2" t="b">
        <v>0</v>
      </c>
      <c r="B415" s="2" t="s">
        <v>79</v>
      </c>
      <c r="C415" s="2" t="s">
        <v>80</v>
      </c>
      <c r="D415" s="2" t="s">
        <v>1611</v>
      </c>
      <c r="E415" s="2" t="s">
        <v>1612</v>
      </c>
      <c r="F415" s="2">
        <v>1</v>
      </c>
      <c r="G415" s="2">
        <v>1</v>
      </c>
      <c r="H415" s="2">
        <v>133.30000000000001</v>
      </c>
      <c r="I415" s="2">
        <v>4.93</v>
      </c>
      <c r="J415" s="2" t="s">
        <v>396</v>
      </c>
      <c r="K415" s="2" t="s">
        <v>264</v>
      </c>
      <c r="L415" s="2" t="s">
        <v>315</v>
      </c>
      <c r="M415" s="2" t="s">
        <v>1613</v>
      </c>
      <c r="N415" s="2" t="s">
        <v>1611</v>
      </c>
      <c r="O415" s="2" t="s">
        <v>83</v>
      </c>
      <c r="P415" s="2" t="s">
        <v>83</v>
      </c>
      <c r="Q415" s="2" t="s">
        <v>83</v>
      </c>
      <c r="R415" s="2" t="s">
        <v>83</v>
      </c>
      <c r="S415" s="2" t="s">
        <v>83</v>
      </c>
      <c r="T415" s="2" t="s">
        <v>83</v>
      </c>
      <c r="U415" s="2" t="s">
        <v>83</v>
      </c>
      <c r="V415" s="2" t="s">
        <v>83</v>
      </c>
      <c r="W415" s="2" t="s">
        <v>83</v>
      </c>
      <c r="X415" s="2" t="s">
        <v>83</v>
      </c>
      <c r="Y415" s="2" t="s">
        <v>83</v>
      </c>
      <c r="Z415" s="2" t="s">
        <v>83</v>
      </c>
      <c r="AA415" s="2" t="s">
        <v>83</v>
      </c>
      <c r="AB415" s="2" t="s">
        <v>83</v>
      </c>
      <c r="AC415" s="2" t="s">
        <v>83</v>
      </c>
      <c r="AD415" s="2" t="s">
        <v>83</v>
      </c>
      <c r="AE415" s="2" t="s">
        <v>83</v>
      </c>
      <c r="AF415" s="2" t="s">
        <v>83</v>
      </c>
      <c r="AG415" s="2" t="s">
        <v>83</v>
      </c>
      <c r="AH415" s="2" t="s">
        <v>83</v>
      </c>
      <c r="AI415" s="2" t="s">
        <v>83</v>
      </c>
      <c r="AJ415" s="2" t="s">
        <v>83</v>
      </c>
      <c r="AK415" s="2" t="s">
        <v>83</v>
      </c>
      <c r="AL415" s="2" t="s">
        <v>83</v>
      </c>
      <c r="AM415" s="2" t="s">
        <v>83</v>
      </c>
      <c r="AN415" s="2" t="s">
        <v>83</v>
      </c>
      <c r="AO415" s="2" t="s">
        <v>83</v>
      </c>
      <c r="AP415" s="2" t="s">
        <v>83</v>
      </c>
      <c r="AQ415" s="2" t="s">
        <v>83</v>
      </c>
      <c r="AR415" s="2" t="s">
        <v>83</v>
      </c>
      <c r="AS415" s="2" t="s">
        <v>83</v>
      </c>
      <c r="AT415" s="2" t="s">
        <v>83</v>
      </c>
      <c r="AU415" s="2" t="s">
        <v>83</v>
      </c>
      <c r="AV415" s="2" t="s">
        <v>83</v>
      </c>
      <c r="AW415" s="2" t="s">
        <v>83</v>
      </c>
      <c r="AX415" s="2" t="s">
        <v>83</v>
      </c>
      <c r="AY415" s="2" t="s">
        <v>83</v>
      </c>
      <c r="AZ415" s="2" t="s">
        <v>83</v>
      </c>
      <c r="BA415" s="2" t="s">
        <v>83</v>
      </c>
      <c r="BB415" s="2" t="s">
        <v>83</v>
      </c>
      <c r="BC415" s="2" t="s">
        <v>98</v>
      </c>
      <c r="BD415" s="2" t="s">
        <v>98</v>
      </c>
      <c r="BE415" s="2" t="s">
        <v>98</v>
      </c>
      <c r="BF415" s="2" t="s">
        <v>98</v>
      </c>
      <c r="BG415" s="2" t="s">
        <v>98</v>
      </c>
      <c r="BH415" s="2" t="s">
        <v>98</v>
      </c>
      <c r="BI415" s="2" t="s">
        <v>98</v>
      </c>
      <c r="BJ415" s="2" t="s">
        <v>98</v>
      </c>
      <c r="BK415" s="2" t="s">
        <v>98</v>
      </c>
      <c r="BL415" s="2" t="s">
        <v>98</v>
      </c>
      <c r="BM415" s="2" t="s">
        <v>98</v>
      </c>
      <c r="BN415" s="2" t="s">
        <v>98</v>
      </c>
      <c r="BO415" s="2" t="s">
        <v>98</v>
      </c>
      <c r="BP415" s="2" t="s">
        <v>98</v>
      </c>
      <c r="BQ415" s="2" t="s">
        <v>98</v>
      </c>
      <c r="BR415" s="2" t="s">
        <v>98</v>
      </c>
      <c r="BS415" s="2" t="s">
        <v>98</v>
      </c>
      <c r="BT415" s="2" t="s">
        <v>98</v>
      </c>
      <c r="BU415" s="2" t="s">
        <v>98</v>
      </c>
      <c r="BV415" s="2" t="s">
        <v>98</v>
      </c>
      <c r="BW415" s="2" t="s">
        <v>98</v>
      </c>
      <c r="BX415" s="2" t="s">
        <v>98</v>
      </c>
      <c r="BY415" s="2" t="s">
        <v>79</v>
      </c>
      <c r="BZ415" s="2" t="s">
        <v>98</v>
      </c>
      <c r="CA415" s="2" t="s">
        <v>79</v>
      </c>
      <c r="CB415" t="e">
        <f>TTEST(AS415:AW415,AI415:AM415,2,2)</f>
        <v>#DIV/0!</v>
      </c>
      <c r="CC415" t="e">
        <f>TTEST(AD415:AH415,AI415:AM415,2,2)</f>
        <v>#DIV/0!</v>
      </c>
      <c r="CD415" t="e">
        <f>TTEST(AN415:AR415,AI415:AM415,2,2)</f>
        <v>#DIV/0!</v>
      </c>
      <c r="CE415" t="e">
        <f>TTEST(AX415:BB415,AI415:AM415,2,2)</f>
        <v>#DIV/0!</v>
      </c>
      <c r="CF415">
        <v>391</v>
      </c>
      <c r="CG415">
        <v>405</v>
      </c>
      <c r="CH415">
        <v>409</v>
      </c>
      <c r="CI415">
        <v>412</v>
      </c>
      <c r="CJ415">
        <f>0.05*CF415/464</f>
        <v>4.2133620689655177E-2</v>
      </c>
      <c r="CK415">
        <f>0.05*CG415/464</f>
        <v>4.3642241379310345E-2</v>
      </c>
      <c r="CL415">
        <f>0.05*CH415/464</f>
        <v>4.4073275862068974E-2</v>
      </c>
      <c r="CM415">
        <f>0.05*CI415/464</f>
        <v>4.4396551724137936E-2</v>
      </c>
      <c r="CN415" t="e">
        <f>IF(CB415&lt;CJ415,"yes","no")</f>
        <v>#DIV/0!</v>
      </c>
      <c r="CO415" t="e">
        <f>IF(CC415&lt;CK415,"yes","no")</f>
        <v>#DIV/0!</v>
      </c>
      <c r="CP415" t="e">
        <f>IF(CD415&lt;CL415,"yes","no")</f>
        <v>#DIV/0!</v>
      </c>
      <c r="CQ415" t="e">
        <f>IF(CE415&lt;CM415,"yes","no")</f>
        <v>#DIV/0!</v>
      </c>
      <c r="CR415" t="e">
        <f>TTEST(AS415:AW415,AD415:AH415,2,2)</f>
        <v>#DIV/0!</v>
      </c>
      <c r="CS415" t="e">
        <f>TTEST(AS415:AW415,AN415:AR415,2,2)</f>
        <v>#DIV/0!</v>
      </c>
      <c r="CT415" t="e">
        <f>TTEST(AS415:AW415,AX415:BB415,2,2)</f>
        <v>#DIV/0!</v>
      </c>
      <c r="CU415">
        <v>409</v>
      </c>
      <c r="CV415">
        <v>412</v>
      </c>
      <c r="CW415">
        <v>414</v>
      </c>
      <c r="CX415">
        <f t="shared" si="18"/>
        <v>4.4073275862068974E-2</v>
      </c>
      <c r="CY415">
        <f t="shared" si="19"/>
        <v>4.4396551724137936E-2</v>
      </c>
      <c r="CZ415">
        <f t="shared" si="20"/>
        <v>4.4612068965517247E-2</v>
      </c>
      <c r="DA415" t="e">
        <f>IF(CR415&lt;CX415,"yes","no")</f>
        <v>#DIV/0!</v>
      </c>
      <c r="DB415" t="e">
        <f>IF(CS415&lt;CY415,"yes","no")</f>
        <v>#DIV/0!</v>
      </c>
      <c r="DC415" t="e">
        <f>IF(CT415&lt;CZ415,"yes","no")</f>
        <v>#DIV/0!</v>
      </c>
    </row>
    <row r="416" spans="1:107" x14ac:dyDescent="0.2">
      <c r="A416" s="2" t="b">
        <v>0</v>
      </c>
      <c r="B416" s="2" t="s">
        <v>79</v>
      </c>
      <c r="C416" s="2" t="s">
        <v>80</v>
      </c>
      <c r="D416" s="2" t="s">
        <v>1617</v>
      </c>
      <c r="E416" s="2" t="s">
        <v>1618</v>
      </c>
      <c r="F416" s="2">
        <v>1</v>
      </c>
      <c r="G416" s="2">
        <v>1</v>
      </c>
      <c r="H416" s="2">
        <v>30.6</v>
      </c>
      <c r="I416" s="2">
        <v>7.62</v>
      </c>
      <c r="J416" s="2" t="s">
        <v>709</v>
      </c>
      <c r="K416" s="2" t="s">
        <v>1619</v>
      </c>
      <c r="L416" s="2" t="s">
        <v>218</v>
      </c>
      <c r="M416" s="2" t="s">
        <v>83</v>
      </c>
      <c r="N416" s="2" t="s">
        <v>1620</v>
      </c>
      <c r="O416" s="2" t="s">
        <v>83</v>
      </c>
      <c r="P416" s="2" t="s">
        <v>83</v>
      </c>
      <c r="Q416" s="2" t="s">
        <v>83</v>
      </c>
      <c r="R416" s="2" t="s">
        <v>83</v>
      </c>
      <c r="S416" s="2" t="s">
        <v>83</v>
      </c>
      <c r="T416" s="2" t="s">
        <v>83</v>
      </c>
      <c r="U416" s="2" t="s">
        <v>83</v>
      </c>
      <c r="V416" s="2" t="s">
        <v>83</v>
      </c>
      <c r="W416" s="2" t="s">
        <v>83</v>
      </c>
      <c r="X416" s="2" t="s">
        <v>83</v>
      </c>
      <c r="Y416" s="2" t="s">
        <v>83</v>
      </c>
      <c r="Z416" s="2" t="s">
        <v>83</v>
      </c>
      <c r="AA416" s="2" t="s">
        <v>83</v>
      </c>
      <c r="AB416" s="2" t="s">
        <v>83</v>
      </c>
      <c r="AC416" s="2" t="s">
        <v>83</v>
      </c>
      <c r="AD416" s="2" t="s">
        <v>83</v>
      </c>
      <c r="AE416" s="2" t="s">
        <v>83</v>
      </c>
      <c r="AF416" s="2" t="s">
        <v>83</v>
      </c>
      <c r="AG416" s="2" t="s">
        <v>83</v>
      </c>
      <c r="AH416" s="2" t="s">
        <v>83</v>
      </c>
      <c r="AI416" s="2" t="s">
        <v>83</v>
      </c>
      <c r="AJ416" s="2" t="s">
        <v>83</v>
      </c>
      <c r="AK416" s="2" t="s">
        <v>83</v>
      </c>
      <c r="AL416" s="2" t="s">
        <v>83</v>
      </c>
      <c r="AM416" s="2" t="s">
        <v>83</v>
      </c>
      <c r="AN416" s="2" t="s">
        <v>83</v>
      </c>
      <c r="AO416" s="2" t="s">
        <v>83</v>
      </c>
      <c r="AP416" s="2" t="s">
        <v>83</v>
      </c>
      <c r="AQ416" s="2" t="s">
        <v>83</v>
      </c>
      <c r="AR416" s="2" t="s">
        <v>83</v>
      </c>
      <c r="AS416" s="2" t="s">
        <v>83</v>
      </c>
      <c r="AT416" s="2" t="s">
        <v>83</v>
      </c>
      <c r="AU416" s="2" t="s">
        <v>83</v>
      </c>
      <c r="AV416" s="2" t="s">
        <v>83</v>
      </c>
      <c r="AW416" s="2" t="s">
        <v>83</v>
      </c>
      <c r="AX416" s="2" t="s">
        <v>83</v>
      </c>
      <c r="AY416" s="2" t="s">
        <v>83</v>
      </c>
      <c r="AZ416" s="2" t="s">
        <v>83</v>
      </c>
      <c r="BA416" s="2" t="s">
        <v>83</v>
      </c>
      <c r="BB416" s="2" t="s">
        <v>83</v>
      </c>
      <c r="BC416" s="2" t="s">
        <v>98</v>
      </c>
      <c r="BD416" s="2" t="s">
        <v>79</v>
      </c>
      <c r="BE416" s="2" t="s">
        <v>98</v>
      </c>
      <c r="BF416" s="2" t="s">
        <v>98</v>
      </c>
      <c r="BG416" s="2" t="s">
        <v>98</v>
      </c>
      <c r="BH416" s="2" t="s">
        <v>98</v>
      </c>
      <c r="BI416" s="2" t="s">
        <v>98</v>
      </c>
      <c r="BJ416" s="2" t="s">
        <v>98</v>
      </c>
      <c r="BK416" s="2" t="s">
        <v>98</v>
      </c>
      <c r="BL416" s="2" t="s">
        <v>98</v>
      </c>
      <c r="BM416" s="2" t="s">
        <v>98</v>
      </c>
      <c r="BN416" s="2" t="s">
        <v>98</v>
      </c>
      <c r="BO416" s="2" t="s">
        <v>98</v>
      </c>
      <c r="BP416" s="2" t="s">
        <v>98</v>
      </c>
      <c r="BQ416" s="2" t="s">
        <v>98</v>
      </c>
      <c r="BR416" s="2" t="s">
        <v>98</v>
      </c>
      <c r="BS416" s="2" t="s">
        <v>98</v>
      </c>
      <c r="BT416" s="2" t="s">
        <v>98</v>
      </c>
      <c r="BU416" s="2" t="s">
        <v>98</v>
      </c>
      <c r="BV416" s="2" t="s">
        <v>98</v>
      </c>
      <c r="BW416" s="2" t="s">
        <v>98</v>
      </c>
      <c r="BX416" s="2" t="s">
        <v>98</v>
      </c>
      <c r="BY416" s="2" t="s">
        <v>98</v>
      </c>
      <c r="BZ416" s="2" t="s">
        <v>98</v>
      </c>
      <c r="CA416" s="2" t="s">
        <v>98</v>
      </c>
      <c r="CB416" t="e">
        <f>TTEST(AS416:AW416,AI416:AM416,2,2)</f>
        <v>#DIV/0!</v>
      </c>
      <c r="CC416" t="e">
        <f>TTEST(AD416:AH416,AI416:AM416,2,2)</f>
        <v>#DIV/0!</v>
      </c>
      <c r="CD416" t="e">
        <f>TTEST(AN416:AR416,AI416:AM416,2,2)</f>
        <v>#DIV/0!</v>
      </c>
      <c r="CE416" t="e">
        <f>TTEST(AX416:BB416,AI416:AM416,2,2)</f>
        <v>#DIV/0!</v>
      </c>
      <c r="CF416">
        <v>392</v>
      </c>
      <c r="CG416">
        <v>406</v>
      </c>
      <c r="CH416">
        <v>410</v>
      </c>
      <c r="CI416">
        <v>413</v>
      </c>
      <c r="CJ416">
        <f>0.05*CF416/464</f>
        <v>4.2241379310344829E-2</v>
      </c>
      <c r="CK416">
        <f>0.05*CG416/464</f>
        <v>4.3750000000000004E-2</v>
      </c>
      <c r="CL416">
        <f>0.05*CH416/464</f>
        <v>4.4181034482758619E-2</v>
      </c>
      <c r="CM416">
        <f>0.05*CI416/464</f>
        <v>4.4504310344827588E-2</v>
      </c>
      <c r="CN416" t="e">
        <f>IF(CB416&lt;CJ416,"yes","no")</f>
        <v>#DIV/0!</v>
      </c>
      <c r="CO416" t="e">
        <f>IF(CC416&lt;CK416,"yes","no")</f>
        <v>#DIV/0!</v>
      </c>
      <c r="CP416" t="e">
        <f>IF(CD416&lt;CL416,"yes","no")</f>
        <v>#DIV/0!</v>
      </c>
      <c r="CQ416" t="e">
        <f>IF(CE416&lt;CM416,"yes","no")</f>
        <v>#DIV/0!</v>
      </c>
      <c r="CR416" t="e">
        <f>TTEST(AS416:AW416,AD416:AH416,2,2)</f>
        <v>#DIV/0!</v>
      </c>
      <c r="CS416" t="e">
        <f>TTEST(AS416:AW416,AN416:AR416,2,2)</f>
        <v>#DIV/0!</v>
      </c>
      <c r="CT416" t="e">
        <f>TTEST(AS416:AW416,AX416:BB416,2,2)</f>
        <v>#DIV/0!</v>
      </c>
      <c r="CU416">
        <v>410</v>
      </c>
      <c r="CV416">
        <v>413</v>
      </c>
      <c r="CW416">
        <v>415</v>
      </c>
      <c r="CX416">
        <f t="shared" si="18"/>
        <v>4.4181034482758619E-2</v>
      </c>
      <c r="CY416">
        <f t="shared" si="19"/>
        <v>4.4504310344827588E-2</v>
      </c>
      <c r="CZ416">
        <f t="shared" si="20"/>
        <v>4.4719827586206899E-2</v>
      </c>
      <c r="DA416" t="e">
        <f>IF(CR416&lt;CX416,"yes","no")</f>
        <v>#DIV/0!</v>
      </c>
      <c r="DB416" t="e">
        <f>IF(CS416&lt;CY416,"yes","no")</f>
        <v>#DIV/0!</v>
      </c>
      <c r="DC416" t="e">
        <f>IF(CT416&lt;CZ416,"yes","no")</f>
        <v>#DIV/0!</v>
      </c>
    </row>
    <row r="417" spans="1:107" x14ac:dyDescent="0.2">
      <c r="A417" s="2" t="b">
        <v>0</v>
      </c>
      <c r="B417" s="2" t="s">
        <v>79</v>
      </c>
      <c r="C417" s="2" t="s">
        <v>80</v>
      </c>
      <c r="D417" s="2" t="s">
        <v>1621</v>
      </c>
      <c r="E417" s="2" t="s">
        <v>1622</v>
      </c>
      <c r="F417" s="2">
        <v>1</v>
      </c>
      <c r="G417" s="2">
        <v>1</v>
      </c>
      <c r="H417" s="2">
        <v>22</v>
      </c>
      <c r="I417" s="2">
        <v>7.25</v>
      </c>
      <c r="J417" s="2" t="s">
        <v>918</v>
      </c>
      <c r="K417" s="2" t="s">
        <v>1216</v>
      </c>
      <c r="L417" s="2" t="s">
        <v>115</v>
      </c>
      <c r="M417" s="2" t="s">
        <v>83</v>
      </c>
      <c r="N417" s="2" t="s">
        <v>83</v>
      </c>
      <c r="O417" s="2" t="s">
        <v>83</v>
      </c>
      <c r="P417" s="2" t="s">
        <v>83</v>
      </c>
      <c r="Q417" s="2" t="s">
        <v>83</v>
      </c>
      <c r="R417" s="2" t="s">
        <v>83</v>
      </c>
      <c r="S417" s="2" t="s">
        <v>83</v>
      </c>
      <c r="T417" s="2" t="s">
        <v>83</v>
      </c>
      <c r="U417" s="2" t="s">
        <v>83</v>
      </c>
      <c r="V417" s="2" t="s">
        <v>83</v>
      </c>
      <c r="W417" s="2" t="s">
        <v>83</v>
      </c>
      <c r="X417" s="2" t="s">
        <v>83</v>
      </c>
      <c r="Y417" s="2" t="s">
        <v>83</v>
      </c>
      <c r="Z417" s="2" t="s">
        <v>83</v>
      </c>
      <c r="AA417" s="2" t="s">
        <v>83</v>
      </c>
      <c r="AB417" s="2" t="s">
        <v>83</v>
      </c>
      <c r="AC417" s="2" t="s">
        <v>83</v>
      </c>
      <c r="AD417" s="2" t="s">
        <v>83</v>
      </c>
      <c r="AE417" s="2" t="s">
        <v>83</v>
      </c>
      <c r="AF417" s="2" t="s">
        <v>83</v>
      </c>
      <c r="AG417" s="2" t="s">
        <v>83</v>
      </c>
      <c r="AH417" s="2" t="s">
        <v>83</v>
      </c>
      <c r="AI417" s="2" t="s">
        <v>83</v>
      </c>
      <c r="AJ417" s="2" t="s">
        <v>83</v>
      </c>
      <c r="AK417" s="2" t="s">
        <v>83</v>
      </c>
      <c r="AL417" s="2" t="s">
        <v>83</v>
      </c>
      <c r="AM417" s="2" t="s">
        <v>83</v>
      </c>
      <c r="AN417" s="2" t="s">
        <v>83</v>
      </c>
      <c r="AO417" s="2" t="s">
        <v>83</v>
      </c>
      <c r="AP417" s="2" t="s">
        <v>83</v>
      </c>
      <c r="AQ417" s="2" t="s">
        <v>83</v>
      </c>
      <c r="AR417" s="2" t="s">
        <v>83</v>
      </c>
      <c r="AS417" s="2" t="s">
        <v>83</v>
      </c>
      <c r="AT417" s="2" t="s">
        <v>83</v>
      </c>
      <c r="AU417" s="2" t="s">
        <v>83</v>
      </c>
      <c r="AV417" s="2" t="s">
        <v>83</v>
      </c>
      <c r="AW417" s="2" t="s">
        <v>83</v>
      </c>
      <c r="AX417" s="2" t="s">
        <v>83</v>
      </c>
      <c r="AY417" s="2" t="s">
        <v>83</v>
      </c>
      <c r="AZ417" s="2" t="s">
        <v>83</v>
      </c>
      <c r="BA417" s="2" t="s">
        <v>83</v>
      </c>
      <c r="BB417" s="2" t="s">
        <v>83</v>
      </c>
      <c r="BC417" s="2" t="s">
        <v>98</v>
      </c>
      <c r="BD417" s="2" t="s">
        <v>98</v>
      </c>
      <c r="BE417" s="2" t="s">
        <v>98</v>
      </c>
      <c r="BF417" s="2" t="s">
        <v>79</v>
      </c>
      <c r="BG417" s="2" t="s">
        <v>79</v>
      </c>
      <c r="BH417" s="2" t="s">
        <v>98</v>
      </c>
      <c r="BI417" s="2" t="s">
        <v>98</v>
      </c>
      <c r="BJ417" s="2" t="s">
        <v>98</v>
      </c>
      <c r="BK417" s="2" t="s">
        <v>98</v>
      </c>
      <c r="BL417" s="2" t="s">
        <v>98</v>
      </c>
      <c r="BM417" s="2" t="s">
        <v>98</v>
      </c>
      <c r="BN417" s="2" t="s">
        <v>98</v>
      </c>
      <c r="BO417" s="2" t="s">
        <v>98</v>
      </c>
      <c r="BP417" s="2" t="s">
        <v>98</v>
      </c>
      <c r="BQ417" s="2" t="s">
        <v>98</v>
      </c>
      <c r="BR417" s="2" t="s">
        <v>98</v>
      </c>
      <c r="BS417" s="2" t="s">
        <v>98</v>
      </c>
      <c r="BT417" s="2" t="s">
        <v>98</v>
      </c>
      <c r="BU417" s="2" t="s">
        <v>98</v>
      </c>
      <c r="BV417" s="2" t="s">
        <v>98</v>
      </c>
      <c r="BW417" s="2" t="s">
        <v>98</v>
      </c>
      <c r="BX417" s="2" t="s">
        <v>98</v>
      </c>
      <c r="BY417" s="2" t="s">
        <v>98</v>
      </c>
      <c r="BZ417" s="2" t="s">
        <v>98</v>
      </c>
      <c r="CA417" s="2" t="s">
        <v>98</v>
      </c>
      <c r="CB417" t="e">
        <f>TTEST(AS417:AW417,AI417:AM417,2,2)</f>
        <v>#DIV/0!</v>
      </c>
      <c r="CC417" t="e">
        <f>TTEST(AD417:AH417,AI417:AM417,2,2)</f>
        <v>#DIV/0!</v>
      </c>
      <c r="CD417" t="e">
        <f>TTEST(AN417:AR417,AI417:AM417,2,2)</f>
        <v>#DIV/0!</v>
      </c>
      <c r="CE417" t="e">
        <f>TTEST(AX417:BB417,AI417:AM417,2,2)</f>
        <v>#DIV/0!</v>
      </c>
      <c r="CF417">
        <v>393</v>
      </c>
      <c r="CG417">
        <v>407</v>
      </c>
      <c r="CH417">
        <v>411</v>
      </c>
      <c r="CI417">
        <v>414</v>
      </c>
      <c r="CJ417">
        <f>0.05*CF417/464</f>
        <v>4.2349137931034488E-2</v>
      </c>
      <c r="CK417">
        <f>0.05*CG417/464</f>
        <v>4.3857758620689656E-2</v>
      </c>
      <c r="CL417">
        <f>0.05*CH417/464</f>
        <v>4.4288793103448278E-2</v>
      </c>
      <c r="CM417">
        <f>0.05*CI417/464</f>
        <v>4.4612068965517247E-2</v>
      </c>
      <c r="CN417" t="e">
        <f>IF(CB417&lt;CJ417,"yes","no")</f>
        <v>#DIV/0!</v>
      </c>
      <c r="CO417" t="e">
        <f>IF(CC417&lt;CK417,"yes","no")</f>
        <v>#DIV/0!</v>
      </c>
      <c r="CP417" t="e">
        <f>IF(CD417&lt;CL417,"yes","no")</f>
        <v>#DIV/0!</v>
      </c>
      <c r="CQ417" t="e">
        <f>IF(CE417&lt;CM417,"yes","no")</f>
        <v>#DIV/0!</v>
      </c>
      <c r="CR417" t="e">
        <f>TTEST(AS417:AW417,AD417:AH417,2,2)</f>
        <v>#DIV/0!</v>
      </c>
      <c r="CS417" t="e">
        <f>TTEST(AS417:AW417,AN417:AR417,2,2)</f>
        <v>#DIV/0!</v>
      </c>
      <c r="CT417" t="e">
        <f>TTEST(AS417:AW417,AX417:BB417,2,2)</f>
        <v>#DIV/0!</v>
      </c>
      <c r="CU417">
        <v>411</v>
      </c>
      <c r="CV417">
        <v>414</v>
      </c>
      <c r="CW417">
        <v>416</v>
      </c>
      <c r="CX417">
        <f t="shared" si="18"/>
        <v>4.4288793103448278E-2</v>
      </c>
      <c r="CY417">
        <f t="shared" si="19"/>
        <v>4.4612068965517247E-2</v>
      </c>
      <c r="CZ417">
        <f t="shared" si="20"/>
        <v>4.4827586206896551E-2</v>
      </c>
      <c r="DA417" t="e">
        <f>IF(CR417&lt;CX417,"yes","no")</f>
        <v>#DIV/0!</v>
      </c>
      <c r="DB417" t="e">
        <f>IF(CS417&lt;CY417,"yes","no")</f>
        <v>#DIV/0!</v>
      </c>
      <c r="DC417" t="e">
        <f>IF(CT417&lt;CZ417,"yes","no")</f>
        <v>#DIV/0!</v>
      </c>
    </row>
    <row r="418" spans="1:107" x14ac:dyDescent="0.2">
      <c r="A418" s="2" t="b">
        <v>0</v>
      </c>
      <c r="B418" s="2" t="s">
        <v>79</v>
      </c>
      <c r="C418" s="2" t="s">
        <v>80</v>
      </c>
      <c r="D418" s="2" t="s">
        <v>1627</v>
      </c>
      <c r="E418" s="2" t="s">
        <v>1628</v>
      </c>
      <c r="F418" s="2">
        <v>1</v>
      </c>
      <c r="G418" s="2">
        <v>1</v>
      </c>
      <c r="H418" s="2">
        <v>55</v>
      </c>
      <c r="I418" s="2">
        <v>8.8699999999999992</v>
      </c>
      <c r="J418" s="2" t="s">
        <v>1629</v>
      </c>
      <c r="K418" s="2" t="s">
        <v>607</v>
      </c>
      <c r="L418" s="2" t="s">
        <v>115</v>
      </c>
      <c r="M418" s="2" t="s">
        <v>1630</v>
      </c>
      <c r="N418" s="2" t="s">
        <v>1627</v>
      </c>
      <c r="O418" s="2" t="s">
        <v>83</v>
      </c>
      <c r="P418" s="2" t="s">
        <v>83</v>
      </c>
      <c r="Q418" s="2" t="s">
        <v>83</v>
      </c>
      <c r="R418" s="2" t="s">
        <v>83</v>
      </c>
      <c r="S418" s="2" t="s">
        <v>83</v>
      </c>
      <c r="T418" s="2" t="s">
        <v>83</v>
      </c>
      <c r="U418" s="2" t="s">
        <v>83</v>
      </c>
      <c r="V418" s="2" t="s">
        <v>83</v>
      </c>
      <c r="W418" s="2" t="s">
        <v>83</v>
      </c>
      <c r="X418" s="2" t="s">
        <v>83</v>
      </c>
      <c r="Y418" s="2" t="s">
        <v>83</v>
      </c>
      <c r="Z418" s="2" t="s">
        <v>83</v>
      </c>
      <c r="AA418" s="2" t="s">
        <v>83</v>
      </c>
      <c r="AB418" s="2" t="s">
        <v>83</v>
      </c>
      <c r="AC418" s="2" t="s">
        <v>83</v>
      </c>
      <c r="AD418" s="2" t="s">
        <v>83</v>
      </c>
      <c r="AE418" s="2" t="s">
        <v>83</v>
      </c>
      <c r="AF418" s="2" t="s">
        <v>83</v>
      </c>
      <c r="AG418" s="2" t="s">
        <v>83</v>
      </c>
      <c r="AH418" s="2" t="s">
        <v>83</v>
      </c>
      <c r="AI418" s="2" t="s">
        <v>83</v>
      </c>
      <c r="AJ418" s="2" t="s">
        <v>83</v>
      </c>
      <c r="AK418" s="2" t="s">
        <v>83</v>
      </c>
      <c r="AL418" s="2" t="s">
        <v>83</v>
      </c>
      <c r="AM418" s="2" t="s">
        <v>83</v>
      </c>
      <c r="AN418" s="2" t="s">
        <v>83</v>
      </c>
      <c r="AO418" s="2" t="s">
        <v>83</v>
      </c>
      <c r="AP418" s="2" t="s">
        <v>83</v>
      </c>
      <c r="AQ418" s="2" t="s">
        <v>83</v>
      </c>
      <c r="AR418" s="2" t="s">
        <v>83</v>
      </c>
      <c r="AS418" s="2" t="s">
        <v>83</v>
      </c>
      <c r="AT418" s="2" t="s">
        <v>83</v>
      </c>
      <c r="AU418" s="2" t="s">
        <v>83</v>
      </c>
      <c r="AV418" s="2" t="s">
        <v>83</v>
      </c>
      <c r="AW418" s="2" t="s">
        <v>83</v>
      </c>
      <c r="AX418" s="2" t="s">
        <v>83</v>
      </c>
      <c r="AY418" s="2" t="s">
        <v>83</v>
      </c>
      <c r="AZ418" s="2" t="s">
        <v>83</v>
      </c>
      <c r="BA418" s="2" t="s">
        <v>83</v>
      </c>
      <c r="BB418" s="2" t="s">
        <v>83</v>
      </c>
      <c r="BC418" s="2" t="s">
        <v>98</v>
      </c>
      <c r="BD418" s="2" t="s">
        <v>98</v>
      </c>
      <c r="BE418" s="2" t="s">
        <v>98</v>
      </c>
      <c r="BF418" s="2" t="s">
        <v>98</v>
      </c>
      <c r="BG418" s="2" t="s">
        <v>98</v>
      </c>
      <c r="BH418" s="2" t="s">
        <v>98</v>
      </c>
      <c r="BI418" s="2" t="s">
        <v>98</v>
      </c>
      <c r="BJ418" s="2" t="s">
        <v>98</v>
      </c>
      <c r="BK418" s="2" t="s">
        <v>98</v>
      </c>
      <c r="BL418" s="2" t="s">
        <v>98</v>
      </c>
      <c r="BM418" s="2" t="s">
        <v>98</v>
      </c>
      <c r="BN418" s="2" t="s">
        <v>98</v>
      </c>
      <c r="BO418" s="2" t="s">
        <v>98</v>
      </c>
      <c r="BP418" s="2" t="s">
        <v>98</v>
      </c>
      <c r="BQ418" s="2" t="s">
        <v>98</v>
      </c>
      <c r="BR418" s="2" t="s">
        <v>98</v>
      </c>
      <c r="BS418" s="2" t="s">
        <v>98</v>
      </c>
      <c r="BT418" s="2" t="s">
        <v>79</v>
      </c>
      <c r="BU418" s="2" t="s">
        <v>98</v>
      </c>
      <c r="BV418" s="2" t="s">
        <v>98</v>
      </c>
      <c r="BW418" s="2" t="s">
        <v>98</v>
      </c>
      <c r="BX418" s="2" t="s">
        <v>98</v>
      </c>
      <c r="BY418" s="2" t="s">
        <v>98</v>
      </c>
      <c r="BZ418" s="2" t="s">
        <v>98</v>
      </c>
      <c r="CA418" s="2" t="s">
        <v>98</v>
      </c>
      <c r="CB418" t="e">
        <f>TTEST(AS418:AW418,AI418:AM418,2,2)</f>
        <v>#DIV/0!</v>
      </c>
      <c r="CC418" t="e">
        <f>TTEST(AD418:AH418,AI418:AM418,2,2)</f>
        <v>#DIV/0!</v>
      </c>
      <c r="CD418" t="e">
        <f>TTEST(AN418:AR418,AI418:AM418,2,2)</f>
        <v>#DIV/0!</v>
      </c>
      <c r="CE418" t="e">
        <f>TTEST(AX418:BB418,AI418:AM418,2,2)</f>
        <v>#DIV/0!</v>
      </c>
      <c r="CF418">
        <v>394</v>
      </c>
      <c r="CG418">
        <v>408</v>
      </c>
      <c r="CH418">
        <v>412</v>
      </c>
      <c r="CI418">
        <v>415</v>
      </c>
      <c r="CJ418">
        <f>0.05*CF418/464</f>
        <v>4.2456896551724146E-2</v>
      </c>
      <c r="CK418">
        <f>0.05*CG418/464</f>
        <v>4.3965517241379315E-2</v>
      </c>
      <c r="CL418">
        <f>0.05*CH418/464</f>
        <v>4.4396551724137936E-2</v>
      </c>
      <c r="CM418">
        <f>0.05*CI418/464</f>
        <v>4.4719827586206899E-2</v>
      </c>
      <c r="CN418" t="e">
        <f>IF(CB418&lt;CJ418,"yes","no")</f>
        <v>#DIV/0!</v>
      </c>
      <c r="CO418" t="e">
        <f>IF(CC418&lt;CK418,"yes","no")</f>
        <v>#DIV/0!</v>
      </c>
      <c r="CP418" t="e">
        <f>IF(CD418&lt;CL418,"yes","no")</f>
        <v>#DIV/0!</v>
      </c>
      <c r="CQ418" t="e">
        <f>IF(CE418&lt;CM418,"yes","no")</f>
        <v>#DIV/0!</v>
      </c>
      <c r="CR418" t="e">
        <f>TTEST(AS418:AW418,AD418:AH418,2,2)</f>
        <v>#DIV/0!</v>
      </c>
      <c r="CS418" t="e">
        <f>TTEST(AS418:AW418,AN418:AR418,2,2)</f>
        <v>#DIV/0!</v>
      </c>
      <c r="CT418" t="e">
        <f>TTEST(AS418:AW418,AX418:BB418,2,2)</f>
        <v>#DIV/0!</v>
      </c>
      <c r="CU418">
        <v>412</v>
      </c>
      <c r="CV418">
        <v>415</v>
      </c>
      <c r="CW418">
        <v>417</v>
      </c>
      <c r="CX418">
        <f t="shared" si="18"/>
        <v>4.4396551724137936E-2</v>
      </c>
      <c r="CY418">
        <f t="shared" si="19"/>
        <v>4.4719827586206899E-2</v>
      </c>
      <c r="CZ418">
        <f t="shared" si="20"/>
        <v>4.493534482758621E-2</v>
      </c>
      <c r="DA418" t="e">
        <f>IF(CR418&lt;CX418,"yes","no")</f>
        <v>#DIV/0!</v>
      </c>
      <c r="DB418" t="e">
        <f>IF(CS418&lt;CY418,"yes","no")</f>
        <v>#DIV/0!</v>
      </c>
      <c r="DC418" t="e">
        <f>IF(CT418&lt;CZ418,"yes","no")</f>
        <v>#DIV/0!</v>
      </c>
    </row>
    <row r="419" spans="1:107" x14ac:dyDescent="0.2">
      <c r="A419" s="2" t="b">
        <v>0</v>
      </c>
      <c r="B419" s="2" t="s">
        <v>79</v>
      </c>
      <c r="C419" s="2" t="s">
        <v>80</v>
      </c>
      <c r="D419" s="2" t="s">
        <v>1641</v>
      </c>
      <c r="E419" s="2" t="s">
        <v>1642</v>
      </c>
      <c r="F419" s="2">
        <v>1</v>
      </c>
      <c r="G419" s="2">
        <v>1</v>
      </c>
      <c r="H419" s="2">
        <v>334</v>
      </c>
      <c r="I419" s="2">
        <v>6.8</v>
      </c>
      <c r="J419" s="2" t="s">
        <v>481</v>
      </c>
      <c r="K419" s="2" t="s">
        <v>607</v>
      </c>
      <c r="L419" s="2" t="s">
        <v>115</v>
      </c>
      <c r="M419" s="2" t="s">
        <v>1643</v>
      </c>
      <c r="N419" s="2" t="s">
        <v>1641</v>
      </c>
      <c r="O419" s="2" t="s">
        <v>83</v>
      </c>
      <c r="P419" s="2" t="s">
        <v>83</v>
      </c>
      <c r="Q419" s="2" t="s">
        <v>83</v>
      </c>
      <c r="R419" s="2" t="s">
        <v>83</v>
      </c>
      <c r="S419" s="2" t="s">
        <v>83</v>
      </c>
      <c r="T419" s="2" t="s">
        <v>83</v>
      </c>
      <c r="U419" s="2" t="s">
        <v>83</v>
      </c>
      <c r="V419" s="2" t="s">
        <v>83</v>
      </c>
      <c r="W419" s="2" t="s">
        <v>83</v>
      </c>
      <c r="X419" s="2" t="s">
        <v>83</v>
      </c>
      <c r="Y419" s="2" t="s">
        <v>83</v>
      </c>
      <c r="Z419" s="2" t="s">
        <v>83</v>
      </c>
      <c r="AA419" s="2" t="s">
        <v>83</v>
      </c>
      <c r="AB419" s="2" t="s">
        <v>83</v>
      </c>
      <c r="AC419" s="2" t="s">
        <v>83</v>
      </c>
      <c r="AD419" s="2" t="s">
        <v>83</v>
      </c>
      <c r="AE419" s="2" t="s">
        <v>83</v>
      </c>
      <c r="AF419" s="2" t="s">
        <v>83</v>
      </c>
      <c r="AG419" s="2" t="s">
        <v>83</v>
      </c>
      <c r="AH419" s="2" t="s">
        <v>83</v>
      </c>
      <c r="AI419" s="2" t="s">
        <v>83</v>
      </c>
      <c r="AJ419" s="2" t="s">
        <v>83</v>
      </c>
      <c r="AK419" s="2" t="s">
        <v>83</v>
      </c>
      <c r="AL419" s="2" t="s">
        <v>83</v>
      </c>
      <c r="AM419" s="2" t="s">
        <v>83</v>
      </c>
      <c r="AN419" s="2" t="s">
        <v>83</v>
      </c>
      <c r="AO419" s="2" t="s">
        <v>83</v>
      </c>
      <c r="AP419" s="2" t="s">
        <v>83</v>
      </c>
      <c r="AQ419" s="2" t="s">
        <v>83</v>
      </c>
      <c r="AR419" s="2" t="s">
        <v>83</v>
      </c>
      <c r="AS419" s="2" t="s">
        <v>83</v>
      </c>
      <c r="AT419" s="2" t="s">
        <v>83</v>
      </c>
      <c r="AU419" s="2" t="s">
        <v>83</v>
      </c>
      <c r="AV419" s="2" t="s">
        <v>83</v>
      </c>
      <c r="AW419" s="2" t="s">
        <v>83</v>
      </c>
      <c r="AX419" s="2" t="s">
        <v>83</v>
      </c>
      <c r="AY419" s="2" t="s">
        <v>83</v>
      </c>
      <c r="AZ419" s="2" t="s">
        <v>83</v>
      </c>
      <c r="BA419" s="2" t="s">
        <v>83</v>
      </c>
      <c r="BB419" s="2" t="s">
        <v>83</v>
      </c>
      <c r="BC419" s="2" t="s">
        <v>98</v>
      </c>
      <c r="BD419" s="2" t="s">
        <v>98</v>
      </c>
      <c r="BE419" s="2" t="s">
        <v>98</v>
      </c>
      <c r="BF419" s="2" t="s">
        <v>98</v>
      </c>
      <c r="BG419" s="2" t="s">
        <v>98</v>
      </c>
      <c r="BH419" s="2" t="s">
        <v>98</v>
      </c>
      <c r="BI419" s="2" t="s">
        <v>98</v>
      </c>
      <c r="BJ419" s="2" t="s">
        <v>98</v>
      </c>
      <c r="BK419" s="2" t="s">
        <v>98</v>
      </c>
      <c r="BL419" s="2" t="s">
        <v>98</v>
      </c>
      <c r="BM419" s="2" t="s">
        <v>98</v>
      </c>
      <c r="BN419" s="2" t="s">
        <v>98</v>
      </c>
      <c r="BO419" s="2" t="s">
        <v>98</v>
      </c>
      <c r="BP419" s="2" t="s">
        <v>98</v>
      </c>
      <c r="BQ419" s="2" t="s">
        <v>98</v>
      </c>
      <c r="BR419" s="2" t="s">
        <v>98</v>
      </c>
      <c r="BS419" s="2" t="s">
        <v>98</v>
      </c>
      <c r="BT419" s="2" t="s">
        <v>98</v>
      </c>
      <c r="BU419" s="2" t="s">
        <v>98</v>
      </c>
      <c r="BV419" s="2" t="s">
        <v>98</v>
      </c>
      <c r="BW419" s="2" t="s">
        <v>79</v>
      </c>
      <c r="BX419" s="2" t="s">
        <v>79</v>
      </c>
      <c r="BY419" s="2" t="s">
        <v>79</v>
      </c>
      <c r="BZ419" s="2" t="s">
        <v>98</v>
      </c>
      <c r="CA419" s="2" t="s">
        <v>79</v>
      </c>
      <c r="CB419" t="e">
        <f>TTEST(AS419:AW419,AI419:AM419,2,2)</f>
        <v>#DIV/0!</v>
      </c>
      <c r="CC419" t="e">
        <f>TTEST(AD419:AH419,AI419:AM419,2,2)</f>
        <v>#DIV/0!</v>
      </c>
      <c r="CD419" t="e">
        <f>TTEST(AN419:AR419,AI419:AM419,2,2)</f>
        <v>#DIV/0!</v>
      </c>
      <c r="CE419" t="e">
        <f>TTEST(AX419:BB419,AI419:AM419,2,2)</f>
        <v>#DIV/0!</v>
      </c>
      <c r="CF419">
        <v>395</v>
      </c>
      <c r="CG419">
        <v>409</v>
      </c>
      <c r="CH419">
        <v>413</v>
      </c>
      <c r="CI419">
        <v>416</v>
      </c>
      <c r="CJ419">
        <f>0.05*CF419/464</f>
        <v>4.2564655172413791E-2</v>
      </c>
      <c r="CK419">
        <f>0.05*CG419/464</f>
        <v>4.4073275862068974E-2</v>
      </c>
      <c r="CL419">
        <f>0.05*CH419/464</f>
        <v>4.4504310344827588E-2</v>
      </c>
      <c r="CM419">
        <f>0.05*CI419/464</f>
        <v>4.4827586206896551E-2</v>
      </c>
      <c r="CN419" t="e">
        <f>IF(CB419&lt;CJ419,"yes","no")</f>
        <v>#DIV/0!</v>
      </c>
      <c r="CO419" t="e">
        <f>IF(CC419&lt;CK419,"yes","no")</f>
        <v>#DIV/0!</v>
      </c>
      <c r="CP419" t="e">
        <f>IF(CD419&lt;CL419,"yes","no")</f>
        <v>#DIV/0!</v>
      </c>
      <c r="CQ419" t="e">
        <f>IF(CE419&lt;CM419,"yes","no")</f>
        <v>#DIV/0!</v>
      </c>
      <c r="CR419" t="e">
        <f>TTEST(AS419:AW419,AD419:AH419,2,2)</f>
        <v>#DIV/0!</v>
      </c>
      <c r="CS419" t="e">
        <f>TTEST(AS419:AW419,AN419:AR419,2,2)</f>
        <v>#DIV/0!</v>
      </c>
      <c r="CT419" t="e">
        <f>TTEST(AS419:AW419,AX419:BB419,2,2)</f>
        <v>#DIV/0!</v>
      </c>
      <c r="CU419">
        <v>413</v>
      </c>
      <c r="CV419">
        <v>416</v>
      </c>
      <c r="CW419">
        <v>418</v>
      </c>
      <c r="CX419">
        <f t="shared" si="18"/>
        <v>4.4504310344827588E-2</v>
      </c>
      <c r="CY419">
        <f t="shared" si="19"/>
        <v>4.4827586206896551E-2</v>
      </c>
      <c r="CZ419">
        <f t="shared" si="20"/>
        <v>4.5043103448275869E-2</v>
      </c>
      <c r="DA419" t="e">
        <f>IF(CR419&lt;CX419,"yes","no")</f>
        <v>#DIV/0!</v>
      </c>
      <c r="DB419" t="e">
        <f>IF(CS419&lt;CY419,"yes","no")</f>
        <v>#DIV/0!</v>
      </c>
      <c r="DC419" t="e">
        <f>IF(CT419&lt;CZ419,"yes","no")</f>
        <v>#DIV/0!</v>
      </c>
    </row>
    <row r="420" spans="1:107" x14ac:dyDescent="0.2">
      <c r="A420" s="2" t="b">
        <v>0</v>
      </c>
      <c r="B420" s="2" t="s">
        <v>79</v>
      </c>
      <c r="C420" s="2" t="s">
        <v>80</v>
      </c>
      <c r="D420" s="2" t="s">
        <v>1644</v>
      </c>
      <c r="E420" s="2" t="s">
        <v>1645</v>
      </c>
      <c r="F420" s="2">
        <v>1</v>
      </c>
      <c r="G420" s="2">
        <v>1</v>
      </c>
      <c r="H420" s="2">
        <v>142.1</v>
      </c>
      <c r="I420" s="2">
        <v>6.99</v>
      </c>
      <c r="J420" s="2" t="s">
        <v>83</v>
      </c>
      <c r="K420" s="2" t="s">
        <v>83</v>
      </c>
      <c r="L420" s="2" t="s">
        <v>1646</v>
      </c>
      <c r="M420" s="2" t="s">
        <v>83</v>
      </c>
      <c r="N420" s="2" t="s">
        <v>1644</v>
      </c>
      <c r="O420" s="2" t="s">
        <v>83</v>
      </c>
      <c r="P420" s="2" t="s">
        <v>83</v>
      </c>
      <c r="Q420" s="2" t="s">
        <v>83</v>
      </c>
      <c r="R420" s="2" t="s">
        <v>83</v>
      </c>
      <c r="S420" s="2" t="s">
        <v>83</v>
      </c>
      <c r="T420" s="2" t="s">
        <v>83</v>
      </c>
      <c r="U420" s="2" t="s">
        <v>83</v>
      </c>
      <c r="V420" s="2" t="s">
        <v>83</v>
      </c>
      <c r="W420" s="2" t="s">
        <v>83</v>
      </c>
      <c r="X420" s="2" t="s">
        <v>83</v>
      </c>
      <c r="Y420" s="2" t="s">
        <v>83</v>
      </c>
      <c r="Z420" s="2" t="s">
        <v>83</v>
      </c>
      <c r="AA420" s="2" t="s">
        <v>83</v>
      </c>
      <c r="AB420" s="2" t="s">
        <v>83</v>
      </c>
      <c r="AC420" s="2" t="s">
        <v>83</v>
      </c>
      <c r="AD420" s="2" t="s">
        <v>83</v>
      </c>
      <c r="AE420" s="2" t="s">
        <v>83</v>
      </c>
      <c r="AF420" s="2" t="s">
        <v>83</v>
      </c>
      <c r="AG420" s="2" t="s">
        <v>83</v>
      </c>
      <c r="AH420" s="2" t="s">
        <v>83</v>
      </c>
      <c r="AI420" s="2" t="s">
        <v>83</v>
      </c>
      <c r="AJ420" s="2" t="s">
        <v>83</v>
      </c>
      <c r="AK420" s="2" t="s">
        <v>83</v>
      </c>
      <c r="AL420" s="2" t="s">
        <v>83</v>
      </c>
      <c r="AM420" s="2" t="s">
        <v>83</v>
      </c>
      <c r="AN420" s="2" t="s">
        <v>83</v>
      </c>
      <c r="AO420" s="2" t="s">
        <v>83</v>
      </c>
      <c r="AP420" s="2" t="s">
        <v>83</v>
      </c>
      <c r="AQ420" s="2" t="s">
        <v>83</v>
      </c>
      <c r="AR420" s="2" t="s">
        <v>83</v>
      </c>
      <c r="AS420" s="2" t="s">
        <v>83</v>
      </c>
      <c r="AT420" s="2" t="s">
        <v>83</v>
      </c>
      <c r="AU420" s="2" t="s">
        <v>83</v>
      </c>
      <c r="AV420" s="2" t="s">
        <v>83</v>
      </c>
      <c r="AW420" s="2" t="s">
        <v>83</v>
      </c>
      <c r="AX420" s="2" t="s">
        <v>83</v>
      </c>
      <c r="AY420" s="2" t="s">
        <v>83</v>
      </c>
      <c r="AZ420" s="2" t="s">
        <v>83</v>
      </c>
      <c r="BA420" s="2" t="s">
        <v>83</v>
      </c>
      <c r="BB420" s="2" t="s">
        <v>83</v>
      </c>
      <c r="BC420" s="2" t="s">
        <v>98</v>
      </c>
      <c r="BD420" s="2" t="s">
        <v>98</v>
      </c>
      <c r="BE420" s="2" t="s">
        <v>98</v>
      </c>
      <c r="BF420" s="2" t="s">
        <v>98</v>
      </c>
      <c r="BG420" s="2" t="s">
        <v>79</v>
      </c>
      <c r="BH420" s="2" t="s">
        <v>98</v>
      </c>
      <c r="BI420" s="2" t="s">
        <v>98</v>
      </c>
      <c r="BJ420" s="2" t="s">
        <v>98</v>
      </c>
      <c r="BK420" s="2" t="s">
        <v>98</v>
      </c>
      <c r="BL420" s="2" t="s">
        <v>98</v>
      </c>
      <c r="BM420" s="2" t="s">
        <v>98</v>
      </c>
      <c r="BN420" s="2" t="s">
        <v>98</v>
      </c>
      <c r="BO420" s="2" t="s">
        <v>98</v>
      </c>
      <c r="BP420" s="2" t="s">
        <v>98</v>
      </c>
      <c r="BQ420" s="2" t="s">
        <v>98</v>
      </c>
      <c r="BR420" s="2" t="s">
        <v>98</v>
      </c>
      <c r="BS420" s="2" t="s">
        <v>98</v>
      </c>
      <c r="BT420" s="2" t="s">
        <v>98</v>
      </c>
      <c r="BU420" s="2" t="s">
        <v>98</v>
      </c>
      <c r="BV420" s="2" t="s">
        <v>98</v>
      </c>
      <c r="BW420" s="2" t="s">
        <v>98</v>
      </c>
      <c r="BX420" s="2" t="s">
        <v>98</v>
      </c>
      <c r="BY420" s="2" t="s">
        <v>98</v>
      </c>
      <c r="BZ420" s="2" t="s">
        <v>98</v>
      </c>
      <c r="CA420" s="2" t="s">
        <v>98</v>
      </c>
      <c r="CB420" t="e">
        <f>TTEST(AS420:AW420,AI420:AM420,2,2)</f>
        <v>#DIV/0!</v>
      </c>
      <c r="CC420" t="e">
        <f>TTEST(AD420:AH420,AI420:AM420,2,2)</f>
        <v>#DIV/0!</v>
      </c>
      <c r="CD420" t="e">
        <f>TTEST(AN420:AR420,AI420:AM420,2,2)</f>
        <v>#DIV/0!</v>
      </c>
      <c r="CE420" t="e">
        <f>TTEST(AX420:BB420,AI420:AM420,2,2)</f>
        <v>#DIV/0!</v>
      </c>
      <c r="CF420">
        <v>396</v>
      </c>
      <c r="CG420">
        <v>410</v>
      </c>
      <c r="CH420">
        <v>414</v>
      </c>
      <c r="CI420">
        <v>417</v>
      </c>
      <c r="CJ420">
        <f>0.05*CF420/464</f>
        <v>4.267241379310345E-2</v>
      </c>
      <c r="CK420">
        <f>0.05*CG420/464</f>
        <v>4.4181034482758619E-2</v>
      </c>
      <c r="CL420">
        <f>0.05*CH420/464</f>
        <v>4.4612068965517247E-2</v>
      </c>
      <c r="CM420">
        <f>0.05*CI420/464</f>
        <v>4.493534482758621E-2</v>
      </c>
      <c r="CN420" t="e">
        <f>IF(CB420&lt;CJ420,"yes","no")</f>
        <v>#DIV/0!</v>
      </c>
      <c r="CO420" t="e">
        <f>IF(CC420&lt;CK420,"yes","no")</f>
        <v>#DIV/0!</v>
      </c>
      <c r="CP420" t="e">
        <f>IF(CD420&lt;CL420,"yes","no")</f>
        <v>#DIV/0!</v>
      </c>
      <c r="CQ420" t="e">
        <f>IF(CE420&lt;CM420,"yes","no")</f>
        <v>#DIV/0!</v>
      </c>
      <c r="CR420" t="e">
        <f>TTEST(AS420:AW420,AD420:AH420,2,2)</f>
        <v>#DIV/0!</v>
      </c>
      <c r="CS420" t="e">
        <f>TTEST(AS420:AW420,AN420:AR420,2,2)</f>
        <v>#DIV/0!</v>
      </c>
      <c r="CT420" t="e">
        <f>TTEST(AS420:AW420,AX420:BB420,2,2)</f>
        <v>#DIV/0!</v>
      </c>
      <c r="CU420">
        <v>414</v>
      </c>
      <c r="CV420">
        <v>417</v>
      </c>
      <c r="CW420">
        <v>419</v>
      </c>
      <c r="CX420">
        <f t="shared" si="18"/>
        <v>4.4612068965517247E-2</v>
      </c>
      <c r="CY420">
        <f t="shared" si="19"/>
        <v>4.493534482758621E-2</v>
      </c>
      <c r="CZ420">
        <f t="shared" si="20"/>
        <v>4.5150862068965521E-2</v>
      </c>
      <c r="DA420" t="e">
        <f>IF(CR420&lt;CX420,"yes","no")</f>
        <v>#DIV/0!</v>
      </c>
      <c r="DB420" t="e">
        <f>IF(CS420&lt;CY420,"yes","no")</f>
        <v>#DIV/0!</v>
      </c>
      <c r="DC420" t="e">
        <f>IF(CT420&lt;CZ420,"yes","no")</f>
        <v>#DIV/0!</v>
      </c>
    </row>
    <row r="421" spans="1:107" x14ac:dyDescent="0.2">
      <c r="A421" s="2" t="b">
        <v>0</v>
      </c>
      <c r="B421" s="2" t="s">
        <v>79</v>
      </c>
      <c r="C421" s="2" t="s">
        <v>80</v>
      </c>
      <c r="D421" s="2" t="s">
        <v>1647</v>
      </c>
      <c r="E421" s="2" t="s">
        <v>1648</v>
      </c>
      <c r="F421" s="2">
        <v>1</v>
      </c>
      <c r="G421" s="2">
        <v>1</v>
      </c>
      <c r="H421" s="2">
        <v>12.9</v>
      </c>
      <c r="I421" s="2">
        <v>4.13</v>
      </c>
      <c r="J421" s="2" t="s">
        <v>254</v>
      </c>
      <c r="K421" s="2" t="s">
        <v>84</v>
      </c>
      <c r="L421" s="2" t="s">
        <v>83</v>
      </c>
      <c r="M421" s="2" t="s">
        <v>83</v>
      </c>
      <c r="N421" s="2" t="s">
        <v>1647</v>
      </c>
      <c r="O421" s="2">
        <v>0.01</v>
      </c>
      <c r="P421" s="2">
        <v>0.01</v>
      </c>
      <c r="Q421" s="2">
        <v>0.01</v>
      </c>
      <c r="R421" s="2">
        <v>100</v>
      </c>
      <c r="S421" s="2" t="s">
        <v>83</v>
      </c>
      <c r="T421" s="2" t="s">
        <v>83</v>
      </c>
      <c r="U421" s="2" t="s">
        <v>83</v>
      </c>
      <c r="V421" s="2" t="s">
        <v>83</v>
      </c>
      <c r="W421" s="2" t="s">
        <v>83</v>
      </c>
      <c r="X421" s="2" t="s">
        <v>83</v>
      </c>
      <c r="Y421" s="2">
        <v>500</v>
      </c>
      <c r="Z421" s="2" t="s">
        <v>83</v>
      </c>
      <c r="AA421" s="2" t="s">
        <v>83</v>
      </c>
      <c r="AB421" s="2" t="s">
        <v>83</v>
      </c>
      <c r="AC421" s="2" t="s">
        <v>83</v>
      </c>
      <c r="AD421" s="2" t="s">
        <v>83</v>
      </c>
      <c r="AE421" s="2" t="s">
        <v>83</v>
      </c>
      <c r="AF421" s="2" t="s">
        <v>83</v>
      </c>
      <c r="AG421" s="2">
        <v>34696.01171875</v>
      </c>
      <c r="AH421" s="2">
        <v>62689.484375</v>
      </c>
      <c r="AI421" s="2" t="s">
        <v>83</v>
      </c>
      <c r="AJ421" s="2" t="s">
        <v>83</v>
      </c>
      <c r="AK421" s="2" t="s">
        <v>83</v>
      </c>
      <c r="AL421" s="2" t="s">
        <v>83</v>
      </c>
      <c r="AM421" s="2" t="s">
        <v>83</v>
      </c>
      <c r="AN421" s="2" t="s">
        <v>83</v>
      </c>
      <c r="AO421" s="2" t="s">
        <v>83</v>
      </c>
      <c r="AP421" s="2" t="s">
        <v>83</v>
      </c>
      <c r="AQ421" s="2" t="s">
        <v>83</v>
      </c>
      <c r="AR421" s="2" t="s">
        <v>83</v>
      </c>
      <c r="AS421" s="2" t="s">
        <v>83</v>
      </c>
      <c r="AT421" s="2" t="s">
        <v>83</v>
      </c>
      <c r="AU421" s="2" t="s">
        <v>83</v>
      </c>
      <c r="AV421" s="2" t="s">
        <v>83</v>
      </c>
      <c r="AW421" s="2" t="s">
        <v>83</v>
      </c>
      <c r="AX421" s="2" t="s">
        <v>83</v>
      </c>
      <c r="AY421" s="2" t="s">
        <v>83</v>
      </c>
      <c r="AZ421" s="2" t="s">
        <v>83</v>
      </c>
      <c r="BA421" s="2" t="s">
        <v>83</v>
      </c>
      <c r="BB421" s="2" t="s">
        <v>83</v>
      </c>
      <c r="BC421" s="2" t="s">
        <v>98</v>
      </c>
      <c r="BD421" s="2" t="s">
        <v>98</v>
      </c>
      <c r="BE421" s="2" t="s">
        <v>98</v>
      </c>
      <c r="BF421" s="2" t="s">
        <v>79</v>
      </c>
      <c r="BG421" s="2" t="s">
        <v>79</v>
      </c>
      <c r="BH421" s="2" t="s">
        <v>98</v>
      </c>
      <c r="BI421" s="2" t="s">
        <v>98</v>
      </c>
      <c r="BJ421" s="2" t="s">
        <v>98</v>
      </c>
      <c r="BK421" s="2" t="s">
        <v>98</v>
      </c>
      <c r="BL421" s="2" t="s">
        <v>98</v>
      </c>
      <c r="BM421" s="2" t="s">
        <v>98</v>
      </c>
      <c r="BN421" s="2" t="s">
        <v>98</v>
      </c>
      <c r="BO421" s="2" t="s">
        <v>98</v>
      </c>
      <c r="BP421" s="2" t="s">
        <v>98</v>
      </c>
      <c r="BQ421" s="2" t="s">
        <v>98</v>
      </c>
      <c r="BR421" s="2" t="s">
        <v>98</v>
      </c>
      <c r="BS421" s="2" t="s">
        <v>98</v>
      </c>
      <c r="BT421" s="2" t="s">
        <v>98</v>
      </c>
      <c r="BU421" s="2" t="s">
        <v>98</v>
      </c>
      <c r="BV421" s="2" t="s">
        <v>98</v>
      </c>
      <c r="BW421" s="2" t="s">
        <v>98</v>
      </c>
      <c r="BX421" s="2" t="s">
        <v>98</v>
      </c>
      <c r="BY421" s="2" t="s">
        <v>98</v>
      </c>
      <c r="BZ421" s="2" t="s">
        <v>98</v>
      </c>
      <c r="CA421" s="2" t="s">
        <v>98</v>
      </c>
      <c r="CB421" t="e">
        <f>TTEST(AS421:AW421,AI421:AM421,2,2)</f>
        <v>#DIV/0!</v>
      </c>
      <c r="CC421" t="e">
        <f>TTEST(AD421:AH421,AI421:AM421,2,2)</f>
        <v>#DIV/0!</v>
      </c>
      <c r="CD421" t="e">
        <f>TTEST(AN421:AR421,AI421:AM421,2,2)</f>
        <v>#DIV/0!</v>
      </c>
      <c r="CE421" t="e">
        <f>TTEST(AX421:BB421,AI421:AM421,2,2)</f>
        <v>#DIV/0!</v>
      </c>
      <c r="CF421">
        <v>397</v>
      </c>
      <c r="CG421">
        <v>411</v>
      </c>
      <c r="CH421">
        <v>415</v>
      </c>
      <c r="CI421">
        <v>418</v>
      </c>
      <c r="CJ421">
        <f>0.05*CF421/464</f>
        <v>4.2780172413793109E-2</v>
      </c>
      <c r="CK421">
        <f>0.05*CG421/464</f>
        <v>4.4288793103448278E-2</v>
      </c>
      <c r="CL421">
        <f>0.05*CH421/464</f>
        <v>4.4719827586206899E-2</v>
      </c>
      <c r="CM421">
        <f>0.05*CI421/464</f>
        <v>4.5043103448275869E-2</v>
      </c>
      <c r="CN421" t="e">
        <f>IF(CB421&lt;CJ421,"yes","no")</f>
        <v>#DIV/0!</v>
      </c>
      <c r="CO421" t="e">
        <f>IF(CC421&lt;CK421,"yes","no")</f>
        <v>#DIV/0!</v>
      </c>
      <c r="CP421" t="e">
        <f>IF(CD421&lt;CL421,"yes","no")</f>
        <v>#DIV/0!</v>
      </c>
      <c r="CQ421" t="e">
        <f>IF(CE421&lt;CM421,"yes","no")</f>
        <v>#DIV/0!</v>
      </c>
      <c r="CR421" t="e">
        <f>TTEST(AS421:AW421,AD421:AH421,2,2)</f>
        <v>#DIV/0!</v>
      </c>
      <c r="CS421" t="e">
        <f>TTEST(AS421:AW421,AN421:AR421,2,2)</f>
        <v>#DIV/0!</v>
      </c>
      <c r="CT421" t="e">
        <f>TTEST(AS421:AW421,AX421:BB421,2,2)</f>
        <v>#DIV/0!</v>
      </c>
      <c r="CU421">
        <v>415</v>
      </c>
      <c r="CV421">
        <v>418</v>
      </c>
      <c r="CW421">
        <v>420</v>
      </c>
      <c r="CX421">
        <f t="shared" si="18"/>
        <v>4.4719827586206899E-2</v>
      </c>
      <c r="CY421">
        <f t="shared" si="19"/>
        <v>4.5043103448275869E-2</v>
      </c>
      <c r="CZ421">
        <f t="shared" si="20"/>
        <v>4.5258620689655173E-2</v>
      </c>
      <c r="DA421" t="e">
        <f>IF(CR421&lt;CX421,"yes","no")</f>
        <v>#DIV/0!</v>
      </c>
      <c r="DB421" t="e">
        <f>IF(CS421&lt;CY421,"yes","no")</f>
        <v>#DIV/0!</v>
      </c>
      <c r="DC421" t="e">
        <f>IF(CT421&lt;CZ421,"yes","no")</f>
        <v>#DIV/0!</v>
      </c>
    </row>
    <row r="422" spans="1:107" x14ac:dyDescent="0.2">
      <c r="A422" s="2" t="b">
        <v>0</v>
      </c>
      <c r="B422" s="2" t="s">
        <v>79</v>
      </c>
      <c r="C422" s="2" t="s">
        <v>80</v>
      </c>
      <c r="D422" s="2" t="s">
        <v>1649</v>
      </c>
      <c r="E422" s="2" t="s">
        <v>1650</v>
      </c>
      <c r="F422" s="2">
        <v>1</v>
      </c>
      <c r="G422" s="2">
        <v>1</v>
      </c>
      <c r="H422" s="2">
        <v>43.3</v>
      </c>
      <c r="I422" s="2">
        <v>7.56</v>
      </c>
      <c r="J422" s="2" t="s">
        <v>135</v>
      </c>
      <c r="K422" s="2" t="s">
        <v>319</v>
      </c>
      <c r="L422" s="2" t="s">
        <v>119</v>
      </c>
      <c r="M422" s="2" t="s">
        <v>1651</v>
      </c>
      <c r="N422" s="2" t="s">
        <v>1649</v>
      </c>
      <c r="O422" s="2" t="s">
        <v>83</v>
      </c>
      <c r="P422" s="2" t="s">
        <v>83</v>
      </c>
      <c r="Q422" s="2" t="s">
        <v>83</v>
      </c>
      <c r="R422" s="2" t="s">
        <v>83</v>
      </c>
      <c r="S422" s="2" t="s">
        <v>83</v>
      </c>
      <c r="T422" s="2" t="s">
        <v>83</v>
      </c>
      <c r="U422" s="2" t="s">
        <v>83</v>
      </c>
      <c r="V422" s="2" t="s">
        <v>83</v>
      </c>
      <c r="W422" s="2" t="s">
        <v>83</v>
      </c>
      <c r="X422" s="2" t="s">
        <v>83</v>
      </c>
      <c r="Y422" s="2" t="s">
        <v>83</v>
      </c>
      <c r="Z422" s="2" t="s">
        <v>83</v>
      </c>
      <c r="AA422" s="2" t="s">
        <v>83</v>
      </c>
      <c r="AB422" s="2" t="s">
        <v>83</v>
      </c>
      <c r="AC422" s="2" t="s">
        <v>83</v>
      </c>
      <c r="AD422" s="2" t="s">
        <v>83</v>
      </c>
      <c r="AE422" s="2" t="s">
        <v>83</v>
      </c>
      <c r="AF422" s="2" t="s">
        <v>83</v>
      </c>
      <c r="AG422" s="2" t="s">
        <v>83</v>
      </c>
      <c r="AH422" s="2" t="s">
        <v>83</v>
      </c>
      <c r="AI422" s="2" t="s">
        <v>83</v>
      </c>
      <c r="AJ422" s="2" t="s">
        <v>83</v>
      </c>
      <c r="AK422" s="2" t="s">
        <v>83</v>
      </c>
      <c r="AL422" s="2" t="s">
        <v>83</v>
      </c>
      <c r="AM422" s="2" t="s">
        <v>83</v>
      </c>
      <c r="AN422" s="2" t="s">
        <v>83</v>
      </c>
      <c r="AO422" s="2" t="s">
        <v>83</v>
      </c>
      <c r="AP422" s="2" t="s">
        <v>83</v>
      </c>
      <c r="AQ422" s="2" t="s">
        <v>83</v>
      </c>
      <c r="AR422" s="2" t="s">
        <v>83</v>
      </c>
      <c r="AS422" s="2" t="s">
        <v>83</v>
      </c>
      <c r="AT422" s="2" t="s">
        <v>83</v>
      </c>
      <c r="AU422" s="2" t="s">
        <v>83</v>
      </c>
      <c r="AV422" s="2" t="s">
        <v>83</v>
      </c>
      <c r="AW422" s="2" t="s">
        <v>83</v>
      </c>
      <c r="AX422" s="2" t="s">
        <v>83</v>
      </c>
      <c r="AY422" s="2" t="s">
        <v>83</v>
      </c>
      <c r="AZ422" s="2" t="s">
        <v>83</v>
      </c>
      <c r="BA422" s="2" t="s">
        <v>83</v>
      </c>
      <c r="BB422" s="2" t="s">
        <v>83</v>
      </c>
      <c r="BC422" s="2" t="s">
        <v>98</v>
      </c>
      <c r="BD422" s="2" t="s">
        <v>98</v>
      </c>
      <c r="BE422" s="2" t="s">
        <v>98</v>
      </c>
      <c r="BF422" s="2" t="s">
        <v>79</v>
      </c>
      <c r="BG422" s="2" t="s">
        <v>98</v>
      </c>
      <c r="BH422" s="2" t="s">
        <v>98</v>
      </c>
      <c r="BI422" s="2" t="s">
        <v>98</v>
      </c>
      <c r="BJ422" s="2" t="s">
        <v>98</v>
      </c>
      <c r="BK422" s="2" t="s">
        <v>98</v>
      </c>
      <c r="BL422" s="2" t="s">
        <v>98</v>
      </c>
      <c r="BM422" s="2" t="s">
        <v>98</v>
      </c>
      <c r="BN422" s="2" t="s">
        <v>98</v>
      </c>
      <c r="BO422" s="2" t="s">
        <v>98</v>
      </c>
      <c r="BP422" s="2" t="s">
        <v>98</v>
      </c>
      <c r="BQ422" s="2" t="s">
        <v>98</v>
      </c>
      <c r="BR422" s="2" t="s">
        <v>98</v>
      </c>
      <c r="BS422" s="2" t="s">
        <v>98</v>
      </c>
      <c r="BT422" s="2" t="s">
        <v>98</v>
      </c>
      <c r="BU422" s="2" t="s">
        <v>98</v>
      </c>
      <c r="BV422" s="2" t="s">
        <v>98</v>
      </c>
      <c r="BW422" s="2" t="s">
        <v>98</v>
      </c>
      <c r="BX422" s="2" t="s">
        <v>98</v>
      </c>
      <c r="BY422" s="2" t="s">
        <v>98</v>
      </c>
      <c r="BZ422" s="2" t="s">
        <v>98</v>
      </c>
      <c r="CA422" s="2" t="s">
        <v>98</v>
      </c>
      <c r="CB422" t="e">
        <f>TTEST(AS422:AW422,AI422:AM422,2,2)</f>
        <v>#DIV/0!</v>
      </c>
      <c r="CC422" t="e">
        <f>TTEST(AD422:AH422,AI422:AM422,2,2)</f>
        <v>#DIV/0!</v>
      </c>
      <c r="CD422" t="e">
        <f>TTEST(AN422:AR422,AI422:AM422,2,2)</f>
        <v>#DIV/0!</v>
      </c>
      <c r="CE422" t="e">
        <f>TTEST(AX422:BB422,AI422:AM422,2,2)</f>
        <v>#DIV/0!</v>
      </c>
      <c r="CF422">
        <v>398</v>
      </c>
      <c r="CG422">
        <v>412</v>
      </c>
      <c r="CH422">
        <v>416</v>
      </c>
      <c r="CI422">
        <v>419</v>
      </c>
      <c r="CJ422">
        <f>0.05*CF422/464</f>
        <v>4.2887931034482761E-2</v>
      </c>
      <c r="CK422">
        <f>0.05*CG422/464</f>
        <v>4.4396551724137936E-2</v>
      </c>
      <c r="CL422">
        <f>0.05*CH422/464</f>
        <v>4.4827586206896551E-2</v>
      </c>
      <c r="CM422">
        <f>0.05*CI422/464</f>
        <v>4.5150862068965521E-2</v>
      </c>
      <c r="CN422" t="e">
        <f>IF(CB422&lt;CJ422,"yes","no")</f>
        <v>#DIV/0!</v>
      </c>
      <c r="CO422" t="e">
        <f>IF(CC422&lt;CK422,"yes","no")</f>
        <v>#DIV/0!</v>
      </c>
      <c r="CP422" t="e">
        <f>IF(CD422&lt;CL422,"yes","no")</f>
        <v>#DIV/0!</v>
      </c>
      <c r="CQ422" t="e">
        <f>IF(CE422&lt;CM422,"yes","no")</f>
        <v>#DIV/0!</v>
      </c>
      <c r="CR422" t="e">
        <f>TTEST(AS422:AW422,AD422:AH422,2,2)</f>
        <v>#DIV/0!</v>
      </c>
      <c r="CS422" t="e">
        <f>TTEST(AS422:AW422,AN422:AR422,2,2)</f>
        <v>#DIV/0!</v>
      </c>
      <c r="CT422" t="e">
        <f>TTEST(AS422:AW422,AX422:BB422,2,2)</f>
        <v>#DIV/0!</v>
      </c>
      <c r="CU422">
        <v>416</v>
      </c>
      <c r="CV422">
        <v>419</v>
      </c>
      <c r="CW422">
        <v>421</v>
      </c>
      <c r="CX422">
        <f t="shared" si="18"/>
        <v>4.4827586206896551E-2</v>
      </c>
      <c r="CY422">
        <f t="shared" si="19"/>
        <v>4.5150862068965521E-2</v>
      </c>
      <c r="CZ422">
        <f t="shared" si="20"/>
        <v>4.5366379310344832E-2</v>
      </c>
      <c r="DA422" t="e">
        <f>IF(CR422&lt;CX422,"yes","no")</f>
        <v>#DIV/0!</v>
      </c>
      <c r="DB422" t="e">
        <f>IF(CS422&lt;CY422,"yes","no")</f>
        <v>#DIV/0!</v>
      </c>
      <c r="DC422" t="e">
        <f>IF(CT422&lt;CZ422,"yes","no")</f>
        <v>#DIV/0!</v>
      </c>
    </row>
    <row r="423" spans="1:107" x14ac:dyDescent="0.2">
      <c r="A423" s="2" t="b">
        <v>0</v>
      </c>
      <c r="B423" s="2" t="s">
        <v>79</v>
      </c>
      <c r="C423" s="2" t="s">
        <v>80</v>
      </c>
      <c r="D423" s="2" t="s">
        <v>1654</v>
      </c>
      <c r="E423" s="2" t="s">
        <v>1655</v>
      </c>
      <c r="F423" s="2">
        <v>1</v>
      </c>
      <c r="G423" s="2">
        <v>1</v>
      </c>
      <c r="H423" s="2">
        <v>12.9</v>
      </c>
      <c r="I423" s="2">
        <v>8.48</v>
      </c>
      <c r="J423" s="2" t="s">
        <v>254</v>
      </c>
      <c r="K423" s="2" t="s">
        <v>319</v>
      </c>
      <c r="L423" s="2" t="s">
        <v>83</v>
      </c>
      <c r="M423" s="2" t="s">
        <v>83</v>
      </c>
      <c r="N423" s="2" t="s">
        <v>1654</v>
      </c>
      <c r="O423" s="2" t="s">
        <v>83</v>
      </c>
      <c r="P423" s="2" t="s">
        <v>83</v>
      </c>
      <c r="Q423" s="2" t="s">
        <v>83</v>
      </c>
      <c r="R423" s="2" t="s">
        <v>83</v>
      </c>
      <c r="S423" s="2" t="s">
        <v>83</v>
      </c>
      <c r="T423" s="2" t="s">
        <v>83</v>
      </c>
      <c r="U423" s="2" t="s">
        <v>83</v>
      </c>
      <c r="V423" s="2" t="s">
        <v>83</v>
      </c>
      <c r="W423" s="2" t="s">
        <v>83</v>
      </c>
      <c r="X423" s="2" t="s">
        <v>83</v>
      </c>
      <c r="Y423" s="2" t="s">
        <v>83</v>
      </c>
      <c r="Z423" s="2" t="s">
        <v>83</v>
      </c>
      <c r="AA423" s="2" t="s">
        <v>83</v>
      </c>
      <c r="AB423" s="2" t="s">
        <v>83</v>
      </c>
      <c r="AC423" s="2" t="s">
        <v>83</v>
      </c>
      <c r="AD423" s="2" t="s">
        <v>83</v>
      </c>
      <c r="AE423" s="2" t="s">
        <v>83</v>
      </c>
      <c r="AF423" s="2" t="s">
        <v>83</v>
      </c>
      <c r="AG423" s="2" t="s">
        <v>83</v>
      </c>
      <c r="AH423" s="2" t="s">
        <v>83</v>
      </c>
      <c r="AI423" s="2" t="s">
        <v>83</v>
      </c>
      <c r="AJ423" s="2" t="s">
        <v>83</v>
      </c>
      <c r="AK423" s="2" t="s">
        <v>83</v>
      </c>
      <c r="AL423" s="2" t="s">
        <v>83</v>
      </c>
      <c r="AM423" s="2" t="s">
        <v>83</v>
      </c>
      <c r="AN423" s="2" t="s">
        <v>83</v>
      </c>
      <c r="AO423" s="2" t="s">
        <v>83</v>
      </c>
      <c r="AP423" s="2" t="s">
        <v>83</v>
      </c>
      <c r="AQ423" s="2" t="s">
        <v>83</v>
      </c>
      <c r="AR423" s="2" t="s">
        <v>83</v>
      </c>
      <c r="AS423" s="2" t="s">
        <v>83</v>
      </c>
      <c r="AT423" s="2" t="s">
        <v>83</v>
      </c>
      <c r="AU423" s="2" t="s">
        <v>83</v>
      </c>
      <c r="AV423" s="2" t="s">
        <v>83</v>
      </c>
      <c r="AW423" s="2" t="s">
        <v>83</v>
      </c>
      <c r="AX423" s="2" t="s">
        <v>83</v>
      </c>
      <c r="AY423" s="2" t="s">
        <v>83</v>
      </c>
      <c r="AZ423" s="2" t="s">
        <v>83</v>
      </c>
      <c r="BA423" s="2" t="s">
        <v>83</v>
      </c>
      <c r="BB423" s="2" t="s">
        <v>83</v>
      </c>
      <c r="BC423" s="2" t="s">
        <v>98</v>
      </c>
      <c r="BD423" s="2" t="s">
        <v>98</v>
      </c>
      <c r="BE423" s="2" t="s">
        <v>98</v>
      </c>
      <c r="BF423" s="2" t="s">
        <v>79</v>
      </c>
      <c r="BG423" s="2" t="s">
        <v>98</v>
      </c>
      <c r="BH423" s="2" t="s">
        <v>98</v>
      </c>
      <c r="BI423" s="2" t="s">
        <v>98</v>
      </c>
      <c r="BJ423" s="2" t="s">
        <v>98</v>
      </c>
      <c r="BK423" s="2" t="s">
        <v>98</v>
      </c>
      <c r="BL423" s="2" t="s">
        <v>98</v>
      </c>
      <c r="BM423" s="2" t="s">
        <v>98</v>
      </c>
      <c r="BN423" s="2" t="s">
        <v>98</v>
      </c>
      <c r="BO423" s="2" t="s">
        <v>98</v>
      </c>
      <c r="BP423" s="2" t="s">
        <v>98</v>
      </c>
      <c r="BQ423" s="2" t="s">
        <v>98</v>
      </c>
      <c r="BR423" s="2" t="s">
        <v>98</v>
      </c>
      <c r="BS423" s="2" t="s">
        <v>98</v>
      </c>
      <c r="BT423" s="2" t="s">
        <v>98</v>
      </c>
      <c r="BU423" s="2" t="s">
        <v>98</v>
      </c>
      <c r="BV423" s="2" t="s">
        <v>98</v>
      </c>
      <c r="BW423" s="2" t="s">
        <v>98</v>
      </c>
      <c r="BX423" s="2" t="s">
        <v>98</v>
      </c>
      <c r="BY423" s="2" t="s">
        <v>98</v>
      </c>
      <c r="BZ423" s="2" t="s">
        <v>98</v>
      </c>
      <c r="CA423" s="2" t="s">
        <v>98</v>
      </c>
      <c r="CB423" t="e">
        <f>TTEST(AS423:AW423,AI423:AM423,2,2)</f>
        <v>#DIV/0!</v>
      </c>
      <c r="CC423" t="e">
        <f>TTEST(AD423:AH423,AI423:AM423,2,2)</f>
        <v>#DIV/0!</v>
      </c>
      <c r="CD423" t="e">
        <f>TTEST(AN423:AR423,AI423:AM423,2,2)</f>
        <v>#DIV/0!</v>
      </c>
      <c r="CE423" t="e">
        <f>TTEST(AX423:BB423,AI423:AM423,2,2)</f>
        <v>#DIV/0!</v>
      </c>
      <c r="CF423">
        <v>399</v>
      </c>
      <c r="CG423">
        <v>413</v>
      </c>
      <c r="CH423">
        <v>417</v>
      </c>
      <c r="CI423">
        <v>420</v>
      </c>
      <c r="CJ423">
        <f>0.05*CF423/464</f>
        <v>4.299568965517242E-2</v>
      </c>
      <c r="CK423">
        <f>0.05*CG423/464</f>
        <v>4.4504310344827588E-2</v>
      </c>
      <c r="CL423">
        <f>0.05*CH423/464</f>
        <v>4.493534482758621E-2</v>
      </c>
      <c r="CM423">
        <f>0.05*CI423/464</f>
        <v>4.5258620689655173E-2</v>
      </c>
      <c r="CN423" t="e">
        <f>IF(CB423&lt;CJ423,"yes","no")</f>
        <v>#DIV/0!</v>
      </c>
      <c r="CO423" t="e">
        <f>IF(CC423&lt;CK423,"yes","no")</f>
        <v>#DIV/0!</v>
      </c>
      <c r="CP423" t="e">
        <f>IF(CD423&lt;CL423,"yes","no")</f>
        <v>#DIV/0!</v>
      </c>
      <c r="CQ423" t="e">
        <f>IF(CE423&lt;CM423,"yes","no")</f>
        <v>#DIV/0!</v>
      </c>
      <c r="CR423" t="e">
        <f>TTEST(AS423:AW423,AD423:AH423,2,2)</f>
        <v>#DIV/0!</v>
      </c>
      <c r="CS423" t="e">
        <f>TTEST(AS423:AW423,AN423:AR423,2,2)</f>
        <v>#DIV/0!</v>
      </c>
      <c r="CT423" t="e">
        <f>TTEST(AS423:AW423,AX423:BB423,2,2)</f>
        <v>#DIV/0!</v>
      </c>
      <c r="CU423">
        <v>417</v>
      </c>
      <c r="CV423">
        <v>420</v>
      </c>
      <c r="CW423">
        <v>422</v>
      </c>
      <c r="CX423">
        <f t="shared" si="18"/>
        <v>4.493534482758621E-2</v>
      </c>
      <c r="CY423">
        <f t="shared" si="19"/>
        <v>4.5258620689655173E-2</v>
      </c>
      <c r="CZ423">
        <f t="shared" si="20"/>
        <v>4.5474137931034483E-2</v>
      </c>
      <c r="DA423" t="e">
        <f>IF(CR423&lt;CX423,"yes","no")</f>
        <v>#DIV/0!</v>
      </c>
      <c r="DB423" t="e">
        <f>IF(CS423&lt;CY423,"yes","no")</f>
        <v>#DIV/0!</v>
      </c>
      <c r="DC423" t="e">
        <f>IF(CT423&lt;CZ423,"yes","no")</f>
        <v>#DIV/0!</v>
      </c>
    </row>
    <row r="424" spans="1:107" x14ac:dyDescent="0.2">
      <c r="A424" s="2" t="b">
        <v>0</v>
      </c>
      <c r="B424" s="2" t="s">
        <v>79</v>
      </c>
      <c r="C424" s="2" t="s">
        <v>80</v>
      </c>
      <c r="D424" s="2" t="s">
        <v>1656</v>
      </c>
      <c r="E424" s="2" t="s">
        <v>1657</v>
      </c>
      <c r="F424" s="2">
        <v>1</v>
      </c>
      <c r="G424" s="2">
        <v>1</v>
      </c>
      <c r="H424" s="2">
        <v>15.3</v>
      </c>
      <c r="I424" s="2">
        <v>6.9</v>
      </c>
      <c r="J424" s="2" t="s">
        <v>254</v>
      </c>
      <c r="K424" s="2" t="s">
        <v>84</v>
      </c>
      <c r="L424" s="2" t="s">
        <v>83</v>
      </c>
      <c r="M424" s="2" t="s">
        <v>1658</v>
      </c>
      <c r="N424" s="2" t="s">
        <v>1656</v>
      </c>
      <c r="O424" s="2" t="s">
        <v>83</v>
      </c>
      <c r="P424" s="2" t="s">
        <v>83</v>
      </c>
      <c r="Q424" s="2" t="s">
        <v>83</v>
      </c>
      <c r="R424" s="2" t="s">
        <v>83</v>
      </c>
      <c r="S424" s="2" t="s">
        <v>83</v>
      </c>
      <c r="T424" s="2" t="s">
        <v>83</v>
      </c>
      <c r="U424" s="2" t="s">
        <v>83</v>
      </c>
      <c r="V424" s="2" t="s">
        <v>83</v>
      </c>
      <c r="W424" s="2" t="s">
        <v>83</v>
      </c>
      <c r="X424" s="2" t="s">
        <v>83</v>
      </c>
      <c r="Y424" s="2" t="s">
        <v>83</v>
      </c>
      <c r="Z424" s="2" t="s">
        <v>83</v>
      </c>
      <c r="AA424" s="2" t="s">
        <v>83</v>
      </c>
      <c r="AB424" s="2" t="s">
        <v>83</v>
      </c>
      <c r="AC424" s="2" t="s">
        <v>83</v>
      </c>
      <c r="AD424" s="2" t="s">
        <v>83</v>
      </c>
      <c r="AE424" s="2" t="s">
        <v>83</v>
      </c>
      <c r="AF424" s="2" t="s">
        <v>83</v>
      </c>
      <c r="AG424" s="2" t="s">
        <v>83</v>
      </c>
      <c r="AH424" s="2" t="s">
        <v>83</v>
      </c>
      <c r="AI424" s="2" t="s">
        <v>83</v>
      </c>
      <c r="AJ424" s="2" t="s">
        <v>83</v>
      </c>
      <c r="AK424" s="2" t="s">
        <v>83</v>
      </c>
      <c r="AL424" s="2" t="s">
        <v>83</v>
      </c>
      <c r="AM424" s="2" t="s">
        <v>83</v>
      </c>
      <c r="AN424" s="2" t="s">
        <v>83</v>
      </c>
      <c r="AO424" s="2" t="s">
        <v>83</v>
      </c>
      <c r="AP424" s="2" t="s">
        <v>83</v>
      </c>
      <c r="AQ424" s="2" t="s">
        <v>83</v>
      </c>
      <c r="AR424" s="2" t="s">
        <v>83</v>
      </c>
      <c r="AS424" s="2" t="s">
        <v>83</v>
      </c>
      <c r="AT424" s="2" t="s">
        <v>83</v>
      </c>
      <c r="AU424" s="2" t="s">
        <v>83</v>
      </c>
      <c r="AV424" s="2" t="s">
        <v>83</v>
      </c>
      <c r="AW424" s="2" t="s">
        <v>83</v>
      </c>
      <c r="AX424" s="2" t="s">
        <v>83</v>
      </c>
      <c r="AY424" s="2" t="s">
        <v>83</v>
      </c>
      <c r="AZ424" s="2" t="s">
        <v>83</v>
      </c>
      <c r="BA424" s="2" t="s">
        <v>83</v>
      </c>
      <c r="BB424" s="2" t="s">
        <v>83</v>
      </c>
      <c r="BC424" s="2" t="s">
        <v>98</v>
      </c>
      <c r="BD424" s="2" t="s">
        <v>98</v>
      </c>
      <c r="BE424" s="2" t="s">
        <v>98</v>
      </c>
      <c r="BF424" s="2" t="s">
        <v>79</v>
      </c>
      <c r="BG424" s="2" t="s">
        <v>79</v>
      </c>
      <c r="BH424" s="2" t="s">
        <v>98</v>
      </c>
      <c r="BI424" s="2" t="s">
        <v>98</v>
      </c>
      <c r="BJ424" s="2" t="s">
        <v>98</v>
      </c>
      <c r="BK424" s="2" t="s">
        <v>98</v>
      </c>
      <c r="BL424" s="2" t="s">
        <v>98</v>
      </c>
      <c r="BM424" s="2" t="s">
        <v>98</v>
      </c>
      <c r="BN424" s="2" t="s">
        <v>98</v>
      </c>
      <c r="BO424" s="2" t="s">
        <v>98</v>
      </c>
      <c r="BP424" s="2" t="s">
        <v>98</v>
      </c>
      <c r="BQ424" s="2" t="s">
        <v>98</v>
      </c>
      <c r="BR424" s="2" t="s">
        <v>98</v>
      </c>
      <c r="BS424" s="2" t="s">
        <v>98</v>
      </c>
      <c r="BT424" s="2" t="s">
        <v>98</v>
      </c>
      <c r="BU424" s="2" t="s">
        <v>98</v>
      </c>
      <c r="BV424" s="2" t="s">
        <v>98</v>
      </c>
      <c r="BW424" s="2" t="s">
        <v>98</v>
      </c>
      <c r="BX424" s="2" t="s">
        <v>98</v>
      </c>
      <c r="BY424" s="2" t="s">
        <v>98</v>
      </c>
      <c r="BZ424" s="2" t="s">
        <v>98</v>
      </c>
      <c r="CA424" s="2" t="s">
        <v>98</v>
      </c>
      <c r="CB424" t="e">
        <f>TTEST(AS424:AW424,AI424:AM424,2,2)</f>
        <v>#DIV/0!</v>
      </c>
      <c r="CC424" t="e">
        <f>TTEST(AD424:AH424,AI424:AM424,2,2)</f>
        <v>#DIV/0!</v>
      </c>
      <c r="CD424" t="e">
        <f>TTEST(AN424:AR424,AI424:AM424,2,2)</f>
        <v>#DIV/0!</v>
      </c>
      <c r="CE424" t="e">
        <f>TTEST(AX424:BB424,AI424:AM424,2,2)</f>
        <v>#DIV/0!</v>
      </c>
      <c r="CF424">
        <v>400</v>
      </c>
      <c r="CG424">
        <v>414</v>
      </c>
      <c r="CH424">
        <v>418</v>
      </c>
      <c r="CI424">
        <v>421</v>
      </c>
      <c r="CJ424">
        <f>0.05*CF424/464</f>
        <v>4.3103448275862072E-2</v>
      </c>
      <c r="CK424">
        <f>0.05*CG424/464</f>
        <v>4.4612068965517247E-2</v>
      </c>
      <c r="CL424">
        <f>0.05*CH424/464</f>
        <v>4.5043103448275869E-2</v>
      </c>
      <c r="CM424">
        <f>0.05*CI424/464</f>
        <v>4.5366379310344832E-2</v>
      </c>
      <c r="CN424" t="e">
        <f>IF(CB424&lt;CJ424,"yes","no")</f>
        <v>#DIV/0!</v>
      </c>
      <c r="CO424" t="e">
        <f>IF(CC424&lt;CK424,"yes","no")</f>
        <v>#DIV/0!</v>
      </c>
      <c r="CP424" t="e">
        <f>IF(CD424&lt;CL424,"yes","no")</f>
        <v>#DIV/0!</v>
      </c>
      <c r="CQ424" t="e">
        <f>IF(CE424&lt;CM424,"yes","no")</f>
        <v>#DIV/0!</v>
      </c>
      <c r="CR424" t="e">
        <f>TTEST(AS424:AW424,AD424:AH424,2,2)</f>
        <v>#DIV/0!</v>
      </c>
      <c r="CS424" t="e">
        <f>TTEST(AS424:AW424,AN424:AR424,2,2)</f>
        <v>#DIV/0!</v>
      </c>
      <c r="CT424" t="e">
        <f>TTEST(AS424:AW424,AX424:BB424,2,2)</f>
        <v>#DIV/0!</v>
      </c>
      <c r="CU424">
        <v>418</v>
      </c>
      <c r="CV424">
        <v>421</v>
      </c>
      <c r="CW424">
        <v>423</v>
      </c>
      <c r="CX424">
        <f t="shared" si="18"/>
        <v>4.5043103448275869E-2</v>
      </c>
      <c r="CY424">
        <f t="shared" si="19"/>
        <v>4.5366379310344832E-2</v>
      </c>
      <c r="CZ424">
        <f t="shared" si="20"/>
        <v>4.5581896551724142E-2</v>
      </c>
      <c r="DA424" t="e">
        <f>IF(CR424&lt;CX424,"yes","no")</f>
        <v>#DIV/0!</v>
      </c>
      <c r="DB424" t="e">
        <f>IF(CS424&lt;CY424,"yes","no")</f>
        <v>#DIV/0!</v>
      </c>
      <c r="DC424" t="e">
        <f>IF(CT424&lt;CZ424,"yes","no")</f>
        <v>#DIV/0!</v>
      </c>
    </row>
    <row r="425" spans="1:107" x14ac:dyDescent="0.2">
      <c r="A425" s="2" t="b">
        <v>0</v>
      </c>
      <c r="B425" s="2" t="s">
        <v>79</v>
      </c>
      <c r="C425" s="2" t="s">
        <v>80</v>
      </c>
      <c r="D425" s="2" t="s">
        <v>1663</v>
      </c>
      <c r="E425" s="2" t="s">
        <v>1664</v>
      </c>
      <c r="F425" s="2">
        <v>1</v>
      </c>
      <c r="G425" s="2">
        <v>1</v>
      </c>
      <c r="H425" s="2">
        <v>55.1</v>
      </c>
      <c r="I425" s="2">
        <v>6.86</v>
      </c>
      <c r="J425" s="2" t="s">
        <v>150</v>
      </c>
      <c r="K425" s="2" t="s">
        <v>1665</v>
      </c>
      <c r="L425" s="2" t="s">
        <v>119</v>
      </c>
      <c r="M425" s="2" t="s">
        <v>1666</v>
      </c>
      <c r="N425" s="2" t="s">
        <v>1663</v>
      </c>
      <c r="O425" s="2">
        <v>0.01</v>
      </c>
      <c r="P425" s="2">
        <v>0.01</v>
      </c>
      <c r="Q425" s="2">
        <v>0.01</v>
      </c>
      <c r="R425" s="2">
        <v>100</v>
      </c>
      <c r="S425" s="2" t="s">
        <v>83</v>
      </c>
      <c r="T425" s="2" t="s">
        <v>83</v>
      </c>
      <c r="U425" s="2" t="s">
        <v>83</v>
      </c>
      <c r="V425" s="2" t="s">
        <v>83</v>
      </c>
      <c r="W425" s="2" t="s">
        <v>83</v>
      </c>
      <c r="X425" s="2" t="s">
        <v>83</v>
      </c>
      <c r="Y425" s="2">
        <v>500</v>
      </c>
      <c r="Z425" s="2" t="s">
        <v>83</v>
      </c>
      <c r="AA425" s="2" t="s">
        <v>83</v>
      </c>
      <c r="AB425" s="2" t="s">
        <v>83</v>
      </c>
      <c r="AC425" s="2" t="s">
        <v>83</v>
      </c>
      <c r="AD425" s="2" t="s">
        <v>83</v>
      </c>
      <c r="AE425" s="2">
        <v>127645.890625</v>
      </c>
      <c r="AF425" s="2" t="s">
        <v>83</v>
      </c>
      <c r="AG425" s="2">
        <v>158565.828125</v>
      </c>
      <c r="AH425" s="2" t="s">
        <v>83</v>
      </c>
      <c r="AI425" s="2" t="s">
        <v>83</v>
      </c>
      <c r="AJ425" s="2" t="s">
        <v>83</v>
      </c>
      <c r="AK425" s="2" t="s">
        <v>83</v>
      </c>
      <c r="AL425" s="2" t="s">
        <v>83</v>
      </c>
      <c r="AM425" s="2" t="s">
        <v>83</v>
      </c>
      <c r="AN425" s="2" t="s">
        <v>83</v>
      </c>
      <c r="AO425" s="2" t="s">
        <v>83</v>
      </c>
      <c r="AP425" s="2" t="s">
        <v>83</v>
      </c>
      <c r="AQ425" s="2" t="s">
        <v>83</v>
      </c>
      <c r="AR425" s="2" t="s">
        <v>83</v>
      </c>
      <c r="AS425" s="2" t="s">
        <v>83</v>
      </c>
      <c r="AT425" s="2" t="s">
        <v>83</v>
      </c>
      <c r="AU425" s="2" t="s">
        <v>83</v>
      </c>
      <c r="AV425" s="2" t="s">
        <v>83</v>
      </c>
      <c r="AW425" s="2" t="s">
        <v>83</v>
      </c>
      <c r="AX425" s="2" t="s">
        <v>83</v>
      </c>
      <c r="AY425" s="2" t="s">
        <v>83</v>
      </c>
      <c r="AZ425" s="2" t="s">
        <v>83</v>
      </c>
      <c r="BA425" s="2" t="s">
        <v>83</v>
      </c>
      <c r="BB425" s="2" t="s">
        <v>83</v>
      </c>
      <c r="BC425" s="2" t="s">
        <v>98</v>
      </c>
      <c r="BD425" s="2" t="s">
        <v>91</v>
      </c>
      <c r="BE425" s="2" t="s">
        <v>98</v>
      </c>
      <c r="BF425" s="2" t="s">
        <v>79</v>
      </c>
      <c r="BG425" s="2" t="s">
        <v>98</v>
      </c>
      <c r="BH425" s="2" t="s">
        <v>98</v>
      </c>
      <c r="BI425" s="2" t="s">
        <v>98</v>
      </c>
      <c r="BJ425" s="2" t="s">
        <v>98</v>
      </c>
      <c r="BK425" s="2" t="s">
        <v>98</v>
      </c>
      <c r="BL425" s="2" t="s">
        <v>98</v>
      </c>
      <c r="BM425" s="2" t="s">
        <v>98</v>
      </c>
      <c r="BN425" s="2" t="s">
        <v>98</v>
      </c>
      <c r="BO425" s="2" t="s">
        <v>98</v>
      </c>
      <c r="BP425" s="2" t="s">
        <v>98</v>
      </c>
      <c r="BQ425" s="2" t="s">
        <v>98</v>
      </c>
      <c r="BR425" s="2" t="s">
        <v>98</v>
      </c>
      <c r="BS425" s="2" t="s">
        <v>98</v>
      </c>
      <c r="BT425" s="2" t="s">
        <v>98</v>
      </c>
      <c r="BU425" s="2" t="s">
        <v>98</v>
      </c>
      <c r="BV425" s="2" t="s">
        <v>98</v>
      </c>
      <c r="BW425" s="2" t="s">
        <v>98</v>
      </c>
      <c r="BX425" s="2" t="s">
        <v>98</v>
      </c>
      <c r="BY425" s="2" t="s">
        <v>98</v>
      </c>
      <c r="BZ425" s="2" t="s">
        <v>98</v>
      </c>
      <c r="CA425" s="2" t="s">
        <v>98</v>
      </c>
      <c r="CB425" t="e">
        <f>TTEST(AS425:AW425,AI425:AM425,2,2)</f>
        <v>#DIV/0!</v>
      </c>
      <c r="CC425" t="e">
        <f>TTEST(AD425:AH425,AI425:AM425,2,2)</f>
        <v>#DIV/0!</v>
      </c>
      <c r="CD425" t="e">
        <f>TTEST(AN425:AR425,AI425:AM425,2,2)</f>
        <v>#DIV/0!</v>
      </c>
      <c r="CE425" t="e">
        <f>TTEST(AX425:BB425,AI425:AM425,2,2)</f>
        <v>#DIV/0!</v>
      </c>
      <c r="CF425">
        <v>401</v>
      </c>
      <c r="CG425">
        <v>415</v>
      </c>
      <c r="CH425">
        <v>419</v>
      </c>
      <c r="CI425">
        <v>422</v>
      </c>
      <c r="CJ425">
        <f>0.05*CF425/464</f>
        <v>4.3211206896551724E-2</v>
      </c>
      <c r="CK425">
        <f>0.05*CG425/464</f>
        <v>4.4719827586206899E-2</v>
      </c>
      <c r="CL425">
        <f>0.05*CH425/464</f>
        <v>4.5150862068965521E-2</v>
      </c>
      <c r="CM425">
        <f>0.05*CI425/464</f>
        <v>4.5474137931034483E-2</v>
      </c>
      <c r="CN425" t="e">
        <f>IF(CB425&lt;CJ425,"yes","no")</f>
        <v>#DIV/0!</v>
      </c>
      <c r="CO425" t="e">
        <f>IF(CC425&lt;CK425,"yes","no")</f>
        <v>#DIV/0!</v>
      </c>
      <c r="CP425" t="e">
        <f>IF(CD425&lt;CL425,"yes","no")</f>
        <v>#DIV/0!</v>
      </c>
      <c r="CQ425" t="e">
        <f>IF(CE425&lt;CM425,"yes","no")</f>
        <v>#DIV/0!</v>
      </c>
      <c r="CR425" t="e">
        <f>TTEST(AS425:AW425,AD425:AH425,2,2)</f>
        <v>#DIV/0!</v>
      </c>
      <c r="CS425" t="e">
        <f>TTEST(AS425:AW425,AN425:AR425,2,2)</f>
        <v>#DIV/0!</v>
      </c>
      <c r="CT425" t="e">
        <f>TTEST(AS425:AW425,AX425:BB425,2,2)</f>
        <v>#DIV/0!</v>
      </c>
      <c r="CU425">
        <v>419</v>
      </c>
      <c r="CV425">
        <v>422</v>
      </c>
      <c r="CW425">
        <v>424</v>
      </c>
      <c r="CX425">
        <f t="shared" si="18"/>
        <v>4.5150862068965521E-2</v>
      </c>
      <c r="CY425">
        <f t="shared" si="19"/>
        <v>4.5474137931034483E-2</v>
      </c>
      <c r="CZ425">
        <f t="shared" si="20"/>
        <v>4.5689655172413801E-2</v>
      </c>
      <c r="DA425" t="e">
        <f>IF(CR425&lt;CX425,"yes","no")</f>
        <v>#DIV/0!</v>
      </c>
      <c r="DB425" t="e">
        <f>IF(CS425&lt;CY425,"yes","no")</f>
        <v>#DIV/0!</v>
      </c>
      <c r="DC425" t="e">
        <f>IF(CT425&lt;CZ425,"yes","no")</f>
        <v>#DIV/0!</v>
      </c>
    </row>
    <row r="426" spans="1:107" x14ac:dyDescent="0.2">
      <c r="A426" s="2" t="b">
        <v>0</v>
      </c>
      <c r="B426" s="2" t="s">
        <v>79</v>
      </c>
      <c r="C426" s="2" t="s">
        <v>80</v>
      </c>
      <c r="D426" s="2" t="s">
        <v>1667</v>
      </c>
      <c r="E426" s="2" t="s">
        <v>1668</v>
      </c>
      <c r="F426" s="2">
        <v>1</v>
      </c>
      <c r="G426" s="2">
        <v>1</v>
      </c>
      <c r="H426" s="2">
        <v>254</v>
      </c>
      <c r="I426" s="2">
        <v>6.99</v>
      </c>
      <c r="J426" s="2" t="s">
        <v>1669</v>
      </c>
      <c r="K426" s="2" t="s">
        <v>1483</v>
      </c>
      <c r="L426" s="2" t="s">
        <v>188</v>
      </c>
      <c r="M426" s="2" t="s">
        <v>1670</v>
      </c>
      <c r="N426" s="2" t="s">
        <v>1667</v>
      </c>
      <c r="O426" s="2" t="s">
        <v>83</v>
      </c>
      <c r="P426" s="2" t="s">
        <v>83</v>
      </c>
      <c r="Q426" s="2" t="s">
        <v>83</v>
      </c>
      <c r="R426" s="2" t="s">
        <v>83</v>
      </c>
      <c r="S426" s="2" t="s">
        <v>83</v>
      </c>
      <c r="T426" s="2" t="s">
        <v>83</v>
      </c>
      <c r="U426" s="2" t="s">
        <v>83</v>
      </c>
      <c r="V426" s="2" t="s">
        <v>83</v>
      </c>
      <c r="W426" s="2" t="s">
        <v>83</v>
      </c>
      <c r="X426" s="2" t="s">
        <v>83</v>
      </c>
      <c r="Y426" s="2" t="s">
        <v>83</v>
      </c>
      <c r="Z426" s="2" t="s">
        <v>83</v>
      </c>
      <c r="AA426" s="2" t="s">
        <v>83</v>
      </c>
      <c r="AB426" s="2" t="s">
        <v>83</v>
      </c>
      <c r="AC426" s="2" t="s">
        <v>83</v>
      </c>
      <c r="AD426" s="2" t="s">
        <v>83</v>
      </c>
      <c r="AE426" s="2" t="s">
        <v>83</v>
      </c>
      <c r="AF426" s="2" t="s">
        <v>83</v>
      </c>
      <c r="AG426" s="2" t="s">
        <v>83</v>
      </c>
      <c r="AH426" s="2" t="s">
        <v>83</v>
      </c>
      <c r="AI426" s="2" t="s">
        <v>83</v>
      </c>
      <c r="AJ426" s="2" t="s">
        <v>83</v>
      </c>
      <c r="AK426" s="2" t="s">
        <v>83</v>
      </c>
      <c r="AL426" s="2" t="s">
        <v>83</v>
      </c>
      <c r="AM426" s="2" t="s">
        <v>83</v>
      </c>
      <c r="AN426" s="2" t="s">
        <v>83</v>
      </c>
      <c r="AO426" s="2" t="s">
        <v>83</v>
      </c>
      <c r="AP426" s="2" t="s">
        <v>83</v>
      </c>
      <c r="AQ426" s="2" t="s">
        <v>83</v>
      </c>
      <c r="AR426" s="2" t="s">
        <v>83</v>
      </c>
      <c r="AS426" s="2" t="s">
        <v>83</v>
      </c>
      <c r="AT426" s="2" t="s">
        <v>83</v>
      </c>
      <c r="AU426" s="2" t="s">
        <v>83</v>
      </c>
      <c r="AV426" s="2" t="s">
        <v>83</v>
      </c>
      <c r="AW426" s="2" t="s">
        <v>83</v>
      </c>
      <c r="AX426" s="2" t="s">
        <v>83</v>
      </c>
      <c r="AY426" s="2" t="s">
        <v>83</v>
      </c>
      <c r="AZ426" s="2" t="s">
        <v>83</v>
      </c>
      <c r="BA426" s="2" t="s">
        <v>83</v>
      </c>
      <c r="BB426" s="2" t="s">
        <v>83</v>
      </c>
      <c r="BC426" s="2" t="s">
        <v>79</v>
      </c>
      <c r="BD426" s="2" t="s">
        <v>79</v>
      </c>
      <c r="BE426" s="2" t="s">
        <v>98</v>
      </c>
      <c r="BF426" s="2" t="s">
        <v>98</v>
      </c>
      <c r="BG426" s="2" t="s">
        <v>79</v>
      </c>
      <c r="BH426" s="2" t="s">
        <v>98</v>
      </c>
      <c r="BI426" s="2" t="s">
        <v>98</v>
      </c>
      <c r="BJ426" s="2" t="s">
        <v>98</v>
      </c>
      <c r="BK426" s="2" t="s">
        <v>98</v>
      </c>
      <c r="BL426" s="2" t="s">
        <v>98</v>
      </c>
      <c r="BM426" s="2" t="s">
        <v>98</v>
      </c>
      <c r="BN426" s="2" t="s">
        <v>98</v>
      </c>
      <c r="BO426" s="2" t="s">
        <v>98</v>
      </c>
      <c r="BP426" s="2" t="s">
        <v>98</v>
      </c>
      <c r="BQ426" s="2" t="s">
        <v>98</v>
      </c>
      <c r="BR426" s="2" t="s">
        <v>98</v>
      </c>
      <c r="BS426" s="2" t="s">
        <v>98</v>
      </c>
      <c r="BT426" s="2" t="s">
        <v>98</v>
      </c>
      <c r="BU426" s="2" t="s">
        <v>98</v>
      </c>
      <c r="BV426" s="2" t="s">
        <v>98</v>
      </c>
      <c r="BW426" s="2" t="s">
        <v>98</v>
      </c>
      <c r="BX426" s="2" t="s">
        <v>98</v>
      </c>
      <c r="BY426" s="2" t="s">
        <v>98</v>
      </c>
      <c r="BZ426" s="2" t="s">
        <v>98</v>
      </c>
      <c r="CA426" s="2" t="s">
        <v>98</v>
      </c>
      <c r="CB426" t="e">
        <f>TTEST(AS426:AW426,AI426:AM426,2,2)</f>
        <v>#DIV/0!</v>
      </c>
      <c r="CC426" t="e">
        <f>TTEST(AD426:AH426,AI426:AM426,2,2)</f>
        <v>#DIV/0!</v>
      </c>
      <c r="CD426" t="e">
        <f>TTEST(AN426:AR426,AI426:AM426,2,2)</f>
        <v>#DIV/0!</v>
      </c>
      <c r="CE426" t="e">
        <f>TTEST(AX426:BB426,AI426:AM426,2,2)</f>
        <v>#DIV/0!</v>
      </c>
      <c r="CF426">
        <v>402</v>
      </c>
      <c r="CG426">
        <v>416</v>
      </c>
      <c r="CH426">
        <v>420</v>
      </c>
      <c r="CI426">
        <v>423</v>
      </c>
      <c r="CJ426">
        <f>0.05*CF426/464</f>
        <v>4.3318965517241383E-2</v>
      </c>
      <c r="CK426">
        <f>0.05*CG426/464</f>
        <v>4.4827586206896551E-2</v>
      </c>
      <c r="CL426">
        <f>0.05*CH426/464</f>
        <v>4.5258620689655173E-2</v>
      </c>
      <c r="CM426">
        <f>0.05*CI426/464</f>
        <v>4.5581896551724142E-2</v>
      </c>
      <c r="CN426" t="e">
        <f>IF(CB426&lt;CJ426,"yes","no")</f>
        <v>#DIV/0!</v>
      </c>
      <c r="CO426" t="e">
        <f>IF(CC426&lt;CK426,"yes","no")</f>
        <v>#DIV/0!</v>
      </c>
      <c r="CP426" t="e">
        <f>IF(CD426&lt;CL426,"yes","no")</f>
        <v>#DIV/0!</v>
      </c>
      <c r="CQ426" t="e">
        <f>IF(CE426&lt;CM426,"yes","no")</f>
        <v>#DIV/0!</v>
      </c>
      <c r="CR426" t="e">
        <f>TTEST(AS426:AW426,AD426:AH426,2,2)</f>
        <v>#DIV/0!</v>
      </c>
      <c r="CS426" t="e">
        <f>TTEST(AS426:AW426,AN426:AR426,2,2)</f>
        <v>#DIV/0!</v>
      </c>
      <c r="CT426" t="e">
        <f>TTEST(AS426:AW426,AX426:BB426,2,2)</f>
        <v>#DIV/0!</v>
      </c>
      <c r="CU426">
        <v>420</v>
      </c>
      <c r="CV426">
        <v>423</v>
      </c>
      <c r="CW426">
        <v>425</v>
      </c>
      <c r="CX426">
        <f t="shared" si="18"/>
        <v>4.5258620689655173E-2</v>
      </c>
      <c r="CY426">
        <f t="shared" si="19"/>
        <v>4.5581896551724142E-2</v>
      </c>
      <c r="CZ426">
        <f t="shared" si="20"/>
        <v>4.5797413793103446E-2</v>
      </c>
      <c r="DA426" t="e">
        <f>IF(CR426&lt;CX426,"yes","no")</f>
        <v>#DIV/0!</v>
      </c>
      <c r="DB426" t="e">
        <f>IF(CS426&lt;CY426,"yes","no")</f>
        <v>#DIV/0!</v>
      </c>
      <c r="DC426" t="e">
        <f>IF(CT426&lt;CZ426,"yes","no")</f>
        <v>#DIV/0!</v>
      </c>
    </row>
    <row r="427" spans="1:107" x14ac:dyDescent="0.2">
      <c r="A427" s="2" t="b">
        <v>0</v>
      </c>
      <c r="B427" s="2" t="s">
        <v>79</v>
      </c>
      <c r="C427" s="2" t="s">
        <v>80</v>
      </c>
      <c r="D427" s="2" t="s">
        <v>1678</v>
      </c>
      <c r="E427" s="2" t="s">
        <v>1679</v>
      </c>
      <c r="F427" s="2">
        <v>1</v>
      </c>
      <c r="G427" s="2">
        <v>1</v>
      </c>
      <c r="H427" s="2">
        <v>49.9</v>
      </c>
      <c r="I427" s="2">
        <v>6.65</v>
      </c>
      <c r="J427" s="2" t="s">
        <v>1680</v>
      </c>
      <c r="K427" s="2" t="s">
        <v>84</v>
      </c>
      <c r="L427" s="2" t="s">
        <v>119</v>
      </c>
      <c r="M427" s="2" t="s">
        <v>1681</v>
      </c>
      <c r="N427" s="2" t="s">
        <v>1682</v>
      </c>
      <c r="O427" s="2" t="s">
        <v>83</v>
      </c>
      <c r="P427" s="2" t="s">
        <v>83</v>
      </c>
      <c r="Q427" s="2" t="s">
        <v>83</v>
      </c>
      <c r="R427" s="2" t="s">
        <v>83</v>
      </c>
      <c r="S427" s="2" t="s">
        <v>83</v>
      </c>
      <c r="T427" s="2" t="s">
        <v>83</v>
      </c>
      <c r="U427" s="2" t="s">
        <v>83</v>
      </c>
      <c r="V427" s="2" t="s">
        <v>83</v>
      </c>
      <c r="W427" s="2" t="s">
        <v>83</v>
      </c>
      <c r="X427" s="2" t="s">
        <v>83</v>
      </c>
      <c r="Y427" s="2" t="s">
        <v>83</v>
      </c>
      <c r="Z427" s="2" t="s">
        <v>83</v>
      </c>
      <c r="AA427" s="2" t="s">
        <v>83</v>
      </c>
      <c r="AB427" s="2" t="s">
        <v>83</v>
      </c>
      <c r="AC427" s="2" t="s">
        <v>83</v>
      </c>
      <c r="AD427" s="2" t="s">
        <v>83</v>
      </c>
      <c r="AE427" s="2" t="s">
        <v>83</v>
      </c>
      <c r="AF427" s="2" t="s">
        <v>83</v>
      </c>
      <c r="AG427" s="2" t="s">
        <v>83</v>
      </c>
      <c r="AH427" s="2" t="s">
        <v>83</v>
      </c>
      <c r="AI427" s="2" t="s">
        <v>83</v>
      </c>
      <c r="AJ427" s="2" t="s">
        <v>83</v>
      </c>
      <c r="AK427" s="2" t="s">
        <v>83</v>
      </c>
      <c r="AL427" s="2" t="s">
        <v>83</v>
      </c>
      <c r="AM427" s="2" t="s">
        <v>83</v>
      </c>
      <c r="AN427" s="2" t="s">
        <v>83</v>
      </c>
      <c r="AO427" s="2" t="s">
        <v>83</v>
      </c>
      <c r="AP427" s="2" t="s">
        <v>83</v>
      </c>
      <c r="AQ427" s="2" t="s">
        <v>83</v>
      </c>
      <c r="AR427" s="2" t="s">
        <v>83</v>
      </c>
      <c r="AS427" s="2" t="s">
        <v>83</v>
      </c>
      <c r="AT427" s="2" t="s">
        <v>83</v>
      </c>
      <c r="AU427" s="2" t="s">
        <v>83</v>
      </c>
      <c r="AV427" s="2" t="s">
        <v>83</v>
      </c>
      <c r="AW427" s="2" t="s">
        <v>83</v>
      </c>
      <c r="AX427" s="2" t="s">
        <v>83</v>
      </c>
      <c r="AY427" s="2" t="s">
        <v>83</v>
      </c>
      <c r="AZ427" s="2" t="s">
        <v>83</v>
      </c>
      <c r="BA427" s="2" t="s">
        <v>83</v>
      </c>
      <c r="BB427" s="2" t="s">
        <v>83</v>
      </c>
      <c r="BC427" s="2" t="s">
        <v>79</v>
      </c>
      <c r="BD427" s="2" t="s">
        <v>79</v>
      </c>
      <c r="BE427" s="2" t="s">
        <v>79</v>
      </c>
      <c r="BF427" s="2" t="s">
        <v>98</v>
      </c>
      <c r="BG427" s="2" t="s">
        <v>98</v>
      </c>
      <c r="BH427" s="2" t="s">
        <v>98</v>
      </c>
      <c r="BI427" s="2" t="s">
        <v>98</v>
      </c>
      <c r="BJ427" s="2" t="s">
        <v>98</v>
      </c>
      <c r="BK427" s="2" t="s">
        <v>98</v>
      </c>
      <c r="BL427" s="2" t="s">
        <v>98</v>
      </c>
      <c r="BM427" s="2" t="s">
        <v>98</v>
      </c>
      <c r="BN427" s="2" t="s">
        <v>98</v>
      </c>
      <c r="BO427" s="2" t="s">
        <v>98</v>
      </c>
      <c r="BP427" s="2" t="s">
        <v>98</v>
      </c>
      <c r="BQ427" s="2" t="s">
        <v>98</v>
      </c>
      <c r="BR427" s="2" t="s">
        <v>98</v>
      </c>
      <c r="BS427" s="2" t="s">
        <v>98</v>
      </c>
      <c r="BT427" s="2" t="s">
        <v>98</v>
      </c>
      <c r="BU427" s="2" t="s">
        <v>98</v>
      </c>
      <c r="BV427" s="2" t="s">
        <v>98</v>
      </c>
      <c r="BW427" s="2" t="s">
        <v>98</v>
      </c>
      <c r="BX427" s="2" t="s">
        <v>98</v>
      </c>
      <c r="BY427" s="2" t="s">
        <v>98</v>
      </c>
      <c r="BZ427" s="2" t="s">
        <v>98</v>
      </c>
      <c r="CA427" s="2" t="s">
        <v>98</v>
      </c>
      <c r="CB427" t="e">
        <f>TTEST(AS427:AW427,AI427:AM427,2,2)</f>
        <v>#DIV/0!</v>
      </c>
      <c r="CC427" t="e">
        <f>TTEST(AD427:AH427,AI427:AM427,2,2)</f>
        <v>#DIV/0!</v>
      </c>
      <c r="CD427" t="e">
        <f>TTEST(AN427:AR427,AI427:AM427,2,2)</f>
        <v>#DIV/0!</v>
      </c>
      <c r="CE427" t="e">
        <f>TTEST(AX427:BB427,AI427:AM427,2,2)</f>
        <v>#DIV/0!</v>
      </c>
      <c r="CF427">
        <v>403</v>
      </c>
      <c r="CG427">
        <v>417</v>
      </c>
      <c r="CH427">
        <v>421</v>
      </c>
      <c r="CI427">
        <v>424</v>
      </c>
      <c r="CJ427">
        <f>0.05*CF427/464</f>
        <v>4.3426724137931041E-2</v>
      </c>
      <c r="CK427">
        <f>0.05*CG427/464</f>
        <v>4.493534482758621E-2</v>
      </c>
      <c r="CL427">
        <f>0.05*CH427/464</f>
        <v>4.5366379310344832E-2</v>
      </c>
      <c r="CM427">
        <f>0.05*CI427/464</f>
        <v>4.5689655172413801E-2</v>
      </c>
      <c r="CN427" t="e">
        <f>IF(CB427&lt;CJ427,"yes","no")</f>
        <v>#DIV/0!</v>
      </c>
      <c r="CO427" t="e">
        <f>IF(CC427&lt;CK427,"yes","no")</f>
        <v>#DIV/0!</v>
      </c>
      <c r="CP427" t="e">
        <f>IF(CD427&lt;CL427,"yes","no")</f>
        <v>#DIV/0!</v>
      </c>
      <c r="CQ427" t="e">
        <f>IF(CE427&lt;CM427,"yes","no")</f>
        <v>#DIV/0!</v>
      </c>
      <c r="CR427" t="e">
        <f>TTEST(AS427:AW427,AD427:AH427,2,2)</f>
        <v>#DIV/0!</v>
      </c>
      <c r="CS427" t="e">
        <f>TTEST(AS427:AW427,AN427:AR427,2,2)</f>
        <v>#DIV/0!</v>
      </c>
      <c r="CT427" t="e">
        <f>TTEST(AS427:AW427,AX427:BB427,2,2)</f>
        <v>#DIV/0!</v>
      </c>
      <c r="CU427">
        <v>421</v>
      </c>
      <c r="CV427">
        <v>424</v>
      </c>
      <c r="CW427">
        <v>426</v>
      </c>
      <c r="CX427">
        <f t="shared" si="18"/>
        <v>4.5366379310344832E-2</v>
      </c>
      <c r="CY427">
        <f t="shared" si="19"/>
        <v>4.5689655172413801E-2</v>
      </c>
      <c r="CZ427">
        <f t="shared" si="20"/>
        <v>4.5905172413793105E-2</v>
      </c>
      <c r="DA427" t="e">
        <f>IF(CR427&lt;CX427,"yes","no")</f>
        <v>#DIV/0!</v>
      </c>
      <c r="DB427" t="e">
        <f>IF(CS427&lt;CY427,"yes","no")</f>
        <v>#DIV/0!</v>
      </c>
      <c r="DC427" t="e">
        <f>IF(CT427&lt;CZ427,"yes","no")</f>
        <v>#DIV/0!</v>
      </c>
    </row>
    <row r="428" spans="1:107" x14ac:dyDescent="0.2">
      <c r="A428" s="2" t="b">
        <v>0</v>
      </c>
      <c r="B428" s="2" t="s">
        <v>79</v>
      </c>
      <c r="C428" s="2" t="s">
        <v>80</v>
      </c>
      <c r="D428" s="2" t="s">
        <v>1686</v>
      </c>
      <c r="E428" s="2" t="s">
        <v>1687</v>
      </c>
      <c r="F428" s="2">
        <v>1</v>
      </c>
      <c r="G428" s="2">
        <v>1</v>
      </c>
      <c r="H428" s="2">
        <v>14.1</v>
      </c>
      <c r="I428" s="2">
        <v>6.51</v>
      </c>
      <c r="J428" s="2" t="s">
        <v>83</v>
      </c>
      <c r="K428" s="2" t="s">
        <v>83</v>
      </c>
      <c r="L428" s="2" t="s">
        <v>83</v>
      </c>
      <c r="M428" s="2" t="s">
        <v>83</v>
      </c>
      <c r="N428" s="2" t="s">
        <v>1686</v>
      </c>
      <c r="O428" s="2" t="s">
        <v>83</v>
      </c>
      <c r="P428" s="2" t="s">
        <v>83</v>
      </c>
      <c r="Q428" s="2" t="s">
        <v>83</v>
      </c>
      <c r="R428" s="2" t="s">
        <v>83</v>
      </c>
      <c r="S428" s="2" t="s">
        <v>83</v>
      </c>
      <c r="T428" s="2" t="s">
        <v>83</v>
      </c>
      <c r="U428" s="2" t="s">
        <v>83</v>
      </c>
      <c r="V428" s="2" t="s">
        <v>83</v>
      </c>
      <c r="W428" s="2" t="s">
        <v>83</v>
      </c>
      <c r="X428" s="2" t="s">
        <v>83</v>
      </c>
      <c r="Y428" s="2" t="s">
        <v>83</v>
      </c>
      <c r="Z428" s="2" t="s">
        <v>83</v>
      </c>
      <c r="AA428" s="2" t="s">
        <v>83</v>
      </c>
      <c r="AB428" s="2" t="s">
        <v>83</v>
      </c>
      <c r="AC428" s="2" t="s">
        <v>83</v>
      </c>
      <c r="AD428" s="2" t="s">
        <v>83</v>
      </c>
      <c r="AE428" s="2" t="s">
        <v>83</v>
      </c>
      <c r="AF428" s="2" t="s">
        <v>83</v>
      </c>
      <c r="AG428" s="2" t="s">
        <v>83</v>
      </c>
      <c r="AH428" s="2" t="s">
        <v>83</v>
      </c>
      <c r="AI428" s="2" t="s">
        <v>83</v>
      </c>
      <c r="AJ428" s="2" t="s">
        <v>83</v>
      </c>
      <c r="AK428" s="2" t="s">
        <v>83</v>
      </c>
      <c r="AL428" s="2" t="s">
        <v>83</v>
      </c>
      <c r="AM428" s="2" t="s">
        <v>83</v>
      </c>
      <c r="AN428" s="2" t="s">
        <v>83</v>
      </c>
      <c r="AO428" s="2" t="s">
        <v>83</v>
      </c>
      <c r="AP428" s="2" t="s">
        <v>83</v>
      </c>
      <c r="AQ428" s="2" t="s">
        <v>83</v>
      </c>
      <c r="AR428" s="2" t="s">
        <v>83</v>
      </c>
      <c r="AS428" s="2" t="s">
        <v>83</v>
      </c>
      <c r="AT428" s="2" t="s">
        <v>83</v>
      </c>
      <c r="AU428" s="2" t="s">
        <v>83</v>
      </c>
      <c r="AV428" s="2" t="s">
        <v>83</v>
      </c>
      <c r="AW428" s="2" t="s">
        <v>83</v>
      </c>
      <c r="AX428" s="2" t="s">
        <v>83</v>
      </c>
      <c r="AY428" s="2" t="s">
        <v>83</v>
      </c>
      <c r="AZ428" s="2" t="s">
        <v>83</v>
      </c>
      <c r="BA428" s="2" t="s">
        <v>83</v>
      </c>
      <c r="BB428" s="2" t="s">
        <v>83</v>
      </c>
      <c r="BC428" s="2" t="s">
        <v>98</v>
      </c>
      <c r="BD428" s="2" t="s">
        <v>79</v>
      </c>
      <c r="BE428" s="2" t="s">
        <v>98</v>
      </c>
      <c r="BF428" s="2" t="s">
        <v>79</v>
      </c>
      <c r="BG428" s="2" t="s">
        <v>79</v>
      </c>
      <c r="BH428" s="2" t="s">
        <v>98</v>
      </c>
      <c r="BI428" s="2" t="s">
        <v>98</v>
      </c>
      <c r="BJ428" s="2" t="s">
        <v>98</v>
      </c>
      <c r="BK428" s="2" t="s">
        <v>98</v>
      </c>
      <c r="BL428" s="2" t="s">
        <v>98</v>
      </c>
      <c r="BM428" s="2" t="s">
        <v>98</v>
      </c>
      <c r="BN428" s="2" t="s">
        <v>98</v>
      </c>
      <c r="BO428" s="2" t="s">
        <v>98</v>
      </c>
      <c r="BP428" s="2" t="s">
        <v>98</v>
      </c>
      <c r="BQ428" s="2" t="s">
        <v>98</v>
      </c>
      <c r="BR428" s="2" t="s">
        <v>98</v>
      </c>
      <c r="BS428" s="2" t="s">
        <v>98</v>
      </c>
      <c r="BT428" s="2" t="s">
        <v>98</v>
      </c>
      <c r="BU428" s="2" t="s">
        <v>98</v>
      </c>
      <c r="BV428" s="2" t="s">
        <v>98</v>
      </c>
      <c r="BW428" s="2" t="s">
        <v>98</v>
      </c>
      <c r="BX428" s="2" t="s">
        <v>98</v>
      </c>
      <c r="BY428" s="2" t="s">
        <v>98</v>
      </c>
      <c r="BZ428" s="2" t="s">
        <v>98</v>
      </c>
      <c r="CA428" s="2" t="s">
        <v>98</v>
      </c>
      <c r="CB428" t="e">
        <f>TTEST(AS428:AW428,AI428:AM428,2,2)</f>
        <v>#DIV/0!</v>
      </c>
      <c r="CC428" t="e">
        <f>TTEST(AD428:AH428,AI428:AM428,2,2)</f>
        <v>#DIV/0!</v>
      </c>
      <c r="CD428" t="e">
        <f>TTEST(AN428:AR428,AI428:AM428,2,2)</f>
        <v>#DIV/0!</v>
      </c>
      <c r="CE428" t="e">
        <f>TTEST(AX428:BB428,AI428:AM428,2,2)</f>
        <v>#DIV/0!</v>
      </c>
      <c r="CF428">
        <v>404</v>
      </c>
      <c r="CG428">
        <v>418</v>
      </c>
      <c r="CH428">
        <v>422</v>
      </c>
      <c r="CI428">
        <v>425</v>
      </c>
      <c r="CJ428">
        <f>0.05*CF428/464</f>
        <v>4.3534482758620693E-2</v>
      </c>
      <c r="CK428">
        <f>0.05*CG428/464</f>
        <v>4.5043103448275869E-2</v>
      </c>
      <c r="CL428">
        <f>0.05*CH428/464</f>
        <v>4.5474137931034483E-2</v>
      </c>
      <c r="CM428">
        <f>0.05*CI428/464</f>
        <v>4.5797413793103446E-2</v>
      </c>
      <c r="CN428" t="e">
        <f>IF(CB428&lt;CJ428,"yes","no")</f>
        <v>#DIV/0!</v>
      </c>
      <c r="CO428" t="e">
        <f>IF(CC428&lt;CK428,"yes","no")</f>
        <v>#DIV/0!</v>
      </c>
      <c r="CP428" t="e">
        <f>IF(CD428&lt;CL428,"yes","no")</f>
        <v>#DIV/0!</v>
      </c>
      <c r="CQ428" t="e">
        <f>IF(CE428&lt;CM428,"yes","no")</f>
        <v>#DIV/0!</v>
      </c>
      <c r="CR428" t="e">
        <f>TTEST(AS428:AW428,AD428:AH428,2,2)</f>
        <v>#DIV/0!</v>
      </c>
      <c r="CS428" t="e">
        <f>TTEST(AS428:AW428,AN428:AR428,2,2)</f>
        <v>#DIV/0!</v>
      </c>
      <c r="CT428" t="e">
        <f>TTEST(AS428:AW428,AX428:BB428,2,2)</f>
        <v>#DIV/0!</v>
      </c>
      <c r="CU428">
        <v>422</v>
      </c>
      <c r="CV428">
        <v>425</v>
      </c>
      <c r="CW428">
        <v>427</v>
      </c>
      <c r="CX428">
        <f t="shared" si="18"/>
        <v>4.5474137931034483E-2</v>
      </c>
      <c r="CY428">
        <f t="shared" si="19"/>
        <v>4.5797413793103446E-2</v>
      </c>
      <c r="CZ428">
        <f t="shared" si="20"/>
        <v>4.6012931034482764E-2</v>
      </c>
      <c r="DA428" t="e">
        <f>IF(CR428&lt;CX428,"yes","no")</f>
        <v>#DIV/0!</v>
      </c>
      <c r="DB428" t="e">
        <f>IF(CS428&lt;CY428,"yes","no")</f>
        <v>#DIV/0!</v>
      </c>
      <c r="DC428" t="e">
        <f>IF(CT428&lt;CZ428,"yes","no")</f>
        <v>#DIV/0!</v>
      </c>
    </row>
    <row r="429" spans="1:107" x14ac:dyDescent="0.2">
      <c r="A429" s="2" t="b">
        <v>0</v>
      </c>
      <c r="B429" s="2" t="s">
        <v>79</v>
      </c>
      <c r="C429" s="2" t="s">
        <v>80</v>
      </c>
      <c r="D429" s="2" t="s">
        <v>1688</v>
      </c>
      <c r="E429" s="2" t="s">
        <v>1689</v>
      </c>
      <c r="F429" s="2">
        <v>1</v>
      </c>
      <c r="G429" s="2">
        <v>1</v>
      </c>
      <c r="H429" s="2">
        <v>68.7</v>
      </c>
      <c r="I429" s="2">
        <v>6.04</v>
      </c>
      <c r="J429" s="2" t="s">
        <v>1690</v>
      </c>
      <c r="K429" s="2" t="s">
        <v>607</v>
      </c>
      <c r="L429" s="2" t="s">
        <v>115</v>
      </c>
      <c r="M429" s="2" t="s">
        <v>83</v>
      </c>
      <c r="N429" s="2" t="s">
        <v>1691</v>
      </c>
      <c r="O429" s="2" t="s">
        <v>83</v>
      </c>
      <c r="P429" s="2" t="s">
        <v>83</v>
      </c>
      <c r="Q429" s="2" t="s">
        <v>83</v>
      </c>
      <c r="R429" s="2" t="s">
        <v>83</v>
      </c>
      <c r="S429" s="2" t="s">
        <v>83</v>
      </c>
      <c r="T429" s="2" t="s">
        <v>83</v>
      </c>
      <c r="U429" s="2" t="s">
        <v>83</v>
      </c>
      <c r="V429" s="2" t="s">
        <v>83</v>
      </c>
      <c r="W429" s="2" t="s">
        <v>83</v>
      </c>
      <c r="X429" s="2" t="s">
        <v>83</v>
      </c>
      <c r="Y429" s="2" t="s">
        <v>83</v>
      </c>
      <c r="Z429" s="2" t="s">
        <v>83</v>
      </c>
      <c r="AA429" s="2" t="s">
        <v>83</v>
      </c>
      <c r="AB429" s="2" t="s">
        <v>83</v>
      </c>
      <c r="AC429" s="2" t="s">
        <v>83</v>
      </c>
      <c r="AD429" s="2" t="s">
        <v>83</v>
      </c>
      <c r="AE429" s="2" t="s">
        <v>83</v>
      </c>
      <c r="AF429" s="2" t="s">
        <v>83</v>
      </c>
      <c r="AG429" s="2" t="s">
        <v>83</v>
      </c>
      <c r="AH429" s="2" t="s">
        <v>83</v>
      </c>
      <c r="AI429" s="2" t="s">
        <v>83</v>
      </c>
      <c r="AJ429" s="2" t="s">
        <v>83</v>
      </c>
      <c r="AK429" s="2" t="s">
        <v>83</v>
      </c>
      <c r="AL429" s="2" t="s">
        <v>83</v>
      </c>
      <c r="AM429" s="2" t="s">
        <v>83</v>
      </c>
      <c r="AN429" s="2" t="s">
        <v>83</v>
      </c>
      <c r="AO429" s="2" t="s">
        <v>83</v>
      </c>
      <c r="AP429" s="2" t="s">
        <v>83</v>
      </c>
      <c r="AQ429" s="2" t="s">
        <v>83</v>
      </c>
      <c r="AR429" s="2" t="s">
        <v>83</v>
      </c>
      <c r="AS429" s="2" t="s">
        <v>83</v>
      </c>
      <c r="AT429" s="2" t="s">
        <v>83</v>
      </c>
      <c r="AU429" s="2" t="s">
        <v>83</v>
      </c>
      <c r="AV429" s="2" t="s">
        <v>83</v>
      </c>
      <c r="AW429" s="2" t="s">
        <v>83</v>
      </c>
      <c r="AX429" s="2" t="s">
        <v>83</v>
      </c>
      <c r="AY429" s="2" t="s">
        <v>83</v>
      </c>
      <c r="AZ429" s="2" t="s">
        <v>83</v>
      </c>
      <c r="BA429" s="2" t="s">
        <v>83</v>
      </c>
      <c r="BB429" s="2" t="s">
        <v>83</v>
      </c>
      <c r="BC429" s="2" t="s">
        <v>79</v>
      </c>
      <c r="BD429" s="2" t="s">
        <v>98</v>
      </c>
      <c r="BE429" s="2" t="s">
        <v>98</v>
      </c>
      <c r="BF429" s="2" t="s">
        <v>79</v>
      </c>
      <c r="BG429" s="2" t="s">
        <v>98</v>
      </c>
      <c r="BH429" s="2" t="s">
        <v>98</v>
      </c>
      <c r="BI429" s="2" t="s">
        <v>98</v>
      </c>
      <c r="BJ429" s="2" t="s">
        <v>98</v>
      </c>
      <c r="BK429" s="2" t="s">
        <v>98</v>
      </c>
      <c r="BL429" s="2" t="s">
        <v>98</v>
      </c>
      <c r="BM429" s="2" t="s">
        <v>79</v>
      </c>
      <c r="BN429" s="2" t="s">
        <v>98</v>
      </c>
      <c r="BO429" s="2" t="s">
        <v>79</v>
      </c>
      <c r="BP429" s="2" t="s">
        <v>98</v>
      </c>
      <c r="BQ429" s="2" t="s">
        <v>79</v>
      </c>
      <c r="BR429" s="2" t="s">
        <v>98</v>
      </c>
      <c r="BS429" s="2" t="s">
        <v>98</v>
      </c>
      <c r="BT429" s="2" t="s">
        <v>98</v>
      </c>
      <c r="BU429" s="2" t="s">
        <v>79</v>
      </c>
      <c r="BV429" s="2" t="s">
        <v>98</v>
      </c>
      <c r="BW429" s="2" t="s">
        <v>98</v>
      </c>
      <c r="BX429" s="2" t="s">
        <v>98</v>
      </c>
      <c r="BY429" s="2" t="s">
        <v>98</v>
      </c>
      <c r="BZ429" s="2" t="s">
        <v>98</v>
      </c>
      <c r="CA429" s="2" t="s">
        <v>98</v>
      </c>
      <c r="CB429" t="e">
        <f>TTEST(AS429:AW429,AI429:AM429,2,2)</f>
        <v>#DIV/0!</v>
      </c>
      <c r="CC429" t="e">
        <f>TTEST(AD429:AH429,AI429:AM429,2,2)</f>
        <v>#DIV/0!</v>
      </c>
      <c r="CD429" t="e">
        <f>TTEST(AN429:AR429,AI429:AM429,2,2)</f>
        <v>#DIV/0!</v>
      </c>
      <c r="CE429" t="e">
        <f>TTEST(AX429:BB429,AI429:AM429,2,2)</f>
        <v>#DIV/0!</v>
      </c>
      <c r="CF429">
        <v>405</v>
      </c>
      <c r="CG429">
        <v>419</v>
      </c>
      <c r="CH429">
        <v>423</v>
      </c>
      <c r="CI429">
        <v>426</v>
      </c>
      <c r="CJ429">
        <f>0.05*CF429/464</f>
        <v>4.3642241379310345E-2</v>
      </c>
      <c r="CK429">
        <f>0.05*CG429/464</f>
        <v>4.5150862068965521E-2</v>
      </c>
      <c r="CL429">
        <f>0.05*CH429/464</f>
        <v>4.5581896551724142E-2</v>
      </c>
      <c r="CM429">
        <f>0.05*CI429/464</f>
        <v>4.5905172413793105E-2</v>
      </c>
      <c r="CN429" t="e">
        <f>IF(CB429&lt;CJ429,"yes","no")</f>
        <v>#DIV/0!</v>
      </c>
      <c r="CO429" t="e">
        <f>IF(CC429&lt;CK429,"yes","no")</f>
        <v>#DIV/0!</v>
      </c>
      <c r="CP429" t="e">
        <f>IF(CD429&lt;CL429,"yes","no")</f>
        <v>#DIV/0!</v>
      </c>
      <c r="CQ429" t="e">
        <f>IF(CE429&lt;CM429,"yes","no")</f>
        <v>#DIV/0!</v>
      </c>
      <c r="CR429" t="e">
        <f>TTEST(AS429:AW429,AD429:AH429,2,2)</f>
        <v>#DIV/0!</v>
      </c>
      <c r="CS429" t="e">
        <f>TTEST(AS429:AW429,AN429:AR429,2,2)</f>
        <v>#DIV/0!</v>
      </c>
      <c r="CT429" t="e">
        <f>TTEST(AS429:AW429,AX429:BB429,2,2)</f>
        <v>#DIV/0!</v>
      </c>
      <c r="CU429">
        <v>423</v>
      </c>
      <c r="CV429">
        <v>426</v>
      </c>
      <c r="CW429">
        <v>428</v>
      </c>
      <c r="CX429">
        <f t="shared" si="18"/>
        <v>4.5581896551724142E-2</v>
      </c>
      <c r="CY429">
        <f t="shared" si="19"/>
        <v>4.5905172413793105E-2</v>
      </c>
      <c r="CZ429">
        <f t="shared" si="20"/>
        <v>4.6120689655172416E-2</v>
      </c>
      <c r="DA429" t="e">
        <f>IF(CR429&lt;CX429,"yes","no")</f>
        <v>#DIV/0!</v>
      </c>
      <c r="DB429" t="e">
        <f>IF(CS429&lt;CY429,"yes","no")</f>
        <v>#DIV/0!</v>
      </c>
      <c r="DC429" t="e">
        <f>IF(CT429&lt;CZ429,"yes","no")</f>
        <v>#DIV/0!</v>
      </c>
    </row>
    <row r="430" spans="1:107" x14ac:dyDescent="0.2">
      <c r="A430" s="2" t="b">
        <v>0</v>
      </c>
      <c r="B430" s="2" t="s">
        <v>79</v>
      </c>
      <c r="C430" s="2" t="s">
        <v>80</v>
      </c>
      <c r="D430" s="2" t="s">
        <v>1696</v>
      </c>
      <c r="E430" s="2" t="s">
        <v>1697</v>
      </c>
      <c r="F430" s="2">
        <v>1</v>
      </c>
      <c r="G430" s="2">
        <v>1</v>
      </c>
      <c r="H430" s="2">
        <v>151.19999999999999</v>
      </c>
      <c r="I430" s="2">
        <v>5.57</v>
      </c>
      <c r="J430" s="2" t="s">
        <v>1698</v>
      </c>
      <c r="K430" s="2" t="s">
        <v>1699</v>
      </c>
      <c r="L430" s="2" t="s">
        <v>119</v>
      </c>
      <c r="M430" s="2" t="s">
        <v>1700</v>
      </c>
      <c r="N430" s="2" t="s">
        <v>1696</v>
      </c>
      <c r="O430" s="2" t="s">
        <v>83</v>
      </c>
      <c r="P430" s="2" t="s">
        <v>83</v>
      </c>
      <c r="Q430" s="2" t="s">
        <v>83</v>
      </c>
      <c r="R430" s="2" t="s">
        <v>83</v>
      </c>
      <c r="S430" s="2" t="s">
        <v>83</v>
      </c>
      <c r="T430" s="2" t="s">
        <v>83</v>
      </c>
      <c r="U430" s="2" t="s">
        <v>83</v>
      </c>
      <c r="V430" s="2" t="s">
        <v>83</v>
      </c>
      <c r="W430" s="2" t="s">
        <v>83</v>
      </c>
      <c r="X430" s="2" t="s">
        <v>83</v>
      </c>
      <c r="Y430" s="2" t="s">
        <v>83</v>
      </c>
      <c r="Z430" s="2" t="s">
        <v>83</v>
      </c>
      <c r="AA430" s="2" t="s">
        <v>83</v>
      </c>
      <c r="AB430" s="2" t="s">
        <v>83</v>
      </c>
      <c r="AC430" s="2" t="s">
        <v>83</v>
      </c>
      <c r="AD430" s="2" t="s">
        <v>83</v>
      </c>
      <c r="AE430" s="2" t="s">
        <v>83</v>
      </c>
      <c r="AF430" s="2" t="s">
        <v>83</v>
      </c>
      <c r="AG430" s="2" t="s">
        <v>83</v>
      </c>
      <c r="AH430" s="2" t="s">
        <v>83</v>
      </c>
      <c r="AI430" s="2" t="s">
        <v>83</v>
      </c>
      <c r="AJ430" s="2" t="s">
        <v>83</v>
      </c>
      <c r="AK430" s="2" t="s">
        <v>83</v>
      </c>
      <c r="AL430" s="2" t="s">
        <v>83</v>
      </c>
      <c r="AM430" s="2" t="s">
        <v>83</v>
      </c>
      <c r="AN430" s="2" t="s">
        <v>83</v>
      </c>
      <c r="AO430" s="2" t="s">
        <v>83</v>
      </c>
      <c r="AP430" s="2" t="s">
        <v>83</v>
      </c>
      <c r="AQ430" s="2" t="s">
        <v>83</v>
      </c>
      <c r="AR430" s="2" t="s">
        <v>83</v>
      </c>
      <c r="AS430" s="2" t="s">
        <v>83</v>
      </c>
      <c r="AT430" s="2" t="s">
        <v>83</v>
      </c>
      <c r="AU430" s="2" t="s">
        <v>83</v>
      </c>
      <c r="AV430" s="2" t="s">
        <v>83</v>
      </c>
      <c r="AW430" s="2" t="s">
        <v>83</v>
      </c>
      <c r="AX430" s="2" t="s">
        <v>83</v>
      </c>
      <c r="AY430" s="2" t="s">
        <v>83</v>
      </c>
      <c r="AZ430" s="2" t="s">
        <v>83</v>
      </c>
      <c r="BA430" s="2" t="s">
        <v>83</v>
      </c>
      <c r="BB430" s="2" t="s">
        <v>83</v>
      </c>
      <c r="BC430" s="2" t="s">
        <v>98</v>
      </c>
      <c r="BD430" s="2" t="s">
        <v>79</v>
      </c>
      <c r="BE430" s="2" t="s">
        <v>79</v>
      </c>
      <c r="BF430" s="2" t="s">
        <v>98</v>
      </c>
      <c r="BG430" s="2" t="s">
        <v>98</v>
      </c>
      <c r="BH430" s="2" t="s">
        <v>98</v>
      </c>
      <c r="BI430" s="2" t="s">
        <v>98</v>
      </c>
      <c r="BJ430" s="2" t="s">
        <v>98</v>
      </c>
      <c r="BK430" s="2" t="s">
        <v>98</v>
      </c>
      <c r="BL430" s="2" t="s">
        <v>98</v>
      </c>
      <c r="BM430" s="2" t="s">
        <v>98</v>
      </c>
      <c r="BN430" s="2" t="s">
        <v>98</v>
      </c>
      <c r="BO430" s="2" t="s">
        <v>98</v>
      </c>
      <c r="BP430" s="2" t="s">
        <v>98</v>
      </c>
      <c r="BQ430" s="2" t="s">
        <v>98</v>
      </c>
      <c r="BR430" s="2" t="s">
        <v>98</v>
      </c>
      <c r="BS430" s="2" t="s">
        <v>98</v>
      </c>
      <c r="BT430" s="2" t="s">
        <v>98</v>
      </c>
      <c r="BU430" s="2" t="s">
        <v>98</v>
      </c>
      <c r="BV430" s="2" t="s">
        <v>98</v>
      </c>
      <c r="BW430" s="2" t="s">
        <v>98</v>
      </c>
      <c r="BX430" s="2" t="s">
        <v>98</v>
      </c>
      <c r="BY430" s="2" t="s">
        <v>98</v>
      </c>
      <c r="BZ430" s="2" t="s">
        <v>98</v>
      </c>
      <c r="CA430" s="2" t="s">
        <v>98</v>
      </c>
      <c r="CB430" t="e">
        <f>TTEST(AS430:AW430,AI430:AM430,2,2)</f>
        <v>#DIV/0!</v>
      </c>
      <c r="CC430" t="e">
        <f>TTEST(AD430:AH430,AI430:AM430,2,2)</f>
        <v>#DIV/0!</v>
      </c>
      <c r="CD430" t="e">
        <f>TTEST(AN430:AR430,AI430:AM430,2,2)</f>
        <v>#DIV/0!</v>
      </c>
      <c r="CE430" t="e">
        <f>TTEST(AX430:BB430,AI430:AM430,2,2)</f>
        <v>#DIV/0!</v>
      </c>
      <c r="CF430">
        <v>406</v>
      </c>
      <c r="CG430">
        <v>420</v>
      </c>
      <c r="CH430">
        <v>424</v>
      </c>
      <c r="CI430">
        <v>427</v>
      </c>
      <c r="CJ430">
        <f>0.05*CF430/464</f>
        <v>4.3750000000000004E-2</v>
      </c>
      <c r="CK430">
        <f>0.05*CG430/464</f>
        <v>4.5258620689655173E-2</v>
      </c>
      <c r="CL430">
        <f>0.05*CH430/464</f>
        <v>4.5689655172413801E-2</v>
      </c>
      <c r="CM430">
        <f>0.05*CI430/464</f>
        <v>4.6012931034482764E-2</v>
      </c>
      <c r="CN430" t="e">
        <f>IF(CB430&lt;CJ430,"yes","no")</f>
        <v>#DIV/0!</v>
      </c>
      <c r="CO430" t="e">
        <f>IF(CC430&lt;CK430,"yes","no")</f>
        <v>#DIV/0!</v>
      </c>
      <c r="CP430" t="e">
        <f>IF(CD430&lt;CL430,"yes","no")</f>
        <v>#DIV/0!</v>
      </c>
      <c r="CQ430" t="e">
        <f>IF(CE430&lt;CM430,"yes","no")</f>
        <v>#DIV/0!</v>
      </c>
      <c r="CR430" t="e">
        <f>TTEST(AS430:AW430,AD430:AH430,2,2)</f>
        <v>#DIV/0!</v>
      </c>
      <c r="CS430" t="e">
        <f>TTEST(AS430:AW430,AN430:AR430,2,2)</f>
        <v>#DIV/0!</v>
      </c>
      <c r="CT430" t="e">
        <f>TTEST(AS430:AW430,AX430:BB430,2,2)</f>
        <v>#DIV/0!</v>
      </c>
      <c r="CU430">
        <v>424</v>
      </c>
      <c r="CV430">
        <v>427</v>
      </c>
      <c r="CW430">
        <v>429</v>
      </c>
      <c r="CX430">
        <f t="shared" si="18"/>
        <v>4.5689655172413801E-2</v>
      </c>
      <c r="CY430">
        <f t="shared" si="19"/>
        <v>4.6012931034482764E-2</v>
      </c>
      <c r="CZ430">
        <f t="shared" si="20"/>
        <v>4.6228448275862075E-2</v>
      </c>
      <c r="DA430" t="e">
        <f>IF(CR430&lt;CX430,"yes","no")</f>
        <v>#DIV/0!</v>
      </c>
      <c r="DB430" t="e">
        <f>IF(CS430&lt;CY430,"yes","no")</f>
        <v>#DIV/0!</v>
      </c>
      <c r="DC430" t="e">
        <f>IF(CT430&lt;CZ430,"yes","no")</f>
        <v>#DIV/0!</v>
      </c>
    </row>
    <row r="431" spans="1:107" x14ac:dyDescent="0.2">
      <c r="A431" s="2" t="b">
        <v>0</v>
      </c>
      <c r="B431" s="2" t="s">
        <v>79</v>
      </c>
      <c r="C431" s="2" t="s">
        <v>80</v>
      </c>
      <c r="D431" s="2" t="s">
        <v>468</v>
      </c>
      <c r="E431" s="2" t="s">
        <v>469</v>
      </c>
      <c r="F431" s="2">
        <v>6</v>
      </c>
      <c r="G431" s="2">
        <v>6</v>
      </c>
      <c r="H431" s="2">
        <v>61.5</v>
      </c>
      <c r="I431" s="2">
        <v>4.42</v>
      </c>
      <c r="J431" s="2" t="s">
        <v>83</v>
      </c>
      <c r="K431" s="2" t="s">
        <v>84</v>
      </c>
      <c r="L431" s="2" t="s">
        <v>85</v>
      </c>
      <c r="M431" s="2" t="s">
        <v>470</v>
      </c>
      <c r="N431" s="2" t="s">
        <v>468</v>
      </c>
      <c r="O431" s="2">
        <v>0.54100000000000004</v>
      </c>
      <c r="P431" s="2">
        <v>0.218</v>
      </c>
      <c r="Q431" s="2">
        <v>0.01</v>
      </c>
      <c r="R431" s="2">
        <v>100</v>
      </c>
      <c r="S431" s="2">
        <v>100</v>
      </c>
      <c r="T431" s="2">
        <v>100</v>
      </c>
      <c r="U431" s="2" t="s">
        <v>83</v>
      </c>
      <c r="V431" s="2">
        <v>0.51800000000000002</v>
      </c>
      <c r="W431" s="2">
        <v>0.01</v>
      </c>
      <c r="X431" s="2">
        <v>0.01</v>
      </c>
      <c r="Y431" s="2">
        <v>405.3</v>
      </c>
      <c r="Z431" s="2" t="s">
        <v>83</v>
      </c>
      <c r="AA431" s="2">
        <v>50.2</v>
      </c>
      <c r="AB431" s="2">
        <v>44.5</v>
      </c>
      <c r="AC431" s="2" t="s">
        <v>83</v>
      </c>
      <c r="AD431" s="2">
        <v>4472428.74609375</v>
      </c>
      <c r="AE431" s="2">
        <v>3198464.0625</v>
      </c>
      <c r="AF431" s="2">
        <v>3286161.7578125</v>
      </c>
      <c r="AG431" s="2">
        <v>3860740.671875</v>
      </c>
      <c r="AH431" s="2">
        <v>2609967.5234375</v>
      </c>
      <c r="AI431" s="2" t="s">
        <v>83</v>
      </c>
      <c r="AJ431" s="2" t="s">
        <v>83</v>
      </c>
      <c r="AK431" s="2" t="s">
        <v>83</v>
      </c>
      <c r="AL431" s="2" t="s">
        <v>83</v>
      </c>
      <c r="AM431" s="2" t="s">
        <v>83</v>
      </c>
      <c r="AN431" s="2">
        <v>5674.39990234375</v>
      </c>
      <c r="AO431" s="2">
        <v>7928.74560546875</v>
      </c>
      <c r="AP431" s="2">
        <v>3095.3603515625</v>
      </c>
      <c r="AQ431" s="2" t="s">
        <v>83</v>
      </c>
      <c r="AR431" s="2">
        <v>13886.271484375</v>
      </c>
      <c r="AS431" s="2" t="s">
        <v>83</v>
      </c>
      <c r="AT431" s="2">
        <v>82285.6318359375</v>
      </c>
      <c r="AU431" s="2" t="s">
        <v>83</v>
      </c>
      <c r="AV431" s="2" t="s">
        <v>83</v>
      </c>
      <c r="AW431" s="2" t="s">
        <v>83</v>
      </c>
      <c r="AX431" s="2" t="s">
        <v>83</v>
      </c>
      <c r="AY431" s="2" t="s">
        <v>83</v>
      </c>
      <c r="AZ431" s="2" t="s">
        <v>83</v>
      </c>
      <c r="BA431" s="2" t="s">
        <v>83</v>
      </c>
      <c r="BB431" s="2" t="s">
        <v>83</v>
      </c>
      <c r="BC431" s="2" t="s">
        <v>79</v>
      </c>
      <c r="BD431" s="2" t="s">
        <v>79</v>
      </c>
      <c r="BE431" s="2" t="s">
        <v>79</v>
      </c>
      <c r="BF431" s="2" t="s">
        <v>79</v>
      </c>
      <c r="BG431" s="2" t="s">
        <v>79</v>
      </c>
      <c r="BH431" s="2" t="s">
        <v>98</v>
      </c>
      <c r="BI431" s="2" t="s">
        <v>98</v>
      </c>
      <c r="BJ431" s="2" t="s">
        <v>98</v>
      </c>
      <c r="BK431" s="2" t="s">
        <v>98</v>
      </c>
      <c r="BL431" s="2" t="s">
        <v>98</v>
      </c>
      <c r="BM431" s="2" t="s">
        <v>91</v>
      </c>
      <c r="BN431" s="2" t="s">
        <v>91</v>
      </c>
      <c r="BO431" s="2" t="s">
        <v>91</v>
      </c>
      <c r="BP431" s="2" t="s">
        <v>98</v>
      </c>
      <c r="BQ431" s="2" t="s">
        <v>91</v>
      </c>
      <c r="BR431" s="2" t="s">
        <v>98</v>
      </c>
      <c r="BS431" s="2" t="s">
        <v>91</v>
      </c>
      <c r="BT431" s="2" t="s">
        <v>98</v>
      </c>
      <c r="BU431" s="2" t="s">
        <v>98</v>
      </c>
      <c r="BV431" s="2" t="s">
        <v>98</v>
      </c>
      <c r="BW431" s="2" t="s">
        <v>98</v>
      </c>
      <c r="BX431" s="2" t="s">
        <v>98</v>
      </c>
      <c r="BY431" s="2" t="s">
        <v>98</v>
      </c>
      <c r="BZ431" s="2" t="s">
        <v>98</v>
      </c>
      <c r="CA431" s="2" t="s">
        <v>98</v>
      </c>
      <c r="CB431" t="e">
        <f>TTEST(AS431:AW431,AI431:AM431,2,2)</f>
        <v>#DIV/0!</v>
      </c>
      <c r="CC431" t="e">
        <f>TTEST(AD431:AH431,AI431:AM431,2,2)</f>
        <v>#DIV/0!</v>
      </c>
      <c r="CD431" t="e">
        <f>TTEST(AN431:AR431,AI431:AM431,2,2)</f>
        <v>#DIV/0!</v>
      </c>
      <c r="CE431" t="e">
        <f>TTEST(AX431:BB431,AI431:AM431,2,2)</f>
        <v>#DIV/0!</v>
      </c>
      <c r="CF431">
        <v>407</v>
      </c>
      <c r="CG431">
        <v>421</v>
      </c>
      <c r="CH431">
        <v>425</v>
      </c>
      <c r="CI431">
        <v>428</v>
      </c>
      <c r="CJ431">
        <f>0.05*CF431/464</f>
        <v>4.3857758620689656E-2</v>
      </c>
      <c r="CK431">
        <f>0.05*CG431/464</f>
        <v>4.5366379310344832E-2</v>
      </c>
      <c r="CL431">
        <f>0.05*CH431/464</f>
        <v>4.5797413793103446E-2</v>
      </c>
      <c r="CM431">
        <f>0.05*CI431/464</f>
        <v>4.6120689655172416E-2</v>
      </c>
      <c r="CN431" t="e">
        <f>IF(CB431&lt;CJ431,"yes","no")</f>
        <v>#DIV/0!</v>
      </c>
      <c r="CO431" t="e">
        <f>IF(CC431&lt;CK431,"yes","no")</f>
        <v>#DIV/0!</v>
      </c>
      <c r="CP431" t="e">
        <f>IF(CD431&lt;CL431,"yes","no")</f>
        <v>#DIV/0!</v>
      </c>
      <c r="CQ431" t="e">
        <f>IF(CE431&lt;CM431,"yes","no")</f>
        <v>#DIV/0!</v>
      </c>
      <c r="CR431" t="e">
        <f>TTEST(AS431:AW431,AD431:AH431,2,2)</f>
        <v>#DIV/0!</v>
      </c>
      <c r="CS431" t="e">
        <f>TTEST(AS431:AW431,AN431:AR431,2,2)</f>
        <v>#DIV/0!</v>
      </c>
      <c r="CT431" t="e">
        <f>TTEST(AS431:AW431,AX431:BB431,2,2)</f>
        <v>#DIV/0!</v>
      </c>
      <c r="CU431">
        <v>425</v>
      </c>
      <c r="CV431">
        <v>428</v>
      </c>
      <c r="CW431">
        <v>430</v>
      </c>
      <c r="CX431">
        <f t="shared" si="18"/>
        <v>4.5797413793103446E-2</v>
      </c>
      <c r="CY431">
        <f t="shared" si="19"/>
        <v>4.6120689655172416E-2</v>
      </c>
      <c r="CZ431">
        <f t="shared" si="20"/>
        <v>4.6336206896551727E-2</v>
      </c>
      <c r="DA431" t="e">
        <f>IF(CR431&lt;CX431,"yes","no")</f>
        <v>#DIV/0!</v>
      </c>
      <c r="DB431" t="e">
        <f>IF(CS431&lt;CY431,"yes","no")</f>
        <v>#DIV/0!</v>
      </c>
      <c r="DC431" t="e">
        <f>IF(CT431&lt;CZ431,"yes","no")</f>
        <v>#DIV/0!</v>
      </c>
    </row>
    <row r="432" spans="1:107" x14ac:dyDescent="0.2">
      <c r="A432" s="2" t="b">
        <v>0</v>
      </c>
      <c r="B432" s="2" t="s">
        <v>79</v>
      </c>
      <c r="C432" s="2" t="s">
        <v>80</v>
      </c>
      <c r="D432" s="2" t="s">
        <v>707</v>
      </c>
      <c r="E432" s="2" t="s">
        <v>708</v>
      </c>
      <c r="F432" s="2">
        <v>4</v>
      </c>
      <c r="G432" s="2">
        <v>4</v>
      </c>
      <c r="H432" s="2">
        <v>70.3</v>
      </c>
      <c r="I432" s="2">
        <v>6.71</v>
      </c>
      <c r="J432" s="2" t="s">
        <v>709</v>
      </c>
      <c r="K432" s="2" t="s">
        <v>391</v>
      </c>
      <c r="L432" s="2" t="s">
        <v>218</v>
      </c>
      <c r="M432" s="2" t="s">
        <v>710</v>
      </c>
      <c r="N432" s="2" t="s">
        <v>711</v>
      </c>
      <c r="O432" s="2">
        <v>1.617</v>
      </c>
      <c r="P432" s="2">
        <v>0.218</v>
      </c>
      <c r="Q432" s="2">
        <v>1.337</v>
      </c>
      <c r="R432" s="2">
        <v>100</v>
      </c>
      <c r="S432" s="2">
        <v>100</v>
      </c>
      <c r="T432" s="2">
        <v>100</v>
      </c>
      <c r="U432" s="2">
        <v>100</v>
      </c>
      <c r="V432" s="2" t="s">
        <v>83</v>
      </c>
      <c r="W432" s="2">
        <v>0.67800000000000005</v>
      </c>
      <c r="X432" s="2">
        <v>8.2010000000000005</v>
      </c>
      <c r="Y432" s="2">
        <v>145.80000000000001</v>
      </c>
      <c r="Z432" s="2" t="s">
        <v>83</v>
      </c>
      <c r="AA432" s="2">
        <v>147.30000000000001</v>
      </c>
      <c r="AB432" s="2">
        <v>9.6999999999999993</v>
      </c>
      <c r="AC432" s="2">
        <v>197.1</v>
      </c>
      <c r="AD432" s="2">
        <v>1822389.84375</v>
      </c>
      <c r="AE432" s="2">
        <v>1244835.625</v>
      </c>
      <c r="AF432" s="2">
        <v>1185838.21875</v>
      </c>
      <c r="AG432" s="2">
        <v>1336094.53125</v>
      </c>
      <c r="AH432" s="2">
        <v>1190000.28125</v>
      </c>
      <c r="AI432" s="2" t="s">
        <v>83</v>
      </c>
      <c r="AJ432" s="2" t="s">
        <v>83</v>
      </c>
      <c r="AK432" s="2" t="s">
        <v>83</v>
      </c>
      <c r="AL432" s="2" t="s">
        <v>83</v>
      </c>
      <c r="AM432" s="2" t="s">
        <v>83</v>
      </c>
      <c r="AN432" s="2">
        <v>22935.23046875</v>
      </c>
      <c r="AO432" s="2">
        <v>25249.652832031301</v>
      </c>
      <c r="AP432" s="2">
        <v>21226.078125</v>
      </c>
      <c r="AQ432" s="2">
        <v>29967.22265625</v>
      </c>
      <c r="AR432" s="2">
        <v>32468.892578125</v>
      </c>
      <c r="AS432" s="2" t="s">
        <v>83</v>
      </c>
      <c r="AT432" s="2">
        <v>19479.8671875</v>
      </c>
      <c r="AU432" s="2" t="s">
        <v>83</v>
      </c>
      <c r="AV432" s="2" t="s">
        <v>83</v>
      </c>
      <c r="AW432" s="2" t="s">
        <v>83</v>
      </c>
      <c r="AX432" s="2">
        <v>91883.1796875</v>
      </c>
      <c r="AY432" s="2">
        <v>48223.48828125</v>
      </c>
      <c r="AZ432" s="2">
        <v>118168.12890625</v>
      </c>
      <c r="BA432" s="2">
        <v>91287.2265625</v>
      </c>
      <c r="BB432" s="2">
        <v>43508.685546875</v>
      </c>
      <c r="BC432" s="2" t="s">
        <v>79</v>
      </c>
      <c r="BD432" s="2" t="s">
        <v>79</v>
      </c>
      <c r="BE432" s="2" t="s">
        <v>79</v>
      </c>
      <c r="BF432" s="2" t="s">
        <v>79</v>
      </c>
      <c r="BG432" s="2" t="s">
        <v>79</v>
      </c>
      <c r="BH432" s="2" t="s">
        <v>98</v>
      </c>
      <c r="BI432" s="2" t="s">
        <v>98</v>
      </c>
      <c r="BJ432" s="2" t="s">
        <v>98</v>
      </c>
      <c r="BK432" s="2" t="s">
        <v>98</v>
      </c>
      <c r="BL432" s="2" t="s">
        <v>98</v>
      </c>
      <c r="BM432" s="2" t="s">
        <v>91</v>
      </c>
      <c r="BN432" s="2" t="s">
        <v>91</v>
      </c>
      <c r="BO432" s="2" t="s">
        <v>91</v>
      </c>
      <c r="BP432" s="2" t="s">
        <v>91</v>
      </c>
      <c r="BQ432" s="2" t="s">
        <v>91</v>
      </c>
      <c r="BR432" s="2" t="s">
        <v>98</v>
      </c>
      <c r="BS432" s="2" t="s">
        <v>91</v>
      </c>
      <c r="BT432" s="2" t="s">
        <v>98</v>
      </c>
      <c r="BU432" s="2" t="s">
        <v>98</v>
      </c>
      <c r="BV432" s="2" t="s">
        <v>98</v>
      </c>
      <c r="BW432" s="2" t="s">
        <v>91</v>
      </c>
      <c r="BX432" s="2" t="s">
        <v>91</v>
      </c>
      <c r="BY432" s="2" t="s">
        <v>91</v>
      </c>
      <c r="BZ432" s="2" t="s">
        <v>91</v>
      </c>
      <c r="CA432" s="2" t="s">
        <v>91</v>
      </c>
      <c r="CB432" t="e">
        <f>TTEST(AS432:AW432,AI432:AM432,2,2)</f>
        <v>#DIV/0!</v>
      </c>
      <c r="CC432" t="e">
        <f>TTEST(AD432:AH432,AI432:AM432,2,2)</f>
        <v>#DIV/0!</v>
      </c>
      <c r="CD432" t="e">
        <f>TTEST(AN432:AR432,AI432:AM432,2,2)</f>
        <v>#DIV/0!</v>
      </c>
      <c r="CE432" t="e">
        <f>TTEST(AX432:BB432,AI432:AM432,2,2)</f>
        <v>#DIV/0!</v>
      </c>
      <c r="CF432">
        <v>408</v>
      </c>
      <c r="CG432">
        <v>422</v>
      </c>
      <c r="CH432">
        <v>426</v>
      </c>
      <c r="CI432">
        <v>429</v>
      </c>
      <c r="CJ432">
        <f>0.05*CF432/464</f>
        <v>4.3965517241379315E-2</v>
      </c>
      <c r="CK432">
        <f>0.05*CG432/464</f>
        <v>4.5474137931034483E-2</v>
      </c>
      <c r="CL432">
        <f>0.05*CH432/464</f>
        <v>4.5905172413793105E-2</v>
      </c>
      <c r="CM432">
        <f>0.05*CI432/464</f>
        <v>4.6228448275862075E-2</v>
      </c>
      <c r="CN432" t="e">
        <f>IF(CB432&lt;CJ432,"yes","no")</f>
        <v>#DIV/0!</v>
      </c>
      <c r="CO432" t="e">
        <f>IF(CC432&lt;CK432,"yes","no")</f>
        <v>#DIV/0!</v>
      </c>
      <c r="CP432" t="e">
        <f>IF(CD432&lt;CL432,"yes","no")</f>
        <v>#DIV/0!</v>
      </c>
      <c r="CQ432" t="e">
        <f>IF(CE432&lt;CM432,"yes","no")</f>
        <v>#DIV/0!</v>
      </c>
      <c r="CR432" t="e">
        <f>TTEST(AS432:AW432,AD432:AH432,2,2)</f>
        <v>#DIV/0!</v>
      </c>
      <c r="CS432" t="e">
        <f>TTEST(AS432:AW432,AN432:AR432,2,2)</f>
        <v>#DIV/0!</v>
      </c>
      <c r="CT432" t="e">
        <f>TTEST(AS432:AW432,AX432:BB432,2,2)</f>
        <v>#DIV/0!</v>
      </c>
      <c r="CU432">
        <v>426</v>
      </c>
      <c r="CV432">
        <v>429</v>
      </c>
      <c r="CW432">
        <v>431</v>
      </c>
      <c r="CX432">
        <f t="shared" si="18"/>
        <v>4.5905172413793105E-2</v>
      </c>
      <c r="CY432">
        <f t="shared" si="19"/>
        <v>4.6228448275862075E-2</v>
      </c>
      <c r="CZ432">
        <f t="shared" si="20"/>
        <v>4.6443965517241378E-2</v>
      </c>
      <c r="DA432" t="e">
        <f>IF(CR432&lt;CX432,"yes","no")</f>
        <v>#DIV/0!</v>
      </c>
      <c r="DB432" t="e">
        <f>IF(CS432&lt;CY432,"yes","no")</f>
        <v>#DIV/0!</v>
      </c>
      <c r="DC432" t="e">
        <f>IF(CT432&lt;CZ432,"yes","no")</f>
        <v>#DIV/0!</v>
      </c>
    </row>
    <row r="433" spans="1:107" x14ac:dyDescent="0.2">
      <c r="A433" s="2" t="b">
        <v>0</v>
      </c>
      <c r="B433" s="2" t="s">
        <v>79</v>
      </c>
      <c r="C433" s="2" t="s">
        <v>80</v>
      </c>
      <c r="D433" s="2" t="s">
        <v>1019</v>
      </c>
      <c r="E433" s="2" t="s">
        <v>1020</v>
      </c>
      <c r="F433" s="2">
        <v>2</v>
      </c>
      <c r="G433" s="2">
        <v>2</v>
      </c>
      <c r="H433" s="2">
        <v>63.2</v>
      </c>
      <c r="I433" s="2">
        <v>7.43</v>
      </c>
      <c r="J433" s="2" t="s">
        <v>481</v>
      </c>
      <c r="K433" s="2" t="s">
        <v>95</v>
      </c>
      <c r="L433" s="2" t="s">
        <v>102</v>
      </c>
      <c r="M433" s="2" t="s">
        <v>1021</v>
      </c>
      <c r="N433" s="2" t="s">
        <v>1019</v>
      </c>
      <c r="O433" s="2">
        <v>1.8089999999999999</v>
      </c>
      <c r="P433" s="2">
        <v>0.33200000000000002</v>
      </c>
      <c r="Q433" s="2">
        <v>0.70799999999999996</v>
      </c>
      <c r="R433" s="2">
        <v>100</v>
      </c>
      <c r="S433" s="2">
        <v>100</v>
      </c>
      <c r="T433" s="2">
        <v>100</v>
      </c>
      <c r="U433" s="2">
        <v>100</v>
      </c>
      <c r="V433" s="2">
        <v>0.22500000000000001</v>
      </c>
      <c r="W433" s="2">
        <v>0.47899999999999998</v>
      </c>
      <c r="X433" s="2">
        <v>2.13</v>
      </c>
      <c r="Y433" s="2">
        <v>148.80000000000001</v>
      </c>
      <c r="Z433" s="2" t="s">
        <v>83</v>
      </c>
      <c r="AA433" s="2">
        <v>260.10000000000002</v>
      </c>
      <c r="AB433" s="2">
        <v>29.1</v>
      </c>
      <c r="AC433" s="2">
        <v>62</v>
      </c>
      <c r="AD433" s="2">
        <v>314272.015625</v>
      </c>
      <c r="AE433" s="2">
        <v>233407.5625</v>
      </c>
      <c r="AF433" s="2">
        <v>251854.4921875</v>
      </c>
      <c r="AG433" s="2">
        <v>288758.0234375</v>
      </c>
      <c r="AH433" s="2">
        <v>227285.4296875</v>
      </c>
      <c r="AI433" s="2" t="s">
        <v>83</v>
      </c>
      <c r="AJ433" s="2" t="s">
        <v>83</v>
      </c>
      <c r="AK433" s="2" t="s">
        <v>83</v>
      </c>
      <c r="AL433" s="2" t="s">
        <v>83</v>
      </c>
      <c r="AM433" s="2" t="s">
        <v>83</v>
      </c>
      <c r="AN433" s="2">
        <v>4588.59423828125</v>
      </c>
      <c r="AO433" s="2">
        <v>6752.03662109375</v>
      </c>
      <c r="AP433" s="2">
        <v>10551.0556640625</v>
      </c>
      <c r="AQ433" s="2">
        <v>4329.02978515625</v>
      </c>
      <c r="AR433" s="2">
        <v>11790.672363281299</v>
      </c>
      <c r="AS433" s="2" t="s">
        <v>83</v>
      </c>
      <c r="AT433" s="2" t="s">
        <v>83</v>
      </c>
      <c r="AU433" s="2" t="s">
        <v>83</v>
      </c>
      <c r="AV433" s="2" t="s">
        <v>83</v>
      </c>
      <c r="AW433" s="2">
        <v>8025.35107421875</v>
      </c>
      <c r="AX433" s="2" t="s">
        <v>83</v>
      </c>
      <c r="AY433" s="2" t="s">
        <v>83</v>
      </c>
      <c r="AZ433" s="2">
        <v>6061.85107421875</v>
      </c>
      <c r="BA433" s="2" t="s">
        <v>83</v>
      </c>
      <c r="BB433" s="2" t="s">
        <v>83</v>
      </c>
      <c r="BC433" s="2" t="s">
        <v>79</v>
      </c>
      <c r="BD433" s="2" t="s">
        <v>79</v>
      </c>
      <c r="BE433" s="2" t="s">
        <v>79</v>
      </c>
      <c r="BF433" s="2" t="s">
        <v>79</v>
      </c>
      <c r="BG433" s="2" t="s">
        <v>79</v>
      </c>
      <c r="BH433" s="2" t="s">
        <v>98</v>
      </c>
      <c r="BI433" s="2" t="s">
        <v>98</v>
      </c>
      <c r="BJ433" s="2" t="s">
        <v>98</v>
      </c>
      <c r="BK433" s="2" t="s">
        <v>98</v>
      </c>
      <c r="BL433" s="2" t="s">
        <v>98</v>
      </c>
      <c r="BM433" s="2" t="s">
        <v>91</v>
      </c>
      <c r="BN433" s="2" t="s">
        <v>91</v>
      </c>
      <c r="BO433" s="2" t="s">
        <v>91</v>
      </c>
      <c r="BP433" s="2" t="s">
        <v>91</v>
      </c>
      <c r="BQ433" s="2" t="s">
        <v>91</v>
      </c>
      <c r="BR433" s="2" t="s">
        <v>98</v>
      </c>
      <c r="BS433" s="2" t="s">
        <v>98</v>
      </c>
      <c r="BT433" s="2" t="s">
        <v>98</v>
      </c>
      <c r="BU433" s="2" t="s">
        <v>98</v>
      </c>
      <c r="BV433" s="2" t="s">
        <v>91</v>
      </c>
      <c r="BW433" s="2" t="s">
        <v>98</v>
      </c>
      <c r="BX433" s="2" t="s">
        <v>98</v>
      </c>
      <c r="BY433" s="2" t="s">
        <v>91</v>
      </c>
      <c r="BZ433" s="2" t="s">
        <v>98</v>
      </c>
      <c r="CA433" s="2" t="s">
        <v>98</v>
      </c>
      <c r="CB433" t="e">
        <f>TTEST(AS433:AW433,AI433:AM433,2,2)</f>
        <v>#DIV/0!</v>
      </c>
      <c r="CC433" t="e">
        <f>TTEST(AD433:AH433,AI433:AM433,2,2)</f>
        <v>#DIV/0!</v>
      </c>
      <c r="CD433" t="e">
        <f>TTEST(AN433:AR433,AI433:AM433,2,2)</f>
        <v>#DIV/0!</v>
      </c>
      <c r="CE433" t="e">
        <f>TTEST(AX433:BB433,AI433:AM433,2,2)</f>
        <v>#DIV/0!</v>
      </c>
      <c r="CF433">
        <v>409</v>
      </c>
      <c r="CG433">
        <v>423</v>
      </c>
      <c r="CH433">
        <v>427</v>
      </c>
      <c r="CI433">
        <v>430</v>
      </c>
      <c r="CJ433">
        <f>0.05*CF433/464</f>
        <v>4.4073275862068974E-2</v>
      </c>
      <c r="CK433">
        <f>0.05*CG433/464</f>
        <v>4.5581896551724142E-2</v>
      </c>
      <c r="CL433">
        <f>0.05*CH433/464</f>
        <v>4.6012931034482764E-2</v>
      </c>
      <c r="CM433">
        <f>0.05*CI433/464</f>
        <v>4.6336206896551727E-2</v>
      </c>
      <c r="CN433" t="e">
        <f>IF(CB433&lt;CJ433,"yes","no")</f>
        <v>#DIV/0!</v>
      </c>
      <c r="CO433" t="e">
        <f>IF(CC433&lt;CK433,"yes","no")</f>
        <v>#DIV/0!</v>
      </c>
      <c r="CP433" t="e">
        <f>IF(CD433&lt;CL433,"yes","no")</f>
        <v>#DIV/0!</v>
      </c>
      <c r="CQ433" t="e">
        <f>IF(CE433&lt;CM433,"yes","no")</f>
        <v>#DIV/0!</v>
      </c>
      <c r="CR433" t="e">
        <f>TTEST(AS433:AW433,AD433:AH433,2,2)</f>
        <v>#DIV/0!</v>
      </c>
      <c r="CS433" t="e">
        <f>TTEST(AS433:AW433,AN433:AR433,2,2)</f>
        <v>#DIV/0!</v>
      </c>
      <c r="CT433" t="e">
        <f>TTEST(AS433:AW433,AX433:BB433,2,2)</f>
        <v>#DIV/0!</v>
      </c>
      <c r="CU433">
        <v>427</v>
      </c>
      <c r="CV433">
        <v>430</v>
      </c>
      <c r="CW433">
        <v>432</v>
      </c>
      <c r="CX433">
        <f t="shared" si="18"/>
        <v>4.6012931034482764E-2</v>
      </c>
      <c r="CY433">
        <f t="shared" si="19"/>
        <v>4.6336206896551727E-2</v>
      </c>
      <c r="CZ433">
        <f t="shared" si="20"/>
        <v>4.6551724137931037E-2</v>
      </c>
      <c r="DA433" t="e">
        <f>IF(CR433&lt;CX433,"yes","no")</f>
        <v>#DIV/0!</v>
      </c>
      <c r="DB433" t="e">
        <f>IF(CS433&lt;CY433,"yes","no")</f>
        <v>#DIV/0!</v>
      </c>
      <c r="DC433" t="e">
        <f>IF(CT433&lt;CZ433,"yes","no")</f>
        <v>#DIV/0!</v>
      </c>
    </row>
    <row r="434" spans="1:107" x14ac:dyDescent="0.2">
      <c r="A434" s="2" t="b">
        <v>0</v>
      </c>
      <c r="B434" s="2" t="s">
        <v>79</v>
      </c>
      <c r="C434" s="2" t="s">
        <v>80</v>
      </c>
      <c r="D434" s="2" t="s">
        <v>1159</v>
      </c>
      <c r="E434" s="2" t="s">
        <v>1160</v>
      </c>
      <c r="F434" s="2">
        <v>3</v>
      </c>
      <c r="G434" s="2">
        <v>3</v>
      </c>
      <c r="H434" s="2">
        <v>67</v>
      </c>
      <c r="I434" s="2">
        <v>6.61</v>
      </c>
      <c r="J434" s="2" t="s">
        <v>83</v>
      </c>
      <c r="K434" s="2" t="s">
        <v>1161</v>
      </c>
      <c r="L434" s="2" t="s">
        <v>83</v>
      </c>
      <c r="M434" s="2" t="s">
        <v>83</v>
      </c>
      <c r="N434" s="2" t="s">
        <v>1159</v>
      </c>
      <c r="O434" s="2">
        <v>1.5029999999999999</v>
      </c>
      <c r="P434" s="2">
        <v>0.70099999999999996</v>
      </c>
      <c r="Q434" s="2">
        <v>0.01</v>
      </c>
      <c r="R434" s="2">
        <v>100</v>
      </c>
      <c r="S434" s="2">
        <v>100</v>
      </c>
      <c r="T434" s="2">
        <v>100</v>
      </c>
      <c r="U434" s="2" t="s">
        <v>83</v>
      </c>
      <c r="V434" s="2">
        <v>0.51600000000000001</v>
      </c>
      <c r="W434" s="2">
        <v>0.01</v>
      </c>
      <c r="X434" s="2">
        <v>0.01</v>
      </c>
      <c r="Y434" s="2">
        <v>169.4</v>
      </c>
      <c r="Z434" s="2" t="s">
        <v>83</v>
      </c>
      <c r="AA434" s="2">
        <v>218.1</v>
      </c>
      <c r="AB434" s="2">
        <v>112.5</v>
      </c>
      <c r="AC434" s="2" t="s">
        <v>83</v>
      </c>
      <c r="AD434" s="2">
        <v>320503.82421875</v>
      </c>
      <c r="AE434" s="2">
        <v>227596.265625</v>
      </c>
      <c r="AF434" s="2">
        <v>264466.80078125</v>
      </c>
      <c r="AG434" s="2">
        <v>235473.751953125</v>
      </c>
      <c r="AH434" s="2">
        <v>213954.4921875</v>
      </c>
      <c r="AI434" s="2" t="s">
        <v>83</v>
      </c>
      <c r="AJ434" s="2" t="s">
        <v>83</v>
      </c>
      <c r="AK434" s="2" t="s">
        <v>83</v>
      </c>
      <c r="AL434" s="2" t="s">
        <v>83</v>
      </c>
      <c r="AM434" s="2" t="s">
        <v>83</v>
      </c>
      <c r="AN434" s="2" t="s">
        <v>83</v>
      </c>
      <c r="AO434" s="2" t="s">
        <v>83</v>
      </c>
      <c r="AP434" s="2" t="s">
        <v>83</v>
      </c>
      <c r="AQ434" s="2">
        <v>4984.55078125</v>
      </c>
      <c r="AR434" s="2">
        <v>11385.728515625</v>
      </c>
      <c r="AS434" s="2" t="s">
        <v>83</v>
      </c>
      <c r="AT434" s="2" t="s">
        <v>83</v>
      </c>
      <c r="AU434" s="2" t="s">
        <v>83</v>
      </c>
      <c r="AV434" s="2">
        <v>23806.501953125</v>
      </c>
      <c r="AW434" s="2" t="s">
        <v>83</v>
      </c>
      <c r="AX434" s="2" t="s">
        <v>83</v>
      </c>
      <c r="AY434" s="2" t="s">
        <v>83</v>
      </c>
      <c r="AZ434" s="2" t="s">
        <v>83</v>
      </c>
      <c r="BA434" s="2" t="s">
        <v>83</v>
      </c>
      <c r="BB434" s="2" t="s">
        <v>83</v>
      </c>
      <c r="BC434" s="2" t="s">
        <v>79</v>
      </c>
      <c r="BD434" s="2" t="s">
        <v>79</v>
      </c>
      <c r="BE434" s="2" t="s">
        <v>79</v>
      </c>
      <c r="BF434" s="2" t="s">
        <v>79</v>
      </c>
      <c r="BG434" s="2" t="s">
        <v>79</v>
      </c>
      <c r="BH434" s="2" t="s">
        <v>98</v>
      </c>
      <c r="BI434" s="2" t="s">
        <v>98</v>
      </c>
      <c r="BJ434" s="2" t="s">
        <v>98</v>
      </c>
      <c r="BK434" s="2" t="s">
        <v>98</v>
      </c>
      <c r="BL434" s="2" t="s">
        <v>98</v>
      </c>
      <c r="BM434" s="2" t="s">
        <v>98</v>
      </c>
      <c r="BN434" s="2" t="s">
        <v>98</v>
      </c>
      <c r="BO434" s="2" t="s">
        <v>98</v>
      </c>
      <c r="BP434" s="2" t="s">
        <v>91</v>
      </c>
      <c r="BQ434" s="2" t="s">
        <v>91</v>
      </c>
      <c r="BR434" s="2" t="s">
        <v>98</v>
      </c>
      <c r="BS434" s="2" t="s">
        <v>98</v>
      </c>
      <c r="BT434" s="2" t="s">
        <v>98</v>
      </c>
      <c r="BU434" s="2" t="s">
        <v>91</v>
      </c>
      <c r="BV434" s="2" t="s">
        <v>98</v>
      </c>
      <c r="BW434" s="2" t="s">
        <v>98</v>
      </c>
      <c r="BX434" s="2" t="s">
        <v>98</v>
      </c>
      <c r="BY434" s="2" t="s">
        <v>98</v>
      </c>
      <c r="BZ434" s="2" t="s">
        <v>98</v>
      </c>
      <c r="CA434" s="2" t="s">
        <v>98</v>
      </c>
      <c r="CB434" t="e">
        <f>TTEST(AS434:AW434,AI434:AM434,2,2)</f>
        <v>#DIV/0!</v>
      </c>
      <c r="CC434" t="e">
        <f>TTEST(AD434:AH434,AI434:AM434,2,2)</f>
        <v>#DIV/0!</v>
      </c>
      <c r="CD434" t="e">
        <f>TTEST(AN434:AR434,AI434:AM434,2,2)</f>
        <v>#DIV/0!</v>
      </c>
      <c r="CE434" t="e">
        <f>TTEST(AX434:BB434,AI434:AM434,2,2)</f>
        <v>#DIV/0!</v>
      </c>
      <c r="CF434">
        <v>410</v>
      </c>
      <c r="CG434">
        <v>424</v>
      </c>
      <c r="CH434">
        <v>428</v>
      </c>
      <c r="CI434">
        <v>431</v>
      </c>
      <c r="CJ434">
        <f>0.05*CF434/464</f>
        <v>4.4181034482758619E-2</v>
      </c>
      <c r="CK434">
        <f>0.05*CG434/464</f>
        <v>4.5689655172413801E-2</v>
      </c>
      <c r="CL434">
        <f>0.05*CH434/464</f>
        <v>4.6120689655172416E-2</v>
      </c>
      <c r="CM434">
        <f>0.05*CI434/464</f>
        <v>4.6443965517241378E-2</v>
      </c>
      <c r="CN434" t="e">
        <f>IF(CB434&lt;CJ434,"yes","no")</f>
        <v>#DIV/0!</v>
      </c>
      <c r="CO434" t="e">
        <f>IF(CC434&lt;CK434,"yes","no")</f>
        <v>#DIV/0!</v>
      </c>
      <c r="CP434" t="e">
        <f>IF(CD434&lt;CL434,"yes","no")</f>
        <v>#DIV/0!</v>
      </c>
      <c r="CQ434" t="e">
        <f>IF(CE434&lt;CM434,"yes","no")</f>
        <v>#DIV/0!</v>
      </c>
      <c r="CR434" t="e">
        <f>TTEST(AS434:AW434,AD434:AH434,2,2)</f>
        <v>#DIV/0!</v>
      </c>
      <c r="CS434" t="e">
        <f>TTEST(AS434:AW434,AN434:AR434,2,2)</f>
        <v>#DIV/0!</v>
      </c>
      <c r="CT434" t="e">
        <f>TTEST(AS434:AW434,AX434:BB434,2,2)</f>
        <v>#DIV/0!</v>
      </c>
      <c r="CU434">
        <v>428</v>
      </c>
      <c r="CV434">
        <v>431</v>
      </c>
      <c r="CW434">
        <v>433</v>
      </c>
      <c r="CX434">
        <f t="shared" si="18"/>
        <v>4.6120689655172416E-2</v>
      </c>
      <c r="CY434">
        <f t="shared" si="19"/>
        <v>4.6443965517241378E-2</v>
      </c>
      <c r="CZ434">
        <f t="shared" si="20"/>
        <v>4.6659482758620696E-2</v>
      </c>
      <c r="DA434" t="e">
        <f>IF(CR434&lt;CX434,"yes","no")</f>
        <v>#DIV/0!</v>
      </c>
      <c r="DB434" t="e">
        <f>IF(CS434&lt;CY434,"yes","no")</f>
        <v>#DIV/0!</v>
      </c>
      <c r="DC434" t="e">
        <f>IF(CT434&lt;CZ434,"yes","no")</f>
        <v>#DIV/0!</v>
      </c>
    </row>
    <row r="435" spans="1:107" x14ac:dyDescent="0.2">
      <c r="A435" s="2" t="b">
        <v>0</v>
      </c>
      <c r="B435" s="2" t="s">
        <v>79</v>
      </c>
      <c r="C435" s="2" t="s">
        <v>80</v>
      </c>
      <c r="D435" s="2" t="s">
        <v>1225</v>
      </c>
      <c r="E435" s="2" t="s">
        <v>1226</v>
      </c>
      <c r="F435" s="2">
        <v>2</v>
      </c>
      <c r="G435" s="2">
        <v>2</v>
      </c>
      <c r="H435" s="2">
        <v>63.2</v>
      </c>
      <c r="I435" s="2">
        <v>6.87</v>
      </c>
      <c r="J435" s="2" t="s">
        <v>528</v>
      </c>
      <c r="K435" s="2" t="s">
        <v>84</v>
      </c>
      <c r="L435" s="2" t="s">
        <v>83</v>
      </c>
      <c r="M435" s="2" t="s">
        <v>83</v>
      </c>
      <c r="N435" s="2" t="s">
        <v>1227</v>
      </c>
      <c r="O435" s="2">
        <v>0.01</v>
      </c>
      <c r="P435" s="2">
        <v>9.7000000000000003E-2</v>
      </c>
      <c r="Q435" s="2">
        <v>1.056</v>
      </c>
      <c r="R435" s="2">
        <v>100</v>
      </c>
      <c r="S435" s="2" t="s">
        <v>83</v>
      </c>
      <c r="T435" s="2">
        <v>100</v>
      </c>
      <c r="U435" s="2">
        <v>100</v>
      </c>
      <c r="V435" s="2">
        <v>100</v>
      </c>
      <c r="W435" s="2">
        <v>100</v>
      </c>
      <c r="X435" s="2">
        <v>10.936</v>
      </c>
      <c r="Y435" s="2">
        <v>232.3</v>
      </c>
      <c r="Z435" s="2" t="s">
        <v>83</v>
      </c>
      <c r="AA435" s="2" t="s">
        <v>83</v>
      </c>
      <c r="AB435" s="2">
        <v>22.4</v>
      </c>
      <c r="AC435" s="2">
        <v>245.3</v>
      </c>
      <c r="AD435" s="2">
        <v>510890.5390625</v>
      </c>
      <c r="AE435" s="2">
        <v>477340.390625</v>
      </c>
      <c r="AF435" s="2">
        <v>593471.4765625</v>
      </c>
      <c r="AG435" s="2">
        <v>109066.25</v>
      </c>
      <c r="AH435" s="2">
        <v>135731.02734375</v>
      </c>
      <c r="AI435" s="2" t="s">
        <v>83</v>
      </c>
      <c r="AJ435" s="2" t="s">
        <v>83</v>
      </c>
      <c r="AK435" s="2" t="s">
        <v>83</v>
      </c>
      <c r="AL435" s="2" t="s">
        <v>83</v>
      </c>
      <c r="AM435" s="2" t="s">
        <v>83</v>
      </c>
      <c r="AN435" s="2" t="s">
        <v>83</v>
      </c>
      <c r="AO435" s="2" t="s">
        <v>83</v>
      </c>
      <c r="AP435" s="2" t="s">
        <v>83</v>
      </c>
      <c r="AQ435" s="2" t="s">
        <v>83</v>
      </c>
      <c r="AR435" s="2" t="s">
        <v>83</v>
      </c>
      <c r="AS435" s="2" t="s">
        <v>83</v>
      </c>
      <c r="AT435" s="2">
        <v>9258.4365234375</v>
      </c>
      <c r="AU435" s="2" t="s">
        <v>83</v>
      </c>
      <c r="AV435" s="2" t="s">
        <v>83</v>
      </c>
      <c r="AW435" s="2" t="s">
        <v>83</v>
      </c>
      <c r="AX435" s="2" t="s">
        <v>83</v>
      </c>
      <c r="AY435" s="2" t="s">
        <v>83</v>
      </c>
      <c r="AZ435" s="2">
        <v>26919.9375</v>
      </c>
      <c r="BA435" s="2" t="s">
        <v>83</v>
      </c>
      <c r="BB435" s="2" t="s">
        <v>83</v>
      </c>
      <c r="BC435" s="2" t="s">
        <v>79</v>
      </c>
      <c r="BD435" s="2" t="s">
        <v>79</v>
      </c>
      <c r="BE435" s="2" t="s">
        <v>79</v>
      </c>
      <c r="BF435" s="2" t="s">
        <v>79</v>
      </c>
      <c r="BG435" s="2" t="s">
        <v>79</v>
      </c>
      <c r="BH435" s="2" t="s">
        <v>98</v>
      </c>
      <c r="BI435" s="2" t="s">
        <v>98</v>
      </c>
      <c r="BJ435" s="2" t="s">
        <v>98</v>
      </c>
      <c r="BK435" s="2" t="s">
        <v>98</v>
      </c>
      <c r="BL435" s="2" t="s">
        <v>98</v>
      </c>
      <c r="BM435" s="2" t="s">
        <v>98</v>
      </c>
      <c r="BN435" s="2" t="s">
        <v>98</v>
      </c>
      <c r="BO435" s="2" t="s">
        <v>98</v>
      </c>
      <c r="BP435" s="2" t="s">
        <v>98</v>
      </c>
      <c r="BQ435" s="2" t="s">
        <v>98</v>
      </c>
      <c r="BR435" s="2" t="s">
        <v>98</v>
      </c>
      <c r="BS435" s="2" t="s">
        <v>91</v>
      </c>
      <c r="BT435" s="2" t="s">
        <v>98</v>
      </c>
      <c r="BU435" s="2" t="s">
        <v>98</v>
      </c>
      <c r="BV435" s="2" t="s">
        <v>98</v>
      </c>
      <c r="BW435" s="2" t="s">
        <v>98</v>
      </c>
      <c r="BX435" s="2" t="s">
        <v>98</v>
      </c>
      <c r="BY435" s="2" t="s">
        <v>91</v>
      </c>
      <c r="BZ435" s="2" t="s">
        <v>98</v>
      </c>
      <c r="CA435" s="2" t="s">
        <v>98</v>
      </c>
      <c r="CB435" t="e">
        <f>TTEST(AS435:AW435,AI435:AM435,2,2)</f>
        <v>#DIV/0!</v>
      </c>
      <c r="CC435" t="e">
        <f>TTEST(AD435:AH435,AI435:AM435,2,2)</f>
        <v>#DIV/0!</v>
      </c>
      <c r="CD435" t="e">
        <f>TTEST(AN435:AR435,AI435:AM435,2,2)</f>
        <v>#DIV/0!</v>
      </c>
      <c r="CE435" t="e">
        <f>TTEST(AX435:BB435,AI435:AM435,2,2)</f>
        <v>#DIV/0!</v>
      </c>
      <c r="CF435">
        <v>411</v>
      </c>
      <c r="CG435">
        <v>425</v>
      </c>
      <c r="CH435">
        <v>429</v>
      </c>
      <c r="CI435">
        <v>432</v>
      </c>
      <c r="CJ435">
        <f>0.05*CF435/464</f>
        <v>4.4288793103448278E-2</v>
      </c>
      <c r="CK435">
        <f>0.05*CG435/464</f>
        <v>4.5797413793103446E-2</v>
      </c>
      <c r="CL435">
        <f>0.05*CH435/464</f>
        <v>4.6228448275862075E-2</v>
      </c>
      <c r="CM435">
        <f>0.05*CI435/464</f>
        <v>4.6551724137931037E-2</v>
      </c>
      <c r="CN435" t="e">
        <f>IF(CB435&lt;CJ435,"yes","no")</f>
        <v>#DIV/0!</v>
      </c>
      <c r="CO435" t="e">
        <f>IF(CC435&lt;CK435,"yes","no")</f>
        <v>#DIV/0!</v>
      </c>
      <c r="CP435" t="e">
        <f>IF(CD435&lt;CL435,"yes","no")</f>
        <v>#DIV/0!</v>
      </c>
      <c r="CQ435" t="e">
        <f>IF(CE435&lt;CM435,"yes","no")</f>
        <v>#DIV/0!</v>
      </c>
      <c r="CR435" t="e">
        <f>TTEST(AS435:AW435,AD435:AH435,2,2)</f>
        <v>#DIV/0!</v>
      </c>
      <c r="CS435" t="e">
        <f>TTEST(AS435:AW435,AN435:AR435,2,2)</f>
        <v>#DIV/0!</v>
      </c>
      <c r="CT435" t="e">
        <f>TTEST(AS435:AW435,AX435:BB435,2,2)</f>
        <v>#DIV/0!</v>
      </c>
      <c r="CU435">
        <v>429</v>
      </c>
      <c r="CV435">
        <v>432</v>
      </c>
      <c r="CW435">
        <v>434</v>
      </c>
      <c r="CX435">
        <f t="shared" si="18"/>
        <v>4.6228448275862075E-2</v>
      </c>
      <c r="CY435">
        <f t="shared" si="19"/>
        <v>4.6551724137931037E-2</v>
      </c>
      <c r="CZ435">
        <f t="shared" si="20"/>
        <v>4.6767241379310348E-2</v>
      </c>
      <c r="DA435" t="e">
        <f>IF(CR435&lt;CX435,"yes","no")</f>
        <v>#DIV/0!</v>
      </c>
      <c r="DB435" t="e">
        <f>IF(CS435&lt;CY435,"yes","no")</f>
        <v>#DIV/0!</v>
      </c>
      <c r="DC435" t="e">
        <f>IF(CT435&lt;CZ435,"yes","no")</f>
        <v>#DIV/0!</v>
      </c>
    </row>
    <row r="436" spans="1:107" x14ac:dyDescent="0.2">
      <c r="A436" s="2" t="b">
        <v>0</v>
      </c>
      <c r="B436" s="2" t="s">
        <v>79</v>
      </c>
      <c r="C436" s="2" t="s">
        <v>80</v>
      </c>
      <c r="D436" s="2" t="s">
        <v>1249</v>
      </c>
      <c r="E436" s="2" t="s">
        <v>1250</v>
      </c>
      <c r="F436" s="2">
        <v>1</v>
      </c>
      <c r="G436" s="2">
        <v>1</v>
      </c>
      <c r="H436" s="2">
        <v>12.6</v>
      </c>
      <c r="I436" s="2">
        <v>5.83</v>
      </c>
      <c r="J436" s="2" t="s">
        <v>83</v>
      </c>
      <c r="K436" s="2" t="s">
        <v>83</v>
      </c>
      <c r="L436" s="2" t="s">
        <v>83</v>
      </c>
      <c r="M436" s="2" t="s">
        <v>83</v>
      </c>
      <c r="N436" s="2" t="s">
        <v>1249</v>
      </c>
      <c r="O436" s="2">
        <v>0.01</v>
      </c>
      <c r="P436" s="2">
        <v>1.2490000000000001</v>
      </c>
      <c r="Q436" s="2">
        <v>0.01</v>
      </c>
      <c r="R436" s="2">
        <v>100</v>
      </c>
      <c r="S436" s="2" t="s">
        <v>83</v>
      </c>
      <c r="T436" s="2">
        <v>100</v>
      </c>
      <c r="U436" s="2" t="s">
        <v>83</v>
      </c>
      <c r="V436" s="2">
        <v>100</v>
      </c>
      <c r="W436" s="2" t="s">
        <v>83</v>
      </c>
      <c r="X436" s="2">
        <v>0.01</v>
      </c>
      <c r="Y436" s="2">
        <v>222.3</v>
      </c>
      <c r="Z436" s="2" t="s">
        <v>83</v>
      </c>
      <c r="AA436" s="2" t="s">
        <v>83</v>
      </c>
      <c r="AB436" s="2">
        <v>277.7</v>
      </c>
      <c r="AC436" s="2" t="s">
        <v>83</v>
      </c>
      <c r="AD436" s="2">
        <v>39240.7421875</v>
      </c>
      <c r="AE436" s="2">
        <v>36256.52734375</v>
      </c>
      <c r="AF436" s="2">
        <v>44683.546875</v>
      </c>
      <c r="AG436" s="2">
        <v>98731.9609375</v>
      </c>
      <c r="AH436" s="2">
        <v>95843.90625</v>
      </c>
      <c r="AI436" s="2" t="s">
        <v>83</v>
      </c>
      <c r="AJ436" s="2" t="s">
        <v>83</v>
      </c>
      <c r="AK436" s="2" t="s">
        <v>83</v>
      </c>
      <c r="AL436" s="2" t="s">
        <v>83</v>
      </c>
      <c r="AM436" s="2" t="s">
        <v>83</v>
      </c>
      <c r="AN436" s="2" t="s">
        <v>83</v>
      </c>
      <c r="AO436" s="2" t="s">
        <v>83</v>
      </c>
      <c r="AP436" s="2" t="s">
        <v>83</v>
      </c>
      <c r="AQ436" s="2" t="s">
        <v>83</v>
      </c>
      <c r="AR436" s="2" t="s">
        <v>83</v>
      </c>
      <c r="AS436" s="2" t="s">
        <v>83</v>
      </c>
      <c r="AT436" s="2">
        <v>13816.708984375</v>
      </c>
      <c r="AU436" s="2" t="s">
        <v>83</v>
      </c>
      <c r="AV436" s="2" t="s">
        <v>83</v>
      </c>
      <c r="AW436" s="2" t="s">
        <v>83</v>
      </c>
      <c r="AX436" s="2" t="s">
        <v>83</v>
      </c>
      <c r="AY436" s="2" t="s">
        <v>83</v>
      </c>
      <c r="AZ436" s="2" t="s">
        <v>83</v>
      </c>
      <c r="BA436" s="2" t="s">
        <v>83</v>
      </c>
      <c r="BB436" s="2" t="s">
        <v>83</v>
      </c>
      <c r="BC436" s="2" t="s">
        <v>91</v>
      </c>
      <c r="BD436" s="2" t="s">
        <v>91</v>
      </c>
      <c r="BE436" s="2" t="s">
        <v>91</v>
      </c>
      <c r="BF436" s="2" t="s">
        <v>79</v>
      </c>
      <c r="BG436" s="2" t="s">
        <v>79</v>
      </c>
      <c r="BH436" s="2" t="s">
        <v>98</v>
      </c>
      <c r="BI436" s="2" t="s">
        <v>98</v>
      </c>
      <c r="BJ436" s="2" t="s">
        <v>98</v>
      </c>
      <c r="BK436" s="2" t="s">
        <v>98</v>
      </c>
      <c r="BL436" s="2" t="s">
        <v>98</v>
      </c>
      <c r="BM436" s="2" t="s">
        <v>98</v>
      </c>
      <c r="BN436" s="2" t="s">
        <v>98</v>
      </c>
      <c r="BO436" s="2" t="s">
        <v>98</v>
      </c>
      <c r="BP436" s="2" t="s">
        <v>98</v>
      </c>
      <c r="BQ436" s="2" t="s">
        <v>98</v>
      </c>
      <c r="BR436" s="2" t="s">
        <v>98</v>
      </c>
      <c r="BS436" s="2" t="s">
        <v>91</v>
      </c>
      <c r="BT436" s="2" t="s">
        <v>98</v>
      </c>
      <c r="BU436" s="2" t="s">
        <v>98</v>
      </c>
      <c r="BV436" s="2" t="s">
        <v>98</v>
      </c>
      <c r="BW436" s="2" t="s">
        <v>98</v>
      </c>
      <c r="BX436" s="2" t="s">
        <v>98</v>
      </c>
      <c r="BY436" s="2" t="s">
        <v>98</v>
      </c>
      <c r="BZ436" s="2" t="s">
        <v>98</v>
      </c>
      <c r="CA436" s="2" t="s">
        <v>98</v>
      </c>
      <c r="CB436" t="e">
        <f>TTEST(AS436:AW436,AI436:AM436,2,2)</f>
        <v>#DIV/0!</v>
      </c>
      <c r="CC436" t="e">
        <f>TTEST(AD436:AH436,AI436:AM436,2,2)</f>
        <v>#DIV/0!</v>
      </c>
      <c r="CD436" t="e">
        <f>TTEST(AN436:AR436,AI436:AM436,2,2)</f>
        <v>#DIV/0!</v>
      </c>
      <c r="CE436" t="e">
        <f>TTEST(AX436:BB436,AI436:AM436,2,2)</f>
        <v>#DIV/0!</v>
      </c>
      <c r="CF436">
        <v>412</v>
      </c>
      <c r="CG436">
        <v>426</v>
      </c>
      <c r="CH436">
        <v>430</v>
      </c>
      <c r="CI436">
        <v>433</v>
      </c>
      <c r="CJ436">
        <f>0.05*CF436/464</f>
        <v>4.4396551724137936E-2</v>
      </c>
      <c r="CK436">
        <f>0.05*CG436/464</f>
        <v>4.5905172413793105E-2</v>
      </c>
      <c r="CL436">
        <f>0.05*CH436/464</f>
        <v>4.6336206896551727E-2</v>
      </c>
      <c r="CM436">
        <f>0.05*CI436/464</f>
        <v>4.6659482758620696E-2</v>
      </c>
      <c r="CN436" t="e">
        <f>IF(CB436&lt;CJ436,"yes","no")</f>
        <v>#DIV/0!</v>
      </c>
      <c r="CO436" t="e">
        <f>IF(CC436&lt;CK436,"yes","no")</f>
        <v>#DIV/0!</v>
      </c>
      <c r="CP436" t="e">
        <f>IF(CD436&lt;CL436,"yes","no")</f>
        <v>#DIV/0!</v>
      </c>
      <c r="CQ436" t="e">
        <f>IF(CE436&lt;CM436,"yes","no")</f>
        <v>#DIV/0!</v>
      </c>
      <c r="CR436" t="e">
        <f>TTEST(AS436:AW436,AD436:AH436,2,2)</f>
        <v>#DIV/0!</v>
      </c>
      <c r="CS436" t="e">
        <f>TTEST(AS436:AW436,AN436:AR436,2,2)</f>
        <v>#DIV/0!</v>
      </c>
      <c r="CT436" t="e">
        <f>TTEST(AS436:AW436,AX436:BB436,2,2)</f>
        <v>#DIV/0!</v>
      </c>
      <c r="CU436">
        <v>430</v>
      </c>
      <c r="CV436">
        <v>433</v>
      </c>
      <c r="CW436">
        <v>435</v>
      </c>
      <c r="CX436">
        <f t="shared" si="18"/>
        <v>4.6336206896551727E-2</v>
      </c>
      <c r="CY436">
        <f t="shared" si="19"/>
        <v>4.6659482758620696E-2</v>
      </c>
      <c r="CZ436">
        <f t="shared" si="20"/>
        <v>4.6875E-2</v>
      </c>
      <c r="DA436" t="e">
        <f>IF(CR436&lt;CX436,"yes","no")</f>
        <v>#DIV/0!</v>
      </c>
      <c r="DB436" t="e">
        <f>IF(CS436&lt;CY436,"yes","no")</f>
        <v>#DIV/0!</v>
      </c>
      <c r="DC436" t="e">
        <f>IF(CT436&lt;CZ436,"yes","no")</f>
        <v>#DIV/0!</v>
      </c>
    </row>
    <row r="437" spans="1:107" x14ac:dyDescent="0.2">
      <c r="A437" s="2" t="b">
        <v>0</v>
      </c>
      <c r="B437" s="2" t="s">
        <v>79</v>
      </c>
      <c r="C437" s="2" t="s">
        <v>80</v>
      </c>
      <c r="D437" s="2" t="s">
        <v>1277</v>
      </c>
      <c r="E437" s="2" t="s">
        <v>1278</v>
      </c>
      <c r="F437" s="2">
        <v>2</v>
      </c>
      <c r="G437" s="2">
        <v>1</v>
      </c>
      <c r="H437" s="2">
        <v>50.6</v>
      </c>
      <c r="I437" s="2">
        <v>5.01</v>
      </c>
      <c r="J437" s="2" t="s">
        <v>228</v>
      </c>
      <c r="K437" s="2" t="s">
        <v>247</v>
      </c>
      <c r="L437" s="2" t="s">
        <v>119</v>
      </c>
      <c r="M437" s="2" t="s">
        <v>1279</v>
      </c>
      <c r="N437" s="2" t="s">
        <v>1280</v>
      </c>
      <c r="O437" s="2" t="s">
        <v>83</v>
      </c>
      <c r="P437" s="2">
        <v>100</v>
      </c>
      <c r="Q437" s="2" t="s">
        <v>83</v>
      </c>
      <c r="R437" s="2" t="s">
        <v>83</v>
      </c>
      <c r="S437" s="2" t="s">
        <v>83</v>
      </c>
      <c r="T437" s="2">
        <v>100</v>
      </c>
      <c r="U437" s="2" t="s">
        <v>83</v>
      </c>
      <c r="V437" s="2">
        <v>100</v>
      </c>
      <c r="W437" s="2" t="s">
        <v>83</v>
      </c>
      <c r="X437" s="2">
        <v>0.01</v>
      </c>
      <c r="Y437" s="2" t="s">
        <v>83</v>
      </c>
      <c r="Z437" s="2" t="s">
        <v>83</v>
      </c>
      <c r="AA437" s="2" t="s">
        <v>83</v>
      </c>
      <c r="AB437" s="2">
        <v>500</v>
      </c>
      <c r="AC437" s="2" t="s">
        <v>83</v>
      </c>
      <c r="AD437" s="2" t="s">
        <v>83</v>
      </c>
      <c r="AE437" s="2" t="s">
        <v>83</v>
      </c>
      <c r="AF437" s="2" t="s">
        <v>83</v>
      </c>
      <c r="AG437" s="2" t="s">
        <v>83</v>
      </c>
      <c r="AH437" s="2" t="s">
        <v>83</v>
      </c>
      <c r="AI437" s="2" t="s">
        <v>83</v>
      </c>
      <c r="AJ437" s="2" t="s">
        <v>83</v>
      </c>
      <c r="AK437" s="2" t="s">
        <v>83</v>
      </c>
      <c r="AL437" s="2" t="s">
        <v>83</v>
      </c>
      <c r="AM437" s="2" t="s">
        <v>83</v>
      </c>
      <c r="AN437" s="2" t="s">
        <v>83</v>
      </c>
      <c r="AO437" s="2" t="s">
        <v>83</v>
      </c>
      <c r="AP437" s="2" t="s">
        <v>83</v>
      </c>
      <c r="AQ437" s="2" t="s">
        <v>83</v>
      </c>
      <c r="AR437" s="2" t="s">
        <v>83</v>
      </c>
      <c r="AS437" s="2" t="s">
        <v>83</v>
      </c>
      <c r="AT437" s="2" t="s">
        <v>83</v>
      </c>
      <c r="AU437" s="2" t="s">
        <v>83</v>
      </c>
      <c r="AV437" s="2">
        <v>32416.3125</v>
      </c>
      <c r="AW437" s="2" t="s">
        <v>83</v>
      </c>
      <c r="AX437" s="2" t="s">
        <v>83</v>
      </c>
      <c r="AY437" s="2" t="s">
        <v>83</v>
      </c>
      <c r="AZ437" s="2" t="s">
        <v>83</v>
      </c>
      <c r="BA437" s="2" t="s">
        <v>83</v>
      </c>
      <c r="BB437" s="2" t="s">
        <v>83</v>
      </c>
      <c r="BC437" s="2" t="s">
        <v>98</v>
      </c>
      <c r="BD437" s="2" t="s">
        <v>98</v>
      </c>
      <c r="BE437" s="2" t="s">
        <v>98</v>
      </c>
      <c r="BF437" s="2" t="s">
        <v>98</v>
      </c>
      <c r="BG437" s="2" t="s">
        <v>98</v>
      </c>
      <c r="BH437" s="2" t="s">
        <v>98</v>
      </c>
      <c r="BI437" s="2" t="s">
        <v>98</v>
      </c>
      <c r="BJ437" s="2" t="s">
        <v>98</v>
      </c>
      <c r="BK437" s="2" t="s">
        <v>98</v>
      </c>
      <c r="BL437" s="2" t="s">
        <v>98</v>
      </c>
      <c r="BM437" s="2" t="s">
        <v>98</v>
      </c>
      <c r="BN437" s="2" t="s">
        <v>98</v>
      </c>
      <c r="BO437" s="2" t="s">
        <v>98</v>
      </c>
      <c r="BP437" s="2" t="s">
        <v>98</v>
      </c>
      <c r="BQ437" s="2" t="s">
        <v>98</v>
      </c>
      <c r="BR437" s="2" t="s">
        <v>98</v>
      </c>
      <c r="BS437" s="2" t="s">
        <v>98</v>
      </c>
      <c r="BT437" s="2" t="s">
        <v>98</v>
      </c>
      <c r="BU437" s="2" t="s">
        <v>79</v>
      </c>
      <c r="BV437" s="2" t="s">
        <v>98</v>
      </c>
      <c r="BW437" s="2" t="s">
        <v>98</v>
      </c>
      <c r="BX437" s="2" t="s">
        <v>98</v>
      </c>
      <c r="BY437" s="2" t="s">
        <v>98</v>
      </c>
      <c r="BZ437" s="2" t="s">
        <v>98</v>
      </c>
      <c r="CA437" s="2" t="s">
        <v>98</v>
      </c>
      <c r="CB437" t="e">
        <f>TTEST(AS437:AW437,AI437:AM437,2,2)</f>
        <v>#DIV/0!</v>
      </c>
      <c r="CC437" t="e">
        <f>TTEST(AD437:AH437,AI437:AM437,2,2)</f>
        <v>#DIV/0!</v>
      </c>
      <c r="CD437" t="e">
        <f>TTEST(AN437:AR437,AI437:AM437,2,2)</f>
        <v>#DIV/0!</v>
      </c>
      <c r="CE437" t="e">
        <f>TTEST(AX437:BB437,AI437:AM437,2,2)</f>
        <v>#DIV/0!</v>
      </c>
      <c r="CF437">
        <v>413</v>
      </c>
      <c r="CG437">
        <v>427</v>
      </c>
      <c r="CH437">
        <v>431</v>
      </c>
      <c r="CI437">
        <v>434</v>
      </c>
      <c r="CJ437">
        <f>0.05*CF437/464</f>
        <v>4.4504310344827588E-2</v>
      </c>
      <c r="CK437">
        <f>0.05*CG437/464</f>
        <v>4.6012931034482764E-2</v>
      </c>
      <c r="CL437">
        <f>0.05*CH437/464</f>
        <v>4.6443965517241378E-2</v>
      </c>
      <c r="CM437">
        <f>0.05*CI437/464</f>
        <v>4.6767241379310348E-2</v>
      </c>
      <c r="CN437" t="e">
        <f>IF(CB437&lt;CJ437,"yes","no")</f>
        <v>#DIV/0!</v>
      </c>
      <c r="CO437" t="e">
        <f>IF(CC437&lt;CK437,"yes","no")</f>
        <v>#DIV/0!</v>
      </c>
      <c r="CP437" t="e">
        <f>IF(CD437&lt;CL437,"yes","no")</f>
        <v>#DIV/0!</v>
      </c>
      <c r="CQ437" t="e">
        <f>IF(CE437&lt;CM437,"yes","no")</f>
        <v>#DIV/0!</v>
      </c>
      <c r="CR437" t="e">
        <f>TTEST(AS437:AW437,AD437:AH437,2,2)</f>
        <v>#DIV/0!</v>
      </c>
      <c r="CS437" t="e">
        <f>TTEST(AS437:AW437,AN437:AR437,2,2)</f>
        <v>#DIV/0!</v>
      </c>
      <c r="CT437" t="e">
        <f>TTEST(AS437:AW437,AX437:BB437,2,2)</f>
        <v>#DIV/0!</v>
      </c>
      <c r="CU437">
        <v>431</v>
      </c>
      <c r="CV437">
        <v>434</v>
      </c>
      <c r="CW437">
        <v>436</v>
      </c>
      <c r="CX437">
        <f t="shared" si="18"/>
        <v>4.6443965517241378E-2</v>
      </c>
      <c r="CY437">
        <f t="shared" si="19"/>
        <v>4.6767241379310348E-2</v>
      </c>
      <c r="CZ437">
        <f t="shared" si="20"/>
        <v>4.6982758620689659E-2</v>
      </c>
      <c r="DA437" t="e">
        <f>IF(CR437&lt;CX437,"yes","no")</f>
        <v>#DIV/0!</v>
      </c>
      <c r="DB437" t="e">
        <f>IF(CS437&lt;CY437,"yes","no")</f>
        <v>#DIV/0!</v>
      </c>
      <c r="DC437" t="e">
        <f>IF(CT437&lt;CZ437,"yes","no")</f>
        <v>#DIV/0!</v>
      </c>
    </row>
    <row r="438" spans="1:107" x14ac:dyDescent="0.2">
      <c r="A438" s="2" t="b">
        <v>0</v>
      </c>
      <c r="B438" s="2" t="s">
        <v>79</v>
      </c>
      <c r="C438" s="2" t="s">
        <v>80</v>
      </c>
      <c r="D438" s="2" t="s">
        <v>1365</v>
      </c>
      <c r="E438" s="2" t="s">
        <v>1366</v>
      </c>
      <c r="F438" s="2">
        <v>1</v>
      </c>
      <c r="G438" s="2">
        <v>1</v>
      </c>
      <c r="H438" s="2">
        <v>105.1</v>
      </c>
      <c r="I438" s="2">
        <v>6.7</v>
      </c>
      <c r="J438" s="2" t="s">
        <v>195</v>
      </c>
      <c r="K438" s="2" t="s">
        <v>391</v>
      </c>
      <c r="L438" s="2" t="s">
        <v>83</v>
      </c>
      <c r="M438" s="2" t="s">
        <v>1367</v>
      </c>
      <c r="N438" s="2" t="s">
        <v>1365</v>
      </c>
      <c r="O438" s="2">
        <v>4.1559999999999997</v>
      </c>
      <c r="P438" s="2">
        <v>0.57899999999999996</v>
      </c>
      <c r="Q438" s="2">
        <v>2.77</v>
      </c>
      <c r="R438" s="2">
        <v>100</v>
      </c>
      <c r="S438" s="2">
        <v>100</v>
      </c>
      <c r="T438" s="2">
        <v>100</v>
      </c>
      <c r="U438" s="2">
        <v>100</v>
      </c>
      <c r="V438" s="2">
        <v>0.13900000000000001</v>
      </c>
      <c r="W438" s="2">
        <v>0.59899999999999998</v>
      </c>
      <c r="X438" s="2">
        <v>4.6139999999999999</v>
      </c>
      <c r="Y438" s="2">
        <v>59.5</v>
      </c>
      <c r="Z438" s="2" t="s">
        <v>83</v>
      </c>
      <c r="AA438" s="2">
        <v>247.2</v>
      </c>
      <c r="AB438" s="2">
        <v>34.4</v>
      </c>
      <c r="AC438" s="2">
        <v>158.9</v>
      </c>
      <c r="AD438" s="2">
        <v>91316.84375</v>
      </c>
      <c r="AE438" s="2">
        <v>67805.5625</v>
      </c>
      <c r="AF438" s="2">
        <v>55426.01171875</v>
      </c>
      <c r="AG438" s="2">
        <v>154128.671875</v>
      </c>
      <c r="AH438" s="2">
        <v>42215.38671875</v>
      </c>
      <c r="AI438" s="2" t="s">
        <v>83</v>
      </c>
      <c r="AJ438" s="2" t="s">
        <v>83</v>
      </c>
      <c r="AK438" s="2" t="s">
        <v>83</v>
      </c>
      <c r="AL438" s="2" t="s">
        <v>83</v>
      </c>
      <c r="AM438" s="2" t="s">
        <v>83</v>
      </c>
      <c r="AN438" s="2">
        <v>6170.75537109375</v>
      </c>
      <c r="AO438" s="2">
        <v>6693.63623046875</v>
      </c>
      <c r="AP438" s="2">
        <v>7259.42822265625</v>
      </c>
      <c r="AQ438" s="2">
        <v>2924.48291015625</v>
      </c>
      <c r="AR438" s="2">
        <v>7335.99609375</v>
      </c>
      <c r="AS438" s="2">
        <v>5969.86669921875</v>
      </c>
      <c r="AT438" s="2" t="s">
        <v>83</v>
      </c>
      <c r="AU438" s="2" t="s">
        <v>83</v>
      </c>
      <c r="AV438" s="2" t="s">
        <v>83</v>
      </c>
      <c r="AW438" s="2" t="s">
        <v>83</v>
      </c>
      <c r="AX438" s="2" t="s">
        <v>83</v>
      </c>
      <c r="AY438" s="2" t="s">
        <v>83</v>
      </c>
      <c r="AZ438" s="2">
        <v>10188.5029296875</v>
      </c>
      <c r="BA438" s="2">
        <v>10894.4560546875</v>
      </c>
      <c r="BB438" s="2" t="s">
        <v>83</v>
      </c>
      <c r="BC438" s="2" t="s">
        <v>79</v>
      </c>
      <c r="BD438" s="2" t="s">
        <v>79</v>
      </c>
      <c r="BE438" s="2" t="s">
        <v>79</v>
      </c>
      <c r="BF438" s="2" t="s">
        <v>79</v>
      </c>
      <c r="BG438" s="2" t="s">
        <v>79</v>
      </c>
      <c r="BH438" s="2" t="s">
        <v>98</v>
      </c>
      <c r="BI438" s="2" t="s">
        <v>98</v>
      </c>
      <c r="BJ438" s="2" t="s">
        <v>98</v>
      </c>
      <c r="BK438" s="2" t="s">
        <v>98</v>
      </c>
      <c r="BL438" s="2" t="s">
        <v>98</v>
      </c>
      <c r="BM438" s="2" t="s">
        <v>91</v>
      </c>
      <c r="BN438" s="2" t="s">
        <v>91</v>
      </c>
      <c r="BO438" s="2" t="s">
        <v>91</v>
      </c>
      <c r="BP438" s="2" t="s">
        <v>91</v>
      </c>
      <c r="BQ438" s="2" t="s">
        <v>91</v>
      </c>
      <c r="BR438" s="2" t="s">
        <v>91</v>
      </c>
      <c r="BS438" s="2" t="s">
        <v>98</v>
      </c>
      <c r="BT438" s="2" t="s">
        <v>98</v>
      </c>
      <c r="BU438" s="2" t="s">
        <v>98</v>
      </c>
      <c r="BV438" s="2" t="s">
        <v>98</v>
      </c>
      <c r="BW438" s="2" t="s">
        <v>98</v>
      </c>
      <c r="BX438" s="2" t="s">
        <v>98</v>
      </c>
      <c r="BY438" s="2" t="s">
        <v>91</v>
      </c>
      <c r="BZ438" s="2" t="s">
        <v>91</v>
      </c>
      <c r="CA438" s="2" t="s">
        <v>98</v>
      </c>
      <c r="CB438" t="e">
        <f>TTEST(AS438:AW438,AI438:AM438,2,2)</f>
        <v>#DIV/0!</v>
      </c>
      <c r="CC438" t="e">
        <f>TTEST(AD438:AH438,AI438:AM438,2,2)</f>
        <v>#DIV/0!</v>
      </c>
      <c r="CD438" t="e">
        <f>TTEST(AN438:AR438,AI438:AM438,2,2)</f>
        <v>#DIV/0!</v>
      </c>
      <c r="CE438" t="e">
        <f>TTEST(AX438:BB438,AI438:AM438,2,2)</f>
        <v>#DIV/0!</v>
      </c>
      <c r="CF438">
        <v>416</v>
      </c>
      <c r="CG438">
        <v>430</v>
      </c>
      <c r="CH438">
        <v>434</v>
      </c>
      <c r="CI438">
        <v>436</v>
      </c>
      <c r="CJ438">
        <f>0.05*CF438/464</f>
        <v>4.4827586206896551E-2</v>
      </c>
      <c r="CK438">
        <f>0.05*CG438/464</f>
        <v>4.6336206896551727E-2</v>
      </c>
      <c r="CL438">
        <f>0.05*CH438/464</f>
        <v>4.6767241379310348E-2</v>
      </c>
      <c r="CM438">
        <f>0.05*CI438/464</f>
        <v>4.6982758620689659E-2</v>
      </c>
      <c r="CN438" t="e">
        <f>IF(CB438&lt;CJ438,"yes","no")</f>
        <v>#DIV/0!</v>
      </c>
      <c r="CO438" t="e">
        <f>IF(CC438&lt;CK438,"yes","no")</f>
        <v>#DIV/0!</v>
      </c>
      <c r="CP438" t="e">
        <f>IF(CD438&lt;CL438,"yes","no")</f>
        <v>#DIV/0!</v>
      </c>
      <c r="CQ438" t="e">
        <f>IF(CE438&lt;CM438,"yes","no")</f>
        <v>#DIV/0!</v>
      </c>
      <c r="CR438" t="e">
        <f>TTEST(AS438:AW438,AD438:AH438,2,2)</f>
        <v>#DIV/0!</v>
      </c>
      <c r="CS438" t="e">
        <f>TTEST(AS438:AW438,AN438:AR438,2,2)</f>
        <v>#DIV/0!</v>
      </c>
      <c r="CT438" t="e">
        <f>TTEST(AS438:AW438,AX438:BB438,2,2)</f>
        <v>#DIV/0!</v>
      </c>
      <c r="CU438">
        <v>434</v>
      </c>
      <c r="CV438">
        <v>436</v>
      </c>
      <c r="CW438">
        <v>437</v>
      </c>
      <c r="CX438">
        <f t="shared" si="18"/>
        <v>4.6767241379310348E-2</v>
      </c>
      <c r="CY438">
        <f t="shared" si="19"/>
        <v>4.6982758620689659E-2</v>
      </c>
      <c r="CZ438">
        <f t="shared" si="20"/>
        <v>4.7090517241379311E-2</v>
      </c>
      <c r="DA438" t="e">
        <f>IF(CR438&lt;CX438,"yes","no")</f>
        <v>#DIV/0!</v>
      </c>
      <c r="DB438" t="e">
        <f>IF(CS438&lt;CY438,"yes","no")</f>
        <v>#DIV/0!</v>
      </c>
      <c r="DC438" t="e">
        <f>IF(CT438&lt;CZ438,"yes","no")</f>
        <v>#DIV/0!</v>
      </c>
    </row>
    <row r="439" spans="1:107" x14ac:dyDescent="0.2">
      <c r="A439" s="2" t="b">
        <v>0</v>
      </c>
      <c r="B439" s="2" t="s">
        <v>79</v>
      </c>
      <c r="C439" s="2" t="s">
        <v>80</v>
      </c>
      <c r="D439" s="2" t="s">
        <v>1368</v>
      </c>
      <c r="E439" s="2" t="s">
        <v>1369</v>
      </c>
      <c r="F439" s="2">
        <v>2</v>
      </c>
      <c r="G439" s="2">
        <v>2</v>
      </c>
      <c r="H439" s="2">
        <v>89.8</v>
      </c>
      <c r="I439" s="2">
        <v>7.23</v>
      </c>
      <c r="J439" s="2" t="s">
        <v>322</v>
      </c>
      <c r="K439" s="2" t="s">
        <v>1370</v>
      </c>
      <c r="L439" s="2" t="s">
        <v>119</v>
      </c>
      <c r="M439" s="2" t="s">
        <v>1371</v>
      </c>
      <c r="N439" s="2" t="s">
        <v>1372</v>
      </c>
      <c r="O439" s="2">
        <v>0.01</v>
      </c>
      <c r="P439" s="2">
        <v>0.71599999999999997</v>
      </c>
      <c r="Q439" s="2">
        <v>0.01</v>
      </c>
      <c r="R439" s="2">
        <v>100</v>
      </c>
      <c r="S439" s="2" t="s">
        <v>83</v>
      </c>
      <c r="T439" s="2">
        <v>100</v>
      </c>
      <c r="U439" s="2" t="s">
        <v>83</v>
      </c>
      <c r="V439" s="2">
        <v>100</v>
      </c>
      <c r="W439" s="2" t="s">
        <v>83</v>
      </c>
      <c r="X439" s="2">
        <v>0.01</v>
      </c>
      <c r="Y439" s="2">
        <v>291.39999999999998</v>
      </c>
      <c r="Z439" s="2" t="s">
        <v>83</v>
      </c>
      <c r="AA439" s="2" t="s">
        <v>83</v>
      </c>
      <c r="AB439" s="2">
        <v>208.6</v>
      </c>
      <c r="AC439" s="2" t="s">
        <v>83</v>
      </c>
      <c r="AD439" s="2">
        <v>124015.8359375</v>
      </c>
      <c r="AE439" s="2" t="s">
        <v>83</v>
      </c>
      <c r="AF439" s="2" t="s">
        <v>83</v>
      </c>
      <c r="AG439" s="2">
        <v>266991</v>
      </c>
      <c r="AH439" s="2">
        <v>258899.546875</v>
      </c>
      <c r="AI439" s="2" t="s">
        <v>83</v>
      </c>
      <c r="AJ439" s="2" t="s">
        <v>83</v>
      </c>
      <c r="AK439" s="2" t="s">
        <v>83</v>
      </c>
      <c r="AL439" s="2" t="s">
        <v>83</v>
      </c>
      <c r="AM439" s="2" t="s">
        <v>83</v>
      </c>
      <c r="AN439" s="2" t="s">
        <v>83</v>
      </c>
      <c r="AO439" s="2" t="s">
        <v>83</v>
      </c>
      <c r="AP439" s="2" t="s">
        <v>83</v>
      </c>
      <c r="AQ439" s="2" t="s">
        <v>83</v>
      </c>
      <c r="AR439" s="2" t="s">
        <v>83</v>
      </c>
      <c r="AS439" s="2" t="s">
        <v>83</v>
      </c>
      <c r="AT439" s="2" t="s">
        <v>83</v>
      </c>
      <c r="AU439" s="2">
        <v>22261.25390625</v>
      </c>
      <c r="AV439" s="2" t="s">
        <v>83</v>
      </c>
      <c r="AW439" s="2" t="s">
        <v>83</v>
      </c>
      <c r="AX439" s="2" t="s">
        <v>83</v>
      </c>
      <c r="AY439" s="2" t="s">
        <v>83</v>
      </c>
      <c r="AZ439" s="2" t="s">
        <v>83</v>
      </c>
      <c r="BA439" s="2" t="s">
        <v>83</v>
      </c>
      <c r="BB439" s="2" t="s">
        <v>83</v>
      </c>
      <c r="BC439" s="2" t="s">
        <v>79</v>
      </c>
      <c r="BD439" s="2" t="s">
        <v>79</v>
      </c>
      <c r="BE439" s="2" t="s">
        <v>98</v>
      </c>
      <c r="BF439" s="2" t="s">
        <v>79</v>
      </c>
      <c r="BG439" s="2" t="s">
        <v>79</v>
      </c>
      <c r="BH439" s="2" t="s">
        <v>98</v>
      </c>
      <c r="BI439" s="2" t="s">
        <v>98</v>
      </c>
      <c r="BJ439" s="2" t="s">
        <v>98</v>
      </c>
      <c r="BK439" s="2" t="s">
        <v>98</v>
      </c>
      <c r="BL439" s="2" t="s">
        <v>98</v>
      </c>
      <c r="BM439" s="2" t="s">
        <v>98</v>
      </c>
      <c r="BN439" s="2" t="s">
        <v>98</v>
      </c>
      <c r="BO439" s="2" t="s">
        <v>98</v>
      </c>
      <c r="BP439" s="2" t="s">
        <v>98</v>
      </c>
      <c r="BQ439" s="2" t="s">
        <v>98</v>
      </c>
      <c r="BR439" s="2" t="s">
        <v>98</v>
      </c>
      <c r="BS439" s="2" t="s">
        <v>98</v>
      </c>
      <c r="BT439" s="2" t="s">
        <v>91</v>
      </c>
      <c r="BU439" s="2" t="s">
        <v>98</v>
      </c>
      <c r="BV439" s="2" t="s">
        <v>98</v>
      </c>
      <c r="BW439" s="2" t="s">
        <v>98</v>
      </c>
      <c r="BX439" s="2" t="s">
        <v>98</v>
      </c>
      <c r="BY439" s="2" t="s">
        <v>98</v>
      </c>
      <c r="BZ439" s="2" t="s">
        <v>98</v>
      </c>
      <c r="CA439" s="2" t="s">
        <v>98</v>
      </c>
      <c r="CB439" t="e">
        <f>TTEST(AS439:AW439,AI439:AM439,2,2)</f>
        <v>#DIV/0!</v>
      </c>
      <c r="CC439" t="e">
        <f>TTEST(AD439:AH439,AI439:AM439,2,2)</f>
        <v>#DIV/0!</v>
      </c>
      <c r="CD439" t="e">
        <f>TTEST(AN439:AR439,AI439:AM439,2,2)</f>
        <v>#DIV/0!</v>
      </c>
      <c r="CE439" t="e">
        <f>TTEST(AX439:BB439,AI439:AM439,2,2)</f>
        <v>#DIV/0!</v>
      </c>
      <c r="CF439">
        <v>417</v>
      </c>
      <c r="CG439">
        <v>431</v>
      </c>
      <c r="CH439">
        <v>435</v>
      </c>
      <c r="CI439">
        <v>437</v>
      </c>
      <c r="CJ439">
        <f>0.05*CF439/464</f>
        <v>4.493534482758621E-2</v>
      </c>
      <c r="CK439">
        <f>0.05*CG439/464</f>
        <v>4.6443965517241378E-2</v>
      </c>
      <c r="CL439">
        <f>0.05*CH439/464</f>
        <v>4.6875E-2</v>
      </c>
      <c r="CM439">
        <f>0.05*CI439/464</f>
        <v>4.7090517241379311E-2</v>
      </c>
      <c r="CN439" t="e">
        <f>IF(CB439&lt;CJ439,"yes","no")</f>
        <v>#DIV/0!</v>
      </c>
      <c r="CO439" t="e">
        <f>IF(CC439&lt;CK439,"yes","no")</f>
        <v>#DIV/0!</v>
      </c>
      <c r="CP439" t="e">
        <f>IF(CD439&lt;CL439,"yes","no")</f>
        <v>#DIV/0!</v>
      </c>
      <c r="CQ439" t="e">
        <f>IF(CE439&lt;CM439,"yes","no")</f>
        <v>#DIV/0!</v>
      </c>
      <c r="CR439" t="e">
        <f>TTEST(AS439:AW439,AD439:AH439,2,2)</f>
        <v>#DIV/0!</v>
      </c>
      <c r="CS439" t="e">
        <f>TTEST(AS439:AW439,AN439:AR439,2,2)</f>
        <v>#DIV/0!</v>
      </c>
      <c r="CT439" t="e">
        <f>TTEST(AS439:AW439,AX439:BB439,2,2)</f>
        <v>#DIV/0!</v>
      </c>
      <c r="CU439">
        <v>435</v>
      </c>
      <c r="CV439">
        <v>437</v>
      </c>
      <c r="CW439">
        <v>438</v>
      </c>
      <c r="CX439">
        <f t="shared" si="18"/>
        <v>4.6875E-2</v>
      </c>
      <c r="CY439">
        <f t="shared" si="19"/>
        <v>4.7090517241379311E-2</v>
      </c>
      <c r="CZ439">
        <f t="shared" si="20"/>
        <v>4.719827586206897E-2</v>
      </c>
      <c r="DA439" t="e">
        <f>IF(CR439&lt;CX439,"yes","no")</f>
        <v>#DIV/0!</v>
      </c>
      <c r="DB439" t="e">
        <f>IF(CS439&lt;CY439,"yes","no")</f>
        <v>#DIV/0!</v>
      </c>
      <c r="DC439" t="e">
        <f>IF(CT439&lt;CZ439,"yes","no")</f>
        <v>#DIV/0!</v>
      </c>
    </row>
    <row r="440" spans="1:107" x14ac:dyDescent="0.2">
      <c r="A440" s="2" t="b">
        <v>0</v>
      </c>
      <c r="B440" s="2" t="s">
        <v>79</v>
      </c>
      <c r="C440" s="2" t="s">
        <v>80</v>
      </c>
      <c r="D440" s="2" t="s">
        <v>1408</v>
      </c>
      <c r="E440" s="2" t="s">
        <v>1409</v>
      </c>
      <c r="F440" s="2">
        <v>2</v>
      </c>
      <c r="G440" s="2">
        <v>2</v>
      </c>
      <c r="H440" s="2">
        <v>157.30000000000001</v>
      </c>
      <c r="I440" s="2">
        <v>6.61</v>
      </c>
      <c r="J440" s="2" t="s">
        <v>1410</v>
      </c>
      <c r="K440" s="2" t="s">
        <v>989</v>
      </c>
      <c r="L440" s="2" t="s">
        <v>405</v>
      </c>
      <c r="M440" s="2" t="s">
        <v>1411</v>
      </c>
      <c r="N440" s="2" t="s">
        <v>1408</v>
      </c>
      <c r="O440" s="2">
        <v>0.01</v>
      </c>
      <c r="P440" s="2">
        <v>1.825</v>
      </c>
      <c r="Q440" s="2">
        <v>0.01</v>
      </c>
      <c r="R440" s="2">
        <v>100</v>
      </c>
      <c r="S440" s="2" t="s">
        <v>83</v>
      </c>
      <c r="T440" s="2">
        <v>100</v>
      </c>
      <c r="U440" s="2" t="s">
        <v>83</v>
      </c>
      <c r="V440" s="2">
        <v>100</v>
      </c>
      <c r="W440" s="2" t="s">
        <v>83</v>
      </c>
      <c r="X440" s="2">
        <v>0.01</v>
      </c>
      <c r="Y440" s="2">
        <v>177</v>
      </c>
      <c r="Z440" s="2" t="s">
        <v>83</v>
      </c>
      <c r="AA440" s="2" t="s">
        <v>83</v>
      </c>
      <c r="AB440" s="2">
        <v>323</v>
      </c>
      <c r="AC440" s="2" t="s">
        <v>83</v>
      </c>
      <c r="AD440" s="2" t="s">
        <v>83</v>
      </c>
      <c r="AE440" s="2" t="s">
        <v>83</v>
      </c>
      <c r="AF440" s="2" t="s">
        <v>83</v>
      </c>
      <c r="AG440" s="2">
        <v>16426.033203125</v>
      </c>
      <c r="AH440" s="2" t="s">
        <v>83</v>
      </c>
      <c r="AI440" s="2" t="s">
        <v>83</v>
      </c>
      <c r="AJ440" s="2" t="s">
        <v>83</v>
      </c>
      <c r="AK440" s="2" t="s">
        <v>83</v>
      </c>
      <c r="AL440" s="2" t="s">
        <v>83</v>
      </c>
      <c r="AM440" s="2" t="s">
        <v>83</v>
      </c>
      <c r="AN440" s="2" t="s">
        <v>83</v>
      </c>
      <c r="AO440" s="2" t="s">
        <v>83</v>
      </c>
      <c r="AP440" s="2" t="s">
        <v>83</v>
      </c>
      <c r="AQ440" s="2" t="s">
        <v>83</v>
      </c>
      <c r="AR440" s="2" t="s">
        <v>83</v>
      </c>
      <c r="AS440" s="2" t="s">
        <v>83</v>
      </c>
      <c r="AT440" s="2" t="s">
        <v>83</v>
      </c>
      <c r="AU440" s="2" t="s">
        <v>83</v>
      </c>
      <c r="AV440" s="2">
        <v>3764.0576171875</v>
      </c>
      <c r="AW440" s="2" t="s">
        <v>83</v>
      </c>
      <c r="AX440" s="2" t="s">
        <v>83</v>
      </c>
      <c r="AY440" s="2" t="s">
        <v>83</v>
      </c>
      <c r="AZ440" s="2" t="s">
        <v>83</v>
      </c>
      <c r="BA440" s="2" t="s">
        <v>83</v>
      </c>
      <c r="BB440" s="2" t="s">
        <v>83</v>
      </c>
      <c r="BC440" s="2" t="s">
        <v>98</v>
      </c>
      <c r="BD440" s="2" t="s">
        <v>98</v>
      </c>
      <c r="BE440" s="2" t="s">
        <v>98</v>
      </c>
      <c r="BF440" s="2" t="s">
        <v>79</v>
      </c>
      <c r="BG440" s="2" t="s">
        <v>98</v>
      </c>
      <c r="BH440" s="2" t="s">
        <v>98</v>
      </c>
      <c r="BI440" s="2" t="s">
        <v>98</v>
      </c>
      <c r="BJ440" s="2" t="s">
        <v>98</v>
      </c>
      <c r="BK440" s="2" t="s">
        <v>98</v>
      </c>
      <c r="BL440" s="2" t="s">
        <v>98</v>
      </c>
      <c r="BM440" s="2" t="s">
        <v>98</v>
      </c>
      <c r="BN440" s="2" t="s">
        <v>98</v>
      </c>
      <c r="BO440" s="2" t="s">
        <v>98</v>
      </c>
      <c r="BP440" s="2" t="s">
        <v>98</v>
      </c>
      <c r="BQ440" s="2" t="s">
        <v>98</v>
      </c>
      <c r="BR440" s="2" t="s">
        <v>98</v>
      </c>
      <c r="BS440" s="2" t="s">
        <v>98</v>
      </c>
      <c r="BT440" s="2" t="s">
        <v>98</v>
      </c>
      <c r="BU440" s="2" t="s">
        <v>91</v>
      </c>
      <c r="BV440" s="2" t="s">
        <v>98</v>
      </c>
      <c r="BW440" s="2" t="s">
        <v>98</v>
      </c>
      <c r="BX440" s="2" t="s">
        <v>98</v>
      </c>
      <c r="BY440" s="2" t="s">
        <v>98</v>
      </c>
      <c r="BZ440" s="2" t="s">
        <v>98</v>
      </c>
      <c r="CA440" s="2" t="s">
        <v>98</v>
      </c>
      <c r="CB440" t="e">
        <f>TTEST(AS440:AW440,AI440:AM440,2,2)</f>
        <v>#DIV/0!</v>
      </c>
      <c r="CC440" t="e">
        <f>TTEST(AD440:AH440,AI440:AM440,2,2)</f>
        <v>#DIV/0!</v>
      </c>
      <c r="CD440" t="e">
        <f>TTEST(AN440:AR440,AI440:AM440,2,2)</f>
        <v>#DIV/0!</v>
      </c>
      <c r="CE440" t="e">
        <f>TTEST(AX440:BB440,AI440:AM440,2,2)</f>
        <v>#DIV/0!</v>
      </c>
      <c r="CF440">
        <v>419</v>
      </c>
      <c r="CG440">
        <v>433</v>
      </c>
      <c r="CH440">
        <v>437</v>
      </c>
      <c r="CI440">
        <v>438</v>
      </c>
      <c r="CJ440">
        <f>0.05*CF440/464</f>
        <v>4.5150862068965521E-2</v>
      </c>
      <c r="CK440">
        <f>0.05*CG440/464</f>
        <v>4.6659482758620696E-2</v>
      </c>
      <c r="CL440">
        <f>0.05*CH440/464</f>
        <v>4.7090517241379311E-2</v>
      </c>
      <c r="CM440">
        <f>0.05*CI440/464</f>
        <v>4.719827586206897E-2</v>
      </c>
      <c r="CN440" t="e">
        <f>IF(CB440&lt;CJ440,"yes","no")</f>
        <v>#DIV/0!</v>
      </c>
      <c r="CO440" t="e">
        <f>IF(CC440&lt;CK440,"yes","no")</f>
        <v>#DIV/0!</v>
      </c>
      <c r="CP440" t="e">
        <f>IF(CD440&lt;CL440,"yes","no")</f>
        <v>#DIV/0!</v>
      </c>
      <c r="CQ440" t="e">
        <f>IF(CE440&lt;CM440,"yes","no")</f>
        <v>#DIV/0!</v>
      </c>
      <c r="CR440" t="e">
        <f>TTEST(AS440:AW440,AD440:AH440,2,2)</f>
        <v>#DIV/0!</v>
      </c>
      <c r="CS440" t="e">
        <f>TTEST(AS440:AW440,AN440:AR440,2,2)</f>
        <v>#DIV/0!</v>
      </c>
      <c r="CT440" t="e">
        <f>TTEST(AS440:AW440,AX440:BB440,2,2)</f>
        <v>#DIV/0!</v>
      </c>
      <c r="CU440">
        <v>437</v>
      </c>
      <c r="CV440">
        <v>438</v>
      </c>
      <c r="CW440">
        <v>439</v>
      </c>
      <c r="CX440">
        <f t="shared" si="18"/>
        <v>4.7090517241379311E-2</v>
      </c>
      <c r="CY440">
        <f t="shared" si="19"/>
        <v>4.719827586206897E-2</v>
      </c>
      <c r="CZ440">
        <f t="shared" si="20"/>
        <v>4.7306034482758628E-2</v>
      </c>
      <c r="DA440" t="e">
        <f>IF(CR440&lt;CX440,"yes","no")</f>
        <v>#DIV/0!</v>
      </c>
      <c r="DB440" t="e">
        <f>IF(CS440&lt;CY440,"yes","no")</f>
        <v>#DIV/0!</v>
      </c>
      <c r="DC440" t="e">
        <f>IF(CT440&lt;CZ440,"yes","no")</f>
        <v>#DIV/0!</v>
      </c>
    </row>
    <row r="441" spans="1:107" x14ac:dyDescent="0.2">
      <c r="A441" s="2" t="b">
        <v>0</v>
      </c>
      <c r="B441" s="2" t="s">
        <v>79</v>
      </c>
      <c r="C441" s="2" t="s">
        <v>80</v>
      </c>
      <c r="D441" s="2" t="s">
        <v>1421</v>
      </c>
      <c r="E441" s="2" t="s">
        <v>1422</v>
      </c>
      <c r="F441" s="2">
        <v>1</v>
      </c>
      <c r="G441" s="2">
        <v>1</v>
      </c>
      <c r="H441" s="2">
        <v>12.7</v>
      </c>
      <c r="I441" s="2">
        <v>4.6500000000000004</v>
      </c>
      <c r="J441" s="2" t="s">
        <v>83</v>
      </c>
      <c r="K441" s="2" t="s">
        <v>83</v>
      </c>
      <c r="L441" s="2" t="s">
        <v>83</v>
      </c>
      <c r="M441" s="2" t="s">
        <v>1423</v>
      </c>
      <c r="N441" s="2" t="s">
        <v>1421</v>
      </c>
      <c r="O441" s="2">
        <v>0.01</v>
      </c>
      <c r="P441" s="2">
        <v>0.76700000000000002</v>
      </c>
      <c r="Q441" s="2">
        <v>0.01</v>
      </c>
      <c r="R441" s="2">
        <v>100</v>
      </c>
      <c r="S441" s="2" t="s">
        <v>83</v>
      </c>
      <c r="T441" s="2">
        <v>100</v>
      </c>
      <c r="U441" s="2" t="s">
        <v>83</v>
      </c>
      <c r="V441" s="2">
        <v>100</v>
      </c>
      <c r="W441" s="2" t="s">
        <v>83</v>
      </c>
      <c r="X441" s="2">
        <v>0.01</v>
      </c>
      <c r="Y441" s="2">
        <v>282.89999999999998</v>
      </c>
      <c r="Z441" s="2" t="s">
        <v>83</v>
      </c>
      <c r="AA441" s="2" t="s">
        <v>83</v>
      </c>
      <c r="AB441" s="2">
        <v>217.1</v>
      </c>
      <c r="AC441" s="2" t="s">
        <v>83</v>
      </c>
      <c r="AD441" s="2">
        <v>17268.4609375</v>
      </c>
      <c r="AE441" s="2" t="s">
        <v>83</v>
      </c>
      <c r="AF441" s="2" t="s">
        <v>83</v>
      </c>
      <c r="AG441" s="2">
        <v>90374.09375</v>
      </c>
      <c r="AH441" s="2">
        <v>118336.3984375</v>
      </c>
      <c r="AI441" s="2" t="s">
        <v>83</v>
      </c>
      <c r="AJ441" s="2" t="s">
        <v>83</v>
      </c>
      <c r="AK441" s="2" t="s">
        <v>83</v>
      </c>
      <c r="AL441" s="2" t="s">
        <v>83</v>
      </c>
      <c r="AM441" s="2" t="s">
        <v>83</v>
      </c>
      <c r="AN441" s="2" t="s">
        <v>83</v>
      </c>
      <c r="AO441" s="2" t="s">
        <v>83</v>
      </c>
      <c r="AP441" s="2" t="s">
        <v>83</v>
      </c>
      <c r="AQ441" s="2" t="s">
        <v>83</v>
      </c>
      <c r="AR441" s="2" t="s">
        <v>83</v>
      </c>
      <c r="AS441" s="2" t="s">
        <v>83</v>
      </c>
      <c r="AT441" s="2" t="s">
        <v>83</v>
      </c>
      <c r="AU441" s="2" t="s">
        <v>83</v>
      </c>
      <c r="AV441" s="2">
        <v>8706.20703125</v>
      </c>
      <c r="AW441" s="2" t="s">
        <v>83</v>
      </c>
      <c r="AX441" s="2" t="s">
        <v>83</v>
      </c>
      <c r="AY441" s="2" t="s">
        <v>83</v>
      </c>
      <c r="AZ441" s="2" t="s">
        <v>83</v>
      </c>
      <c r="BA441" s="2" t="s">
        <v>83</v>
      </c>
      <c r="BB441" s="2" t="s">
        <v>83</v>
      </c>
      <c r="BC441" s="2" t="s">
        <v>91</v>
      </c>
      <c r="BD441" s="2" t="s">
        <v>98</v>
      </c>
      <c r="BE441" s="2" t="s">
        <v>98</v>
      </c>
      <c r="BF441" s="2" t="s">
        <v>79</v>
      </c>
      <c r="BG441" s="2" t="s">
        <v>79</v>
      </c>
      <c r="BH441" s="2" t="s">
        <v>98</v>
      </c>
      <c r="BI441" s="2" t="s">
        <v>98</v>
      </c>
      <c r="BJ441" s="2" t="s">
        <v>98</v>
      </c>
      <c r="BK441" s="2" t="s">
        <v>98</v>
      </c>
      <c r="BL441" s="2" t="s">
        <v>98</v>
      </c>
      <c r="BM441" s="2" t="s">
        <v>98</v>
      </c>
      <c r="BN441" s="2" t="s">
        <v>98</v>
      </c>
      <c r="BO441" s="2" t="s">
        <v>98</v>
      </c>
      <c r="BP441" s="2" t="s">
        <v>98</v>
      </c>
      <c r="BQ441" s="2" t="s">
        <v>98</v>
      </c>
      <c r="BR441" s="2" t="s">
        <v>98</v>
      </c>
      <c r="BS441" s="2" t="s">
        <v>98</v>
      </c>
      <c r="BT441" s="2" t="s">
        <v>98</v>
      </c>
      <c r="BU441" s="2" t="s">
        <v>91</v>
      </c>
      <c r="BV441" s="2" t="s">
        <v>98</v>
      </c>
      <c r="BW441" s="2" t="s">
        <v>98</v>
      </c>
      <c r="BX441" s="2" t="s">
        <v>98</v>
      </c>
      <c r="BY441" s="2" t="s">
        <v>98</v>
      </c>
      <c r="BZ441" s="2" t="s">
        <v>98</v>
      </c>
      <c r="CA441" s="2" t="s">
        <v>98</v>
      </c>
      <c r="CB441" t="e">
        <f>TTEST(AS441:AW441,AI441:AM441,2,2)</f>
        <v>#DIV/0!</v>
      </c>
      <c r="CC441" t="e">
        <f>TTEST(AD441:AH441,AI441:AM441,2,2)</f>
        <v>#DIV/0!</v>
      </c>
      <c r="CD441" t="e">
        <f>TTEST(AN441:AR441,AI441:AM441,2,2)</f>
        <v>#DIV/0!</v>
      </c>
      <c r="CE441" t="e">
        <f>TTEST(AX441:BB441,AI441:AM441,2,2)</f>
        <v>#DIV/0!</v>
      </c>
      <c r="CF441">
        <v>420</v>
      </c>
      <c r="CG441">
        <v>434</v>
      </c>
      <c r="CH441">
        <v>438</v>
      </c>
      <c r="CI441">
        <v>439</v>
      </c>
      <c r="CJ441">
        <f>0.05*CF441/464</f>
        <v>4.5258620689655173E-2</v>
      </c>
      <c r="CK441">
        <f>0.05*CG441/464</f>
        <v>4.6767241379310348E-2</v>
      </c>
      <c r="CL441">
        <f>0.05*CH441/464</f>
        <v>4.719827586206897E-2</v>
      </c>
      <c r="CM441">
        <f>0.05*CI441/464</f>
        <v>4.7306034482758628E-2</v>
      </c>
      <c r="CN441" t="e">
        <f>IF(CB441&lt;CJ441,"yes","no")</f>
        <v>#DIV/0!</v>
      </c>
      <c r="CO441" t="e">
        <f>IF(CC441&lt;CK441,"yes","no")</f>
        <v>#DIV/0!</v>
      </c>
      <c r="CP441" t="e">
        <f>IF(CD441&lt;CL441,"yes","no")</f>
        <v>#DIV/0!</v>
      </c>
      <c r="CQ441" t="e">
        <f>IF(CE441&lt;CM441,"yes","no")</f>
        <v>#DIV/0!</v>
      </c>
      <c r="CR441" t="e">
        <f>TTEST(AS441:AW441,AD441:AH441,2,2)</f>
        <v>#DIV/0!</v>
      </c>
      <c r="CS441" t="e">
        <f>TTEST(AS441:AW441,AN441:AR441,2,2)</f>
        <v>#DIV/0!</v>
      </c>
      <c r="CT441" t="e">
        <f>TTEST(AS441:AW441,AX441:BB441,2,2)</f>
        <v>#DIV/0!</v>
      </c>
      <c r="CU441">
        <v>438</v>
      </c>
      <c r="CV441">
        <v>439</v>
      </c>
      <c r="CW441">
        <v>440</v>
      </c>
      <c r="CX441">
        <f t="shared" si="18"/>
        <v>4.719827586206897E-2</v>
      </c>
      <c r="CY441">
        <f t="shared" si="19"/>
        <v>4.7306034482758628E-2</v>
      </c>
      <c r="CZ441">
        <f t="shared" si="20"/>
        <v>4.7413793103448273E-2</v>
      </c>
      <c r="DA441" t="e">
        <f>IF(CR441&lt;CX441,"yes","no")</f>
        <v>#DIV/0!</v>
      </c>
      <c r="DB441" t="e">
        <f>IF(CS441&lt;CY441,"yes","no")</f>
        <v>#DIV/0!</v>
      </c>
      <c r="DC441" t="e">
        <f>IF(CT441&lt;CZ441,"yes","no")</f>
        <v>#DIV/0!</v>
      </c>
    </row>
    <row r="442" spans="1:107" x14ac:dyDescent="0.2">
      <c r="A442" s="2" t="b">
        <v>0</v>
      </c>
      <c r="B442" s="2" t="s">
        <v>79</v>
      </c>
      <c r="C442" s="2" t="s">
        <v>80</v>
      </c>
      <c r="D442" s="2" t="s">
        <v>1542</v>
      </c>
      <c r="E442" s="2" t="s">
        <v>1543</v>
      </c>
      <c r="F442" s="2">
        <v>1</v>
      </c>
      <c r="G442" s="2">
        <v>1</v>
      </c>
      <c r="H442" s="2">
        <v>36.1</v>
      </c>
      <c r="I442" s="2">
        <v>8.94</v>
      </c>
      <c r="J442" s="2" t="s">
        <v>322</v>
      </c>
      <c r="K442" s="2" t="s">
        <v>845</v>
      </c>
      <c r="L442" s="2" t="s">
        <v>119</v>
      </c>
      <c r="M442" s="2" t="s">
        <v>1544</v>
      </c>
      <c r="N442" s="2" t="s">
        <v>1545</v>
      </c>
      <c r="O442" s="2">
        <v>1.105</v>
      </c>
      <c r="P442" s="2">
        <v>2.2240000000000002</v>
      </c>
      <c r="Q442" s="2">
        <v>1.706</v>
      </c>
      <c r="R442" s="2">
        <v>0.622</v>
      </c>
      <c r="S442" s="2">
        <v>0.68799999999999994</v>
      </c>
      <c r="T442" s="2">
        <v>1.3839999999999999</v>
      </c>
      <c r="U442" s="2">
        <v>1.0620000000000001</v>
      </c>
      <c r="V442" s="2">
        <v>2.012</v>
      </c>
      <c r="W442" s="2">
        <v>1.5429999999999999</v>
      </c>
      <c r="X442" s="2">
        <v>0.76700000000000002</v>
      </c>
      <c r="Y442" s="2">
        <v>65.400000000000006</v>
      </c>
      <c r="Z442" s="2">
        <v>105.1</v>
      </c>
      <c r="AA442" s="2">
        <v>72.3</v>
      </c>
      <c r="AB442" s="2">
        <v>145.5</v>
      </c>
      <c r="AC442" s="2">
        <v>111.6</v>
      </c>
      <c r="AD442" s="2" t="s">
        <v>83</v>
      </c>
      <c r="AE442" s="2" t="s">
        <v>83</v>
      </c>
      <c r="AF442" s="2" t="s">
        <v>83</v>
      </c>
      <c r="AG442" s="2">
        <v>265308.21875</v>
      </c>
      <c r="AH442" s="2" t="s">
        <v>83</v>
      </c>
      <c r="AI442" s="2" t="s">
        <v>83</v>
      </c>
      <c r="AJ442" s="2" t="s">
        <v>83</v>
      </c>
      <c r="AK442" s="2" t="s">
        <v>83</v>
      </c>
      <c r="AL442" s="2">
        <v>11062.58984375</v>
      </c>
      <c r="AM442" s="2" t="s">
        <v>83</v>
      </c>
      <c r="AN442" s="2" t="s">
        <v>83</v>
      </c>
      <c r="AO442" s="2" t="s">
        <v>83</v>
      </c>
      <c r="AP442" s="2" t="s">
        <v>83</v>
      </c>
      <c r="AQ442" s="2" t="s">
        <v>83</v>
      </c>
      <c r="AR442" s="2">
        <v>6482.00390625</v>
      </c>
      <c r="AS442" s="2" t="s">
        <v>83</v>
      </c>
      <c r="AT442" s="2">
        <v>110251.328125</v>
      </c>
      <c r="AU442" s="2" t="s">
        <v>83</v>
      </c>
      <c r="AV442" s="2" t="s">
        <v>83</v>
      </c>
      <c r="AW442" s="2" t="s">
        <v>83</v>
      </c>
      <c r="AX442" s="2">
        <v>19126.716796875</v>
      </c>
      <c r="AY442" s="2" t="s">
        <v>83</v>
      </c>
      <c r="AZ442" s="2" t="s">
        <v>83</v>
      </c>
      <c r="BA442" s="2" t="s">
        <v>83</v>
      </c>
      <c r="BB442" s="2" t="s">
        <v>83</v>
      </c>
      <c r="BC442" s="2" t="s">
        <v>98</v>
      </c>
      <c r="BD442" s="2" t="s">
        <v>98</v>
      </c>
      <c r="BE442" s="2" t="s">
        <v>98</v>
      </c>
      <c r="BF442" s="2" t="s">
        <v>79</v>
      </c>
      <c r="BG442" s="2" t="s">
        <v>98</v>
      </c>
      <c r="BH442" s="2" t="s">
        <v>98</v>
      </c>
      <c r="BI442" s="2" t="s">
        <v>98</v>
      </c>
      <c r="BJ442" s="2" t="s">
        <v>98</v>
      </c>
      <c r="BK442" s="2" t="s">
        <v>91</v>
      </c>
      <c r="BL442" s="2" t="s">
        <v>98</v>
      </c>
      <c r="BM442" s="2" t="s">
        <v>98</v>
      </c>
      <c r="BN442" s="2" t="s">
        <v>98</v>
      </c>
      <c r="BO442" s="2" t="s">
        <v>98</v>
      </c>
      <c r="BP442" s="2" t="s">
        <v>98</v>
      </c>
      <c r="BQ442" s="2" t="s">
        <v>91</v>
      </c>
      <c r="BR442" s="2" t="s">
        <v>98</v>
      </c>
      <c r="BS442" s="2" t="s">
        <v>91</v>
      </c>
      <c r="BT442" s="2" t="s">
        <v>98</v>
      </c>
      <c r="BU442" s="2" t="s">
        <v>98</v>
      </c>
      <c r="BV442" s="2" t="s">
        <v>98</v>
      </c>
      <c r="BW442" s="2" t="s">
        <v>91</v>
      </c>
      <c r="BX442" s="2" t="s">
        <v>98</v>
      </c>
      <c r="BY442" s="2" t="s">
        <v>98</v>
      </c>
      <c r="BZ442" s="2" t="s">
        <v>98</v>
      </c>
      <c r="CA442" s="2" t="s">
        <v>98</v>
      </c>
      <c r="CB442" t="e">
        <f>TTEST(AS442:AW442,AI442:AM442,2,2)</f>
        <v>#DIV/0!</v>
      </c>
      <c r="CC442" t="e">
        <f>TTEST(AD442:AH442,AI442:AM442,2,2)</f>
        <v>#DIV/0!</v>
      </c>
      <c r="CD442" t="e">
        <f>TTEST(AN442:AR442,AI442:AM442,2,2)</f>
        <v>#DIV/0!</v>
      </c>
      <c r="CE442" t="e">
        <f>TTEST(AX442:BB442,AI442:AM442,2,2)</f>
        <v>#DIV/0!</v>
      </c>
      <c r="CF442">
        <v>423</v>
      </c>
      <c r="CG442">
        <v>436</v>
      </c>
      <c r="CH442">
        <v>440</v>
      </c>
      <c r="CI442">
        <v>441</v>
      </c>
      <c r="CJ442">
        <f>0.05*CF442/464</f>
        <v>4.5581896551724142E-2</v>
      </c>
      <c r="CK442">
        <f>0.05*CG442/464</f>
        <v>4.6982758620689659E-2</v>
      </c>
      <c r="CL442">
        <f>0.05*CH442/464</f>
        <v>4.7413793103448273E-2</v>
      </c>
      <c r="CM442">
        <f>0.05*CI442/464</f>
        <v>4.7521551724137932E-2</v>
      </c>
      <c r="CN442" t="e">
        <f>IF(CB442&lt;CJ442,"yes","no")</f>
        <v>#DIV/0!</v>
      </c>
      <c r="CO442" t="e">
        <f>IF(CC442&lt;CK442,"yes","no")</f>
        <v>#DIV/0!</v>
      </c>
      <c r="CP442" t="e">
        <f>IF(CD442&lt;CL442,"yes","no")</f>
        <v>#DIV/0!</v>
      </c>
      <c r="CQ442" t="e">
        <f>IF(CE442&lt;CM442,"yes","no")</f>
        <v>#DIV/0!</v>
      </c>
      <c r="CR442" t="e">
        <f>TTEST(AS442:AW442,AD442:AH442,2,2)</f>
        <v>#DIV/0!</v>
      </c>
      <c r="CS442" t="e">
        <f>TTEST(AS442:AW442,AN442:AR442,2,2)</f>
        <v>#DIV/0!</v>
      </c>
      <c r="CT442" t="e">
        <f>TTEST(AS442:AW442,AX442:BB442,2,2)</f>
        <v>#DIV/0!</v>
      </c>
      <c r="CU442">
        <v>440</v>
      </c>
      <c r="CV442">
        <v>441</v>
      </c>
      <c r="CW442">
        <v>441</v>
      </c>
      <c r="CX442">
        <f t="shared" si="18"/>
        <v>4.7413793103448273E-2</v>
      </c>
      <c r="CY442">
        <f t="shared" si="19"/>
        <v>4.7521551724137932E-2</v>
      </c>
      <c r="CZ442">
        <f t="shared" si="20"/>
        <v>4.7521551724137932E-2</v>
      </c>
      <c r="DA442" t="e">
        <f>IF(CR442&lt;CX442,"yes","no")</f>
        <v>#DIV/0!</v>
      </c>
      <c r="DB442" t="e">
        <f>IF(CS442&lt;CY442,"yes","no")</f>
        <v>#DIV/0!</v>
      </c>
      <c r="DC442" t="e">
        <f>IF(CT442&lt;CZ442,"yes","no")</f>
        <v>#DIV/0!</v>
      </c>
    </row>
    <row r="443" spans="1:107" x14ac:dyDescent="0.2">
      <c r="A443" s="2" t="b">
        <v>0</v>
      </c>
      <c r="B443" s="2" t="s">
        <v>79</v>
      </c>
      <c r="C443" s="2" t="s">
        <v>80</v>
      </c>
      <c r="D443" s="2" t="s">
        <v>1236</v>
      </c>
      <c r="E443" s="2" t="s">
        <v>1237</v>
      </c>
      <c r="F443" s="2">
        <v>3</v>
      </c>
      <c r="G443" s="2">
        <v>3</v>
      </c>
      <c r="H443" s="2">
        <v>70.5</v>
      </c>
      <c r="I443" s="2">
        <v>8.0500000000000007</v>
      </c>
      <c r="J443" s="2" t="s">
        <v>481</v>
      </c>
      <c r="K443" s="2" t="s">
        <v>114</v>
      </c>
      <c r="L443" s="2" t="s">
        <v>119</v>
      </c>
      <c r="M443" s="2" t="s">
        <v>83</v>
      </c>
      <c r="N443" s="2" t="s">
        <v>1236</v>
      </c>
      <c r="O443" s="2">
        <v>3.5049999999999999</v>
      </c>
      <c r="P443" s="2">
        <v>2.6</v>
      </c>
      <c r="Q443" s="2">
        <v>16.959</v>
      </c>
      <c r="R443" s="2">
        <v>0.377</v>
      </c>
      <c r="S443" s="2">
        <v>1.4650000000000001</v>
      </c>
      <c r="T443" s="2">
        <v>0.98</v>
      </c>
      <c r="U443" s="2">
        <v>7.1040000000000001</v>
      </c>
      <c r="V443" s="2">
        <v>0.66900000000000004</v>
      </c>
      <c r="W443" s="2">
        <v>4.6669999999999998</v>
      </c>
      <c r="X443" s="2">
        <v>7.2510000000000003</v>
      </c>
      <c r="Y443" s="2">
        <v>45.3</v>
      </c>
      <c r="Z443" s="2">
        <v>43.1</v>
      </c>
      <c r="AA443" s="2">
        <v>63.2</v>
      </c>
      <c r="AB443" s="2">
        <v>42.2</v>
      </c>
      <c r="AC443" s="2">
        <v>306.2</v>
      </c>
      <c r="AD443" s="2">
        <v>258930.71875</v>
      </c>
      <c r="AE443" s="2">
        <v>149547.1640625</v>
      </c>
      <c r="AF443" s="2">
        <v>133963.63671875</v>
      </c>
      <c r="AG443" s="2">
        <v>211239.8125</v>
      </c>
      <c r="AH443" s="2">
        <v>134058.5703125</v>
      </c>
      <c r="AI443" s="2" t="s">
        <v>83</v>
      </c>
      <c r="AJ443" s="2" t="s">
        <v>83</v>
      </c>
      <c r="AK443" s="2">
        <v>2678.46655273438</v>
      </c>
      <c r="AL443" s="2" t="s">
        <v>83</v>
      </c>
      <c r="AM443" s="2" t="s">
        <v>83</v>
      </c>
      <c r="AN443" s="2" t="s">
        <v>83</v>
      </c>
      <c r="AO443" s="2" t="s">
        <v>83</v>
      </c>
      <c r="AP443" s="2">
        <v>4456.5146484375</v>
      </c>
      <c r="AQ443" s="2" t="s">
        <v>83</v>
      </c>
      <c r="AR443" s="2">
        <v>6957.3525390625</v>
      </c>
      <c r="AS443" s="2" t="s">
        <v>83</v>
      </c>
      <c r="AT443" s="2" t="s">
        <v>83</v>
      </c>
      <c r="AU443" s="2">
        <v>20349.26953125</v>
      </c>
      <c r="AV443" s="2" t="s">
        <v>83</v>
      </c>
      <c r="AW443" s="2" t="s">
        <v>83</v>
      </c>
      <c r="AX443" s="2">
        <v>48159.62890625</v>
      </c>
      <c r="AY443" s="2">
        <v>60876.2890625</v>
      </c>
      <c r="AZ443" s="2">
        <v>87227.703125</v>
      </c>
      <c r="BA443" s="2">
        <v>56463.82421875</v>
      </c>
      <c r="BB443" s="2">
        <v>52206.390625</v>
      </c>
      <c r="BC443" s="2" t="s">
        <v>79</v>
      </c>
      <c r="BD443" s="2" t="s">
        <v>79</v>
      </c>
      <c r="BE443" s="2" t="s">
        <v>79</v>
      </c>
      <c r="BF443" s="2" t="s">
        <v>79</v>
      </c>
      <c r="BG443" s="2" t="s">
        <v>79</v>
      </c>
      <c r="BH443" s="2" t="s">
        <v>98</v>
      </c>
      <c r="BI443" s="2" t="s">
        <v>98</v>
      </c>
      <c r="BJ443" s="2" t="s">
        <v>91</v>
      </c>
      <c r="BK443" s="2" t="s">
        <v>98</v>
      </c>
      <c r="BL443" s="2" t="s">
        <v>98</v>
      </c>
      <c r="BM443" s="2" t="s">
        <v>98</v>
      </c>
      <c r="BN443" s="2" t="s">
        <v>98</v>
      </c>
      <c r="BO443" s="2" t="s">
        <v>91</v>
      </c>
      <c r="BP443" s="2" t="s">
        <v>98</v>
      </c>
      <c r="BQ443" s="2" t="s">
        <v>91</v>
      </c>
      <c r="BR443" s="2" t="s">
        <v>98</v>
      </c>
      <c r="BS443" s="2" t="s">
        <v>98</v>
      </c>
      <c r="BT443" s="2" t="s">
        <v>91</v>
      </c>
      <c r="BU443" s="2" t="s">
        <v>98</v>
      </c>
      <c r="BV443" s="2" t="s">
        <v>98</v>
      </c>
      <c r="BW443" s="2" t="s">
        <v>91</v>
      </c>
      <c r="BX443" s="2" t="s">
        <v>91</v>
      </c>
      <c r="BY443" s="2" t="s">
        <v>91</v>
      </c>
      <c r="BZ443" s="2" t="s">
        <v>91</v>
      </c>
      <c r="CA443" s="2" t="s">
        <v>91</v>
      </c>
      <c r="CB443" t="e">
        <f>TTEST(AS443:AW443,AI443:AM443,2,2)</f>
        <v>#DIV/0!</v>
      </c>
      <c r="CC443" t="e">
        <f>TTEST(AD443:AH443,AI443:AM443,2,2)</f>
        <v>#DIV/0!</v>
      </c>
      <c r="CD443" t="e">
        <f>TTEST(AN443:AR443,AI443:AM443,2,2)</f>
        <v>#DIV/0!</v>
      </c>
      <c r="CE443" t="e">
        <f>TTEST(AX443:BB443,AI443:AM443,2,2)</f>
        <v>#DIV/0!</v>
      </c>
      <c r="CF443">
        <v>424</v>
      </c>
      <c r="CG443">
        <v>437</v>
      </c>
      <c r="CH443">
        <v>441</v>
      </c>
      <c r="CI443">
        <v>442</v>
      </c>
      <c r="CJ443">
        <f>0.05*CF443/464</f>
        <v>4.5689655172413801E-2</v>
      </c>
      <c r="CK443">
        <f>0.05*CG443/464</f>
        <v>4.7090517241379311E-2</v>
      </c>
      <c r="CL443">
        <f>0.05*CH443/464</f>
        <v>4.7521551724137932E-2</v>
      </c>
      <c r="CM443">
        <f>0.05*CI443/464</f>
        <v>4.7629310344827591E-2</v>
      </c>
      <c r="CN443" t="e">
        <f>IF(CB443&lt;CJ443,"yes","no")</f>
        <v>#DIV/0!</v>
      </c>
      <c r="CO443" t="e">
        <f>IF(CC443&lt;CK443,"yes","no")</f>
        <v>#DIV/0!</v>
      </c>
      <c r="CP443" t="e">
        <f>IF(CD443&lt;CL443,"yes","no")</f>
        <v>#DIV/0!</v>
      </c>
      <c r="CQ443" t="e">
        <f>IF(CE443&lt;CM443,"yes","no")</f>
        <v>#DIV/0!</v>
      </c>
      <c r="CR443" t="e">
        <f>TTEST(AS443:AW443,AD443:AH443,2,2)</f>
        <v>#DIV/0!</v>
      </c>
      <c r="CS443" t="e">
        <f>TTEST(AS443:AW443,AN443:AR443,2,2)</f>
        <v>#DIV/0!</v>
      </c>
      <c r="CT443" t="e">
        <f>TTEST(AS443:AW443,AX443:BB443,2,2)</f>
        <v>#DIV/0!</v>
      </c>
      <c r="CU443">
        <v>441</v>
      </c>
      <c r="CV443">
        <v>442</v>
      </c>
      <c r="CW443">
        <v>442</v>
      </c>
      <c r="CX443">
        <f t="shared" si="18"/>
        <v>4.7521551724137932E-2</v>
      </c>
      <c r="CY443">
        <f t="shared" si="19"/>
        <v>4.7629310344827591E-2</v>
      </c>
      <c r="CZ443">
        <f t="shared" si="20"/>
        <v>4.7629310344827591E-2</v>
      </c>
      <c r="DA443" t="e">
        <f>IF(CR443&lt;CX443,"yes","no")</f>
        <v>#DIV/0!</v>
      </c>
      <c r="DB443" t="e">
        <f>IF(CS443&lt;CY443,"yes","no")</f>
        <v>#DIV/0!</v>
      </c>
      <c r="DC443" t="e">
        <f>IF(CT443&lt;CZ443,"yes","no")</f>
        <v>#DIV/0!</v>
      </c>
    </row>
    <row r="444" spans="1:107" x14ac:dyDescent="0.2">
      <c r="A444" s="2" t="b">
        <v>0</v>
      </c>
      <c r="B444" s="2" t="s">
        <v>79</v>
      </c>
      <c r="C444" s="2" t="s">
        <v>80</v>
      </c>
      <c r="D444" s="2" t="s">
        <v>778</v>
      </c>
      <c r="E444" s="2" t="s">
        <v>779</v>
      </c>
      <c r="F444" s="2">
        <v>2</v>
      </c>
      <c r="G444" s="2">
        <v>1</v>
      </c>
      <c r="H444" s="2">
        <v>12.2</v>
      </c>
      <c r="I444" s="2">
        <v>8.31</v>
      </c>
      <c r="J444" s="2" t="s">
        <v>83</v>
      </c>
      <c r="K444" s="2" t="s">
        <v>83</v>
      </c>
      <c r="L444" s="2" t="s">
        <v>83</v>
      </c>
      <c r="M444" s="2" t="s">
        <v>83</v>
      </c>
      <c r="N444" s="2" t="s">
        <v>778</v>
      </c>
      <c r="O444" s="2">
        <v>0.01</v>
      </c>
      <c r="P444" s="2">
        <v>0.71299999999999997</v>
      </c>
      <c r="Q444" s="2">
        <v>0.01</v>
      </c>
      <c r="R444" s="2">
        <v>0.72299999999999998</v>
      </c>
      <c r="S444" s="2">
        <v>0.01</v>
      </c>
      <c r="T444" s="2">
        <v>0.51600000000000001</v>
      </c>
      <c r="U444" s="2">
        <v>0.01</v>
      </c>
      <c r="V444" s="2">
        <v>100</v>
      </c>
      <c r="W444" s="2" t="s">
        <v>83</v>
      </c>
      <c r="X444" s="2">
        <v>0.01</v>
      </c>
      <c r="Y444" s="2">
        <v>161.5</v>
      </c>
      <c r="Z444" s="2">
        <v>223.3</v>
      </c>
      <c r="AA444" s="2" t="s">
        <v>83</v>
      </c>
      <c r="AB444" s="2">
        <v>115.2</v>
      </c>
      <c r="AC444" s="2" t="s">
        <v>83</v>
      </c>
      <c r="AD444" s="2">
        <v>267952.90625</v>
      </c>
      <c r="AE444" s="2">
        <v>191767.046875</v>
      </c>
      <c r="AF444" s="2">
        <v>63304.6875</v>
      </c>
      <c r="AG444" s="2">
        <v>270136.1875</v>
      </c>
      <c r="AH444" s="2">
        <v>287426.4375</v>
      </c>
      <c r="AI444" s="2" t="s">
        <v>83</v>
      </c>
      <c r="AJ444" s="2" t="s">
        <v>83</v>
      </c>
      <c r="AK444" s="2" t="s">
        <v>83</v>
      </c>
      <c r="AL444" s="2" t="s">
        <v>83</v>
      </c>
      <c r="AM444" s="2">
        <v>5364.07470703125</v>
      </c>
      <c r="AN444" s="2" t="s">
        <v>83</v>
      </c>
      <c r="AO444" s="2" t="s">
        <v>83</v>
      </c>
      <c r="AP444" s="2" t="s">
        <v>83</v>
      </c>
      <c r="AQ444" s="2" t="s">
        <v>83</v>
      </c>
      <c r="AR444" s="2" t="s">
        <v>83</v>
      </c>
      <c r="AS444" s="2" t="s">
        <v>83</v>
      </c>
      <c r="AT444" s="2" t="s">
        <v>83</v>
      </c>
      <c r="AU444" s="2" t="s">
        <v>83</v>
      </c>
      <c r="AV444" s="2">
        <v>24087.2421875</v>
      </c>
      <c r="AW444" s="2" t="s">
        <v>83</v>
      </c>
      <c r="AX444" s="2" t="s">
        <v>83</v>
      </c>
      <c r="AY444" s="2" t="s">
        <v>83</v>
      </c>
      <c r="AZ444" s="2" t="s">
        <v>83</v>
      </c>
      <c r="BA444" s="2" t="s">
        <v>83</v>
      </c>
      <c r="BB444" s="2" t="s">
        <v>83</v>
      </c>
      <c r="BC444" s="2" t="s">
        <v>79</v>
      </c>
      <c r="BD444" s="2" t="s">
        <v>79</v>
      </c>
      <c r="BE444" s="2" t="s">
        <v>79</v>
      </c>
      <c r="BF444" s="2" t="s">
        <v>79</v>
      </c>
      <c r="BG444" s="2" t="s">
        <v>79</v>
      </c>
      <c r="BH444" s="2" t="s">
        <v>98</v>
      </c>
      <c r="BI444" s="2" t="s">
        <v>98</v>
      </c>
      <c r="BJ444" s="2" t="s">
        <v>98</v>
      </c>
      <c r="BK444" s="2" t="s">
        <v>98</v>
      </c>
      <c r="BL444" s="2" t="s">
        <v>91</v>
      </c>
      <c r="BM444" s="2" t="s">
        <v>98</v>
      </c>
      <c r="BN444" s="2" t="s">
        <v>98</v>
      </c>
      <c r="BO444" s="2" t="s">
        <v>98</v>
      </c>
      <c r="BP444" s="2" t="s">
        <v>98</v>
      </c>
      <c r="BQ444" s="2" t="s">
        <v>98</v>
      </c>
      <c r="BR444" s="2" t="s">
        <v>98</v>
      </c>
      <c r="BS444" s="2" t="s">
        <v>98</v>
      </c>
      <c r="BT444" s="2" t="s">
        <v>98</v>
      </c>
      <c r="BU444" s="2" t="s">
        <v>91</v>
      </c>
      <c r="BV444" s="2" t="s">
        <v>98</v>
      </c>
      <c r="BW444" s="2" t="s">
        <v>98</v>
      </c>
      <c r="BX444" s="2" t="s">
        <v>98</v>
      </c>
      <c r="BY444" s="2" t="s">
        <v>98</v>
      </c>
      <c r="BZ444" s="2" t="s">
        <v>98</v>
      </c>
      <c r="CA444" s="2" t="s">
        <v>98</v>
      </c>
      <c r="CB444" t="e">
        <f>TTEST(AS444:AW444,AI444:AM444,2,2)</f>
        <v>#DIV/0!</v>
      </c>
      <c r="CC444" t="e">
        <f>TTEST(AD444:AH444,AI444:AM444,2,2)</f>
        <v>#DIV/0!</v>
      </c>
      <c r="CD444" t="e">
        <f>TTEST(AN444:AR444,AI444:AM444,2,2)</f>
        <v>#DIV/0!</v>
      </c>
      <c r="CE444" t="e">
        <f>TTEST(AX444:BB444,AI444:AM444,2,2)</f>
        <v>#DIV/0!</v>
      </c>
      <c r="CF444">
        <v>426</v>
      </c>
      <c r="CG444">
        <v>439</v>
      </c>
      <c r="CH444">
        <v>442</v>
      </c>
      <c r="CI444">
        <v>443</v>
      </c>
      <c r="CJ444">
        <f>0.05*CF444/464</f>
        <v>4.5905172413793105E-2</v>
      </c>
      <c r="CK444">
        <f>0.05*CG444/464</f>
        <v>4.7306034482758628E-2</v>
      </c>
      <c r="CL444">
        <f>0.05*CH444/464</f>
        <v>4.7629310344827591E-2</v>
      </c>
      <c r="CM444">
        <f>0.05*CI444/464</f>
        <v>4.7737068965517243E-2</v>
      </c>
      <c r="CN444" t="e">
        <f>IF(CB444&lt;CJ444,"yes","no")</f>
        <v>#DIV/0!</v>
      </c>
      <c r="CO444" t="e">
        <f>IF(CC444&lt;CK444,"yes","no")</f>
        <v>#DIV/0!</v>
      </c>
      <c r="CP444" t="e">
        <f>IF(CD444&lt;CL444,"yes","no")</f>
        <v>#DIV/0!</v>
      </c>
      <c r="CQ444" t="e">
        <f>IF(CE444&lt;CM444,"yes","no")</f>
        <v>#DIV/0!</v>
      </c>
      <c r="CR444" t="e">
        <f>TTEST(AS444:AW444,AD444:AH444,2,2)</f>
        <v>#DIV/0!</v>
      </c>
      <c r="CS444" t="e">
        <f>TTEST(AS444:AW444,AN444:AR444,2,2)</f>
        <v>#DIV/0!</v>
      </c>
      <c r="CT444" t="e">
        <f>TTEST(AS444:AW444,AX444:BB444,2,2)</f>
        <v>#DIV/0!</v>
      </c>
      <c r="CU444">
        <v>442</v>
      </c>
      <c r="CV444">
        <v>443</v>
      </c>
      <c r="CW444">
        <v>443</v>
      </c>
      <c r="CX444">
        <f t="shared" si="18"/>
        <v>4.7629310344827591E-2</v>
      </c>
      <c r="CY444">
        <f t="shared" si="19"/>
        <v>4.7737068965517243E-2</v>
      </c>
      <c r="CZ444">
        <f t="shared" si="20"/>
        <v>4.7737068965517243E-2</v>
      </c>
      <c r="DA444" t="e">
        <f>IF(CR444&lt;CX444,"yes","no")</f>
        <v>#DIV/0!</v>
      </c>
      <c r="DB444" t="e">
        <f>IF(CS444&lt;CY444,"yes","no")</f>
        <v>#DIV/0!</v>
      </c>
      <c r="DC444" t="e">
        <f>IF(CT444&lt;CZ444,"yes","no")</f>
        <v>#DIV/0!</v>
      </c>
    </row>
    <row r="445" spans="1:107" x14ac:dyDescent="0.2">
      <c r="A445" s="2" t="b">
        <v>0</v>
      </c>
      <c r="B445" s="2" t="s">
        <v>79</v>
      </c>
      <c r="C445" s="2" t="s">
        <v>80</v>
      </c>
      <c r="D445" s="2" t="s">
        <v>1631</v>
      </c>
      <c r="E445" s="2" t="s">
        <v>1632</v>
      </c>
      <c r="F445" s="2">
        <v>1</v>
      </c>
      <c r="G445" s="2">
        <v>1</v>
      </c>
      <c r="H445" s="2">
        <v>32.299999999999997</v>
      </c>
      <c r="I445" s="2">
        <v>7.59</v>
      </c>
      <c r="J445" s="2" t="s">
        <v>150</v>
      </c>
      <c r="K445" s="2" t="s">
        <v>1517</v>
      </c>
      <c r="L445" s="2" t="s">
        <v>119</v>
      </c>
      <c r="M445" s="2" t="s">
        <v>1633</v>
      </c>
      <c r="N445" s="2" t="s">
        <v>1631</v>
      </c>
      <c r="O445" s="2">
        <v>3.7879999999999998</v>
      </c>
      <c r="P445" s="2">
        <v>0.39</v>
      </c>
      <c r="Q445" s="2">
        <v>1.2130000000000001</v>
      </c>
      <c r="R445" s="2">
        <v>0.14399999999999999</v>
      </c>
      <c r="S445" s="2">
        <v>0.54600000000000004</v>
      </c>
      <c r="T445" s="2">
        <v>5.6000000000000001E-2</v>
      </c>
      <c r="U445" s="2">
        <v>0.17499999999999999</v>
      </c>
      <c r="V445" s="2">
        <v>0.10299999999999999</v>
      </c>
      <c r="W445" s="2">
        <v>0.32</v>
      </c>
      <c r="X445" s="2">
        <v>3.1120000000000001</v>
      </c>
      <c r="Y445" s="2">
        <v>37.5</v>
      </c>
      <c r="Z445" s="2">
        <v>260.2</v>
      </c>
      <c r="AA445" s="2">
        <v>142.19999999999999</v>
      </c>
      <c r="AB445" s="2">
        <v>14.6</v>
      </c>
      <c r="AC445" s="2">
        <v>45.5</v>
      </c>
      <c r="AD445" s="2" t="s">
        <v>83</v>
      </c>
      <c r="AE445" s="2" t="s">
        <v>83</v>
      </c>
      <c r="AF445" s="2" t="s">
        <v>83</v>
      </c>
      <c r="AG445" s="2">
        <v>75679.6484375</v>
      </c>
      <c r="AH445" s="2" t="s">
        <v>83</v>
      </c>
      <c r="AI445" s="2" t="s">
        <v>83</v>
      </c>
      <c r="AJ445" s="2" t="s">
        <v>83</v>
      </c>
      <c r="AK445" s="2" t="s">
        <v>83</v>
      </c>
      <c r="AL445" s="2">
        <v>13612.0361328125</v>
      </c>
      <c r="AM445" s="2" t="s">
        <v>83</v>
      </c>
      <c r="AN445" s="2" t="s">
        <v>83</v>
      </c>
      <c r="AO445" s="2">
        <v>5800.41162109375</v>
      </c>
      <c r="AP445" s="2" t="s">
        <v>83</v>
      </c>
      <c r="AQ445" s="2" t="s">
        <v>83</v>
      </c>
      <c r="AR445" s="2">
        <v>4131.59228515625</v>
      </c>
      <c r="AS445" s="2" t="s">
        <v>83</v>
      </c>
      <c r="AT445" s="2" t="s">
        <v>83</v>
      </c>
      <c r="AU445" s="2" t="s">
        <v>83</v>
      </c>
      <c r="AV445" s="2">
        <v>3703.31420898438</v>
      </c>
      <c r="AW445" s="2" t="s">
        <v>83</v>
      </c>
      <c r="AX445" s="2" t="s">
        <v>83</v>
      </c>
      <c r="AY445" s="2" t="s">
        <v>83</v>
      </c>
      <c r="AZ445" s="2" t="s">
        <v>83</v>
      </c>
      <c r="BA445" s="2">
        <v>3968.9697265625</v>
      </c>
      <c r="BB445" s="2" t="s">
        <v>83</v>
      </c>
      <c r="BC445" s="2" t="s">
        <v>98</v>
      </c>
      <c r="BD445" s="2" t="s">
        <v>98</v>
      </c>
      <c r="BE445" s="2" t="s">
        <v>98</v>
      </c>
      <c r="BF445" s="2" t="s">
        <v>79</v>
      </c>
      <c r="BG445" s="2" t="s">
        <v>98</v>
      </c>
      <c r="BH445" s="2" t="s">
        <v>98</v>
      </c>
      <c r="BI445" s="2" t="s">
        <v>98</v>
      </c>
      <c r="BJ445" s="2" t="s">
        <v>98</v>
      </c>
      <c r="BK445" s="2" t="s">
        <v>91</v>
      </c>
      <c r="BL445" s="2" t="s">
        <v>98</v>
      </c>
      <c r="BM445" s="2" t="s">
        <v>98</v>
      </c>
      <c r="BN445" s="2" t="s">
        <v>91</v>
      </c>
      <c r="BO445" s="2" t="s">
        <v>98</v>
      </c>
      <c r="BP445" s="2" t="s">
        <v>98</v>
      </c>
      <c r="BQ445" s="2" t="s">
        <v>91</v>
      </c>
      <c r="BR445" s="2" t="s">
        <v>98</v>
      </c>
      <c r="BS445" s="2" t="s">
        <v>98</v>
      </c>
      <c r="BT445" s="2" t="s">
        <v>98</v>
      </c>
      <c r="BU445" s="2" t="s">
        <v>91</v>
      </c>
      <c r="BV445" s="2" t="s">
        <v>98</v>
      </c>
      <c r="BW445" s="2" t="s">
        <v>98</v>
      </c>
      <c r="BX445" s="2" t="s">
        <v>98</v>
      </c>
      <c r="BY445" s="2" t="s">
        <v>98</v>
      </c>
      <c r="BZ445" s="2" t="s">
        <v>91</v>
      </c>
      <c r="CA445" s="2" t="s">
        <v>98</v>
      </c>
      <c r="CB445" t="e">
        <f>TTEST(AS445:AW445,AI445:AM445,2,2)</f>
        <v>#DIV/0!</v>
      </c>
      <c r="CC445" t="e">
        <f>TTEST(AD445:AH445,AI445:AM445,2,2)</f>
        <v>#DIV/0!</v>
      </c>
      <c r="CD445" t="e">
        <f>TTEST(AN445:AR445,AI445:AM445,2,2)</f>
        <v>#DIV/0!</v>
      </c>
      <c r="CE445" t="e">
        <f>TTEST(AX445:BB445,AI445:AM445,2,2)</f>
        <v>#DIV/0!</v>
      </c>
      <c r="CF445">
        <v>432</v>
      </c>
      <c r="CG445">
        <v>441</v>
      </c>
      <c r="CH445">
        <v>444</v>
      </c>
      <c r="CI445">
        <v>444</v>
      </c>
      <c r="CJ445">
        <f>0.05*CF445/464</f>
        <v>4.6551724137931037E-2</v>
      </c>
      <c r="CK445">
        <f>0.05*CG445/464</f>
        <v>4.7521551724137932E-2</v>
      </c>
      <c r="CL445">
        <f>0.05*CH445/464</f>
        <v>4.7844827586206902E-2</v>
      </c>
      <c r="CM445">
        <f>0.05*CI445/464</f>
        <v>4.7844827586206902E-2</v>
      </c>
      <c r="CN445" t="e">
        <f>IF(CB445&lt;CJ445,"yes","no")</f>
        <v>#DIV/0!</v>
      </c>
      <c r="CO445" t="e">
        <f>IF(CC445&lt;CK445,"yes","no")</f>
        <v>#DIV/0!</v>
      </c>
      <c r="CP445" t="e">
        <f>IF(CD445&lt;CL445,"yes","no")</f>
        <v>#DIV/0!</v>
      </c>
      <c r="CQ445" t="e">
        <f>IF(CE445&lt;CM445,"yes","no")</f>
        <v>#DIV/0!</v>
      </c>
      <c r="CR445" t="e">
        <f>TTEST(AS445:AW445,AD445:AH445,2,2)</f>
        <v>#DIV/0!</v>
      </c>
      <c r="CS445" t="e">
        <f>TTEST(AS445:AW445,AN445:AR445,2,2)</f>
        <v>#DIV/0!</v>
      </c>
      <c r="CT445" t="e">
        <f>TTEST(AS445:AW445,AX445:BB445,2,2)</f>
        <v>#DIV/0!</v>
      </c>
      <c r="CU445">
        <v>444</v>
      </c>
      <c r="CV445">
        <v>444</v>
      </c>
      <c r="CW445">
        <v>444</v>
      </c>
      <c r="CX445">
        <f t="shared" si="18"/>
        <v>4.7844827586206902E-2</v>
      </c>
      <c r="CY445">
        <f t="shared" si="19"/>
        <v>4.7844827586206902E-2</v>
      </c>
      <c r="CZ445">
        <f t="shared" si="20"/>
        <v>4.7844827586206902E-2</v>
      </c>
      <c r="DA445" t="e">
        <f>IF(CR445&lt;CX445,"yes","no")</f>
        <v>#DIV/0!</v>
      </c>
      <c r="DB445" t="e">
        <f>IF(CS445&lt;CY445,"yes","no")</f>
        <v>#DIV/0!</v>
      </c>
      <c r="DC445" t="e">
        <f>IF(CT445&lt;CZ445,"yes","no")</f>
        <v>#DIV/0!</v>
      </c>
    </row>
    <row r="446" spans="1:107" x14ac:dyDescent="0.2">
      <c r="A446" s="2" t="b">
        <v>0</v>
      </c>
      <c r="B446" s="2" t="s">
        <v>79</v>
      </c>
      <c r="C446" s="2" t="s">
        <v>80</v>
      </c>
      <c r="D446" s="2" t="s">
        <v>594</v>
      </c>
      <c r="E446" s="2" t="s">
        <v>595</v>
      </c>
      <c r="F446" s="2">
        <v>2</v>
      </c>
      <c r="G446" s="2">
        <v>1</v>
      </c>
      <c r="H446" s="2">
        <v>16.600000000000001</v>
      </c>
      <c r="I446" s="2">
        <v>9.52</v>
      </c>
      <c r="J446" s="2" t="s">
        <v>83</v>
      </c>
      <c r="K446" s="2" t="s">
        <v>83</v>
      </c>
      <c r="L446" s="2" t="s">
        <v>83</v>
      </c>
      <c r="M446" s="2" t="s">
        <v>596</v>
      </c>
      <c r="N446" s="2" t="s">
        <v>594</v>
      </c>
      <c r="O446" s="2">
        <v>0.01</v>
      </c>
      <c r="P446" s="2">
        <v>0.01</v>
      </c>
      <c r="Q446" s="2">
        <v>0.01</v>
      </c>
      <c r="R446" s="2">
        <v>0.92800000000000005</v>
      </c>
      <c r="S446" s="2">
        <v>0.01</v>
      </c>
      <c r="T446" s="2">
        <v>0.01</v>
      </c>
      <c r="U446" s="2">
        <v>0.01</v>
      </c>
      <c r="V446" s="2" t="s">
        <v>83</v>
      </c>
      <c r="W446" s="2" t="s">
        <v>83</v>
      </c>
      <c r="X446" s="2" t="s">
        <v>83</v>
      </c>
      <c r="Y446" s="2">
        <v>240.6</v>
      </c>
      <c r="Z446" s="2">
        <v>259.39999999999998</v>
      </c>
      <c r="AA446" s="2" t="s">
        <v>83</v>
      </c>
      <c r="AB446" s="2" t="s">
        <v>83</v>
      </c>
      <c r="AC446" s="2" t="s">
        <v>83</v>
      </c>
      <c r="AD446" s="2">
        <v>477469.5625</v>
      </c>
      <c r="AE446" s="2">
        <v>752289.625</v>
      </c>
      <c r="AF446" s="2">
        <v>1015795.5625</v>
      </c>
      <c r="AG446" s="2">
        <v>59930.109375</v>
      </c>
      <c r="AH446" s="2" t="s">
        <v>83</v>
      </c>
      <c r="AI446" s="2" t="s">
        <v>83</v>
      </c>
      <c r="AJ446" s="2" t="s">
        <v>83</v>
      </c>
      <c r="AK446" s="2" t="s">
        <v>83</v>
      </c>
      <c r="AL446" s="2" t="s">
        <v>83</v>
      </c>
      <c r="AM446" s="2">
        <v>10458.849609375</v>
      </c>
      <c r="AN446" s="2" t="s">
        <v>83</v>
      </c>
      <c r="AO446" s="2" t="s">
        <v>83</v>
      </c>
      <c r="AP446" s="2" t="s">
        <v>83</v>
      </c>
      <c r="AQ446" s="2" t="s">
        <v>83</v>
      </c>
      <c r="AR446" s="2" t="s">
        <v>83</v>
      </c>
      <c r="AS446" s="2" t="s">
        <v>83</v>
      </c>
      <c r="AT446" s="2" t="s">
        <v>83</v>
      </c>
      <c r="AU446" s="2" t="s">
        <v>83</v>
      </c>
      <c r="AV446" s="2" t="s">
        <v>83</v>
      </c>
      <c r="AW446" s="2" t="s">
        <v>83</v>
      </c>
      <c r="AX446" s="2" t="s">
        <v>83</v>
      </c>
      <c r="AY446" s="2" t="s">
        <v>83</v>
      </c>
      <c r="AZ446" s="2" t="s">
        <v>83</v>
      </c>
      <c r="BA446" s="2" t="s">
        <v>83</v>
      </c>
      <c r="BB446" s="2" t="s">
        <v>83</v>
      </c>
      <c r="BC446" s="2" t="s">
        <v>79</v>
      </c>
      <c r="BD446" s="2" t="s">
        <v>79</v>
      </c>
      <c r="BE446" s="2" t="s">
        <v>79</v>
      </c>
      <c r="BF446" s="2" t="s">
        <v>91</v>
      </c>
      <c r="BG446" s="2" t="s">
        <v>98</v>
      </c>
      <c r="BH446" s="2" t="s">
        <v>98</v>
      </c>
      <c r="BI446" s="2" t="s">
        <v>98</v>
      </c>
      <c r="BJ446" s="2" t="s">
        <v>98</v>
      </c>
      <c r="BK446" s="2" t="s">
        <v>98</v>
      </c>
      <c r="BL446" s="2" t="s">
        <v>91</v>
      </c>
      <c r="BM446" s="2" t="s">
        <v>98</v>
      </c>
      <c r="BN446" s="2" t="s">
        <v>98</v>
      </c>
      <c r="BO446" s="2" t="s">
        <v>98</v>
      </c>
      <c r="BP446" s="2" t="s">
        <v>98</v>
      </c>
      <c r="BQ446" s="2" t="s">
        <v>98</v>
      </c>
      <c r="BR446" s="2" t="s">
        <v>98</v>
      </c>
      <c r="BS446" s="2" t="s">
        <v>98</v>
      </c>
      <c r="BT446" s="2" t="s">
        <v>98</v>
      </c>
      <c r="BU446" s="2" t="s">
        <v>98</v>
      </c>
      <c r="BV446" s="2" t="s">
        <v>98</v>
      </c>
      <c r="BW446" s="2" t="s">
        <v>98</v>
      </c>
      <c r="BX446" s="2" t="s">
        <v>98</v>
      </c>
      <c r="BY446" s="2" t="s">
        <v>98</v>
      </c>
      <c r="BZ446" s="2" t="s">
        <v>98</v>
      </c>
      <c r="CA446" s="2" t="s">
        <v>98</v>
      </c>
      <c r="CB446" t="e">
        <f>TTEST(AS446:AW446,AI446:AM446,2,2)</f>
        <v>#DIV/0!</v>
      </c>
      <c r="CC446" t="e">
        <f>TTEST(AD446:AH446,AI446:AM446,2,2)</f>
        <v>#DIV/0!</v>
      </c>
      <c r="CD446" t="e">
        <f>TTEST(AN446:AR446,AI446:AM446,2,2)</f>
        <v>#DIV/0!</v>
      </c>
      <c r="CE446" t="e">
        <f>TTEST(AX446:BB446,AI446:AM446,2,2)</f>
        <v>#DIV/0!</v>
      </c>
      <c r="CF446">
        <v>437</v>
      </c>
      <c r="CG446">
        <v>443</v>
      </c>
      <c r="CH446">
        <v>445</v>
      </c>
      <c r="CI446">
        <v>445</v>
      </c>
      <c r="CJ446">
        <f>0.05*CF446/464</f>
        <v>4.7090517241379311E-2</v>
      </c>
      <c r="CK446">
        <f>0.05*CG446/464</f>
        <v>4.7737068965517243E-2</v>
      </c>
      <c r="CL446">
        <f>0.05*CH446/464</f>
        <v>4.7952586206896554E-2</v>
      </c>
      <c r="CM446">
        <f>0.05*CI446/464</f>
        <v>4.7952586206896554E-2</v>
      </c>
      <c r="CN446" t="e">
        <f>IF(CB446&lt;CJ446,"yes","no")</f>
        <v>#DIV/0!</v>
      </c>
      <c r="CO446" t="e">
        <f>IF(CC446&lt;CK446,"yes","no")</f>
        <v>#DIV/0!</v>
      </c>
      <c r="CP446" t="e">
        <f>IF(CD446&lt;CL446,"yes","no")</f>
        <v>#DIV/0!</v>
      </c>
      <c r="CQ446" t="e">
        <f>IF(CE446&lt;CM446,"yes","no")</f>
        <v>#DIV/0!</v>
      </c>
      <c r="CR446" t="e">
        <f>TTEST(AS446:AW446,AD446:AH446,2,2)</f>
        <v>#DIV/0!</v>
      </c>
      <c r="CS446" t="e">
        <f>TTEST(AS446:AW446,AN446:AR446,2,2)</f>
        <v>#DIV/0!</v>
      </c>
      <c r="CT446" t="e">
        <f>TTEST(AS446:AW446,AX446:BB446,2,2)</f>
        <v>#DIV/0!</v>
      </c>
      <c r="CU446">
        <v>445</v>
      </c>
      <c r="CV446">
        <v>445</v>
      </c>
      <c r="CW446">
        <v>445</v>
      </c>
      <c r="CX446">
        <f t="shared" si="18"/>
        <v>4.7952586206896554E-2</v>
      </c>
      <c r="CY446">
        <f t="shared" si="19"/>
        <v>4.7952586206896554E-2</v>
      </c>
      <c r="CZ446">
        <f t="shared" si="20"/>
        <v>4.7952586206896554E-2</v>
      </c>
      <c r="DA446" t="e">
        <f>IF(CR446&lt;CX446,"yes","no")</f>
        <v>#DIV/0!</v>
      </c>
      <c r="DB446" t="e">
        <f>IF(CS446&lt;CY446,"yes","no")</f>
        <v>#DIV/0!</v>
      </c>
      <c r="DC446" t="e">
        <f>IF(CT446&lt;CZ446,"yes","no")</f>
        <v>#DIV/0!</v>
      </c>
    </row>
    <row r="447" spans="1:107" x14ac:dyDescent="0.2">
      <c r="A447" s="2" t="b">
        <v>0</v>
      </c>
      <c r="B447" s="2" t="s">
        <v>79</v>
      </c>
      <c r="C447" s="2" t="s">
        <v>80</v>
      </c>
      <c r="D447" s="2" t="s">
        <v>761</v>
      </c>
      <c r="E447" s="2" t="s">
        <v>762</v>
      </c>
      <c r="F447" s="2">
        <v>3</v>
      </c>
      <c r="G447" s="2">
        <v>3</v>
      </c>
      <c r="H447" s="2">
        <v>55.6</v>
      </c>
      <c r="I447" s="2">
        <v>5.83</v>
      </c>
      <c r="J447" s="2" t="s">
        <v>89</v>
      </c>
      <c r="K447" s="2" t="s">
        <v>84</v>
      </c>
      <c r="L447" s="2" t="s">
        <v>102</v>
      </c>
      <c r="M447" s="2" t="s">
        <v>763</v>
      </c>
      <c r="N447" s="2" t="s">
        <v>764</v>
      </c>
      <c r="O447" s="2">
        <v>2.262</v>
      </c>
      <c r="P447" s="2">
        <v>0.01</v>
      </c>
      <c r="Q447" s="2">
        <v>0.01</v>
      </c>
      <c r="R447" s="2">
        <v>0.63900000000000001</v>
      </c>
      <c r="S447" s="2">
        <v>3.04</v>
      </c>
      <c r="T447" s="2">
        <v>0.01</v>
      </c>
      <c r="U447" s="2">
        <v>0.01</v>
      </c>
      <c r="V447" s="2">
        <v>0.01</v>
      </c>
      <c r="W447" s="2">
        <v>0.01</v>
      </c>
      <c r="X447" s="2" t="s">
        <v>83</v>
      </c>
      <c r="Y447" s="2">
        <v>61</v>
      </c>
      <c r="Z447" s="2">
        <v>287.89999999999998</v>
      </c>
      <c r="AA447" s="2">
        <v>151.1</v>
      </c>
      <c r="AB447" s="2" t="s">
        <v>83</v>
      </c>
      <c r="AC447" s="2" t="s">
        <v>83</v>
      </c>
      <c r="AD447" s="2">
        <v>941100.0625</v>
      </c>
      <c r="AE447" s="2">
        <v>100225.15625</v>
      </c>
      <c r="AF447" s="2">
        <v>75061</v>
      </c>
      <c r="AG447" s="2">
        <v>128830.0078125</v>
      </c>
      <c r="AH447" s="2">
        <v>234443.0546875</v>
      </c>
      <c r="AI447" s="2" t="s">
        <v>83</v>
      </c>
      <c r="AJ447" s="2">
        <v>11174.375</v>
      </c>
      <c r="AK447" s="2" t="s">
        <v>83</v>
      </c>
      <c r="AL447" s="2" t="s">
        <v>83</v>
      </c>
      <c r="AM447" s="2" t="s">
        <v>83</v>
      </c>
      <c r="AN447" s="2">
        <v>3304.6455078125</v>
      </c>
      <c r="AO447" s="2">
        <v>4213.56005859375</v>
      </c>
      <c r="AP447" s="2">
        <v>41198.057128906301</v>
      </c>
      <c r="AQ447" s="2" t="s">
        <v>83</v>
      </c>
      <c r="AR447" s="2" t="s">
        <v>83</v>
      </c>
      <c r="AS447" s="2" t="s">
        <v>83</v>
      </c>
      <c r="AT447" s="2" t="s">
        <v>83</v>
      </c>
      <c r="AU447" s="2" t="s">
        <v>83</v>
      </c>
      <c r="AV447" s="2" t="s">
        <v>83</v>
      </c>
      <c r="AW447" s="2" t="s">
        <v>83</v>
      </c>
      <c r="AX447" s="2" t="s">
        <v>83</v>
      </c>
      <c r="AY447" s="2" t="s">
        <v>83</v>
      </c>
      <c r="AZ447" s="2" t="s">
        <v>83</v>
      </c>
      <c r="BA447" s="2" t="s">
        <v>83</v>
      </c>
      <c r="BB447" s="2" t="s">
        <v>83</v>
      </c>
      <c r="BC447" s="2" t="s">
        <v>79</v>
      </c>
      <c r="BD447" s="2" t="s">
        <v>79</v>
      </c>
      <c r="BE447" s="2" t="s">
        <v>79</v>
      </c>
      <c r="BF447" s="2" t="s">
        <v>79</v>
      </c>
      <c r="BG447" s="2" t="s">
        <v>79</v>
      </c>
      <c r="BH447" s="2" t="s">
        <v>98</v>
      </c>
      <c r="BI447" s="2" t="s">
        <v>91</v>
      </c>
      <c r="BJ447" s="2" t="s">
        <v>98</v>
      </c>
      <c r="BK447" s="2" t="s">
        <v>98</v>
      </c>
      <c r="BL447" s="2" t="s">
        <v>98</v>
      </c>
      <c r="BM447" s="2" t="s">
        <v>79</v>
      </c>
      <c r="BN447" s="2" t="s">
        <v>79</v>
      </c>
      <c r="BO447" s="2" t="s">
        <v>79</v>
      </c>
      <c r="BP447" s="2" t="s">
        <v>79</v>
      </c>
      <c r="BQ447" s="2" t="s">
        <v>79</v>
      </c>
      <c r="BR447" s="2" t="s">
        <v>98</v>
      </c>
      <c r="BS447" s="2" t="s">
        <v>79</v>
      </c>
      <c r="BT447" s="2" t="s">
        <v>98</v>
      </c>
      <c r="BU447" s="2" t="s">
        <v>98</v>
      </c>
      <c r="BV447" s="2" t="s">
        <v>98</v>
      </c>
      <c r="BW447" s="2" t="s">
        <v>98</v>
      </c>
      <c r="BX447" s="2" t="s">
        <v>98</v>
      </c>
      <c r="BY447" s="2" t="s">
        <v>98</v>
      </c>
      <c r="BZ447" s="2" t="s">
        <v>98</v>
      </c>
      <c r="CA447" s="2" t="s">
        <v>98</v>
      </c>
      <c r="CB447" t="e">
        <f>TTEST(AS447:AW447,AI447:AM447,2,2)</f>
        <v>#DIV/0!</v>
      </c>
      <c r="CC447" t="e">
        <f>TTEST(AD447:AH447,AI447:AM447,2,2)</f>
        <v>#DIV/0!</v>
      </c>
      <c r="CD447" t="e">
        <f>TTEST(AN447:AR447,AI447:AM447,2,2)</f>
        <v>#DIV/0!</v>
      </c>
      <c r="CE447" t="e">
        <f>TTEST(AX447:BB447,AI447:AM447,2,2)</f>
        <v>#DIV/0!</v>
      </c>
      <c r="CF447">
        <v>438</v>
      </c>
      <c r="CG447">
        <v>444</v>
      </c>
      <c r="CH447">
        <v>446</v>
      </c>
      <c r="CI447">
        <v>446</v>
      </c>
      <c r="CJ447">
        <f>0.05*CF447/464</f>
        <v>4.719827586206897E-2</v>
      </c>
      <c r="CK447">
        <f>0.05*CG447/464</f>
        <v>4.7844827586206902E-2</v>
      </c>
      <c r="CL447">
        <f>0.05*CH447/464</f>
        <v>4.8060344827586206E-2</v>
      </c>
      <c r="CM447">
        <f>0.05*CI447/464</f>
        <v>4.8060344827586206E-2</v>
      </c>
      <c r="CN447" t="e">
        <f>IF(CB447&lt;CJ447,"yes","no")</f>
        <v>#DIV/0!</v>
      </c>
      <c r="CO447" t="e">
        <f>IF(CC447&lt;CK447,"yes","no")</f>
        <v>#DIV/0!</v>
      </c>
      <c r="CP447" t="e">
        <f>IF(CD447&lt;CL447,"yes","no")</f>
        <v>#DIV/0!</v>
      </c>
      <c r="CQ447" t="e">
        <f>IF(CE447&lt;CM447,"yes","no")</f>
        <v>#DIV/0!</v>
      </c>
      <c r="CR447" t="e">
        <f>TTEST(AS447:AW447,AD447:AH447,2,2)</f>
        <v>#DIV/0!</v>
      </c>
      <c r="CS447" t="e">
        <f>TTEST(AS447:AW447,AN447:AR447,2,2)</f>
        <v>#DIV/0!</v>
      </c>
      <c r="CT447" t="e">
        <f>TTEST(AS447:AW447,AX447:BB447,2,2)</f>
        <v>#DIV/0!</v>
      </c>
      <c r="CU447">
        <v>446</v>
      </c>
      <c r="CV447">
        <v>446</v>
      </c>
      <c r="CW447">
        <v>446</v>
      </c>
      <c r="CX447">
        <f t="shared" si="18"/>
        <v>4.8060344827586206E-2</v>
      </c>
      <c r="CY447">
        <f t="shared" si="19"/>
        <v>4.8060344827586206E-2</v>
      </c>
      <c r="CZ447">
        <f t="shared" si="20"/>
        <v>4.8060344827586206E-2</v>
      </c>
      <c r="DA447" t="e">
        <f>IF(CR447&lt;CX447,"yes","no")</f>
        <v>#DIV/0!</v>
      </c>
      <c r="DB447" t="e">
        <f>IF(CS447&lt;CY447,"yes","no")</f>
        <v>#DIV/0!</v>
      </c>
      <c r="DC447" t="e">
        <f>IF(CT447&lt;CZ447,"yes","no")</f>
        <v>#DIV/0!</v>
      </c>
    </row>
    <row r="448" spans="1:107" x14ac:dyDescent="0.2">
      <c r="A448" s="2" t="b">
        <v>0</v>
      </c>
      <c r="B448" s="2" t="s">
        <v>79</v>
      </c>
      <c r="C448" s="2" t="s">
        <v>80</v>
      </c>
      <c r="D448" s="2" t="s">
        <v>813</v>
      </c>
      <c r="E448" s="2" t="s">
        <v>814</v>
      </c>
      <c r="F448" s="2">
        <v>3</v>
      </c>
      <c r="G448" s="2">
        <v>1</v>
      </c>
      <c r="H448" s="2">
        <v>28.5</v>
      </c>
      <c r="I448" s="2">
        <v>4.6900000000000004</v>
      </c>
      <c r="J448" s="2" t="s">
        <v>83</v>
      </c>
      <c r="K448" s="2" t="s">
        <v>247</v>
      </c>
      <c r="L448" s="2" t="s">
        <v>146</v>
      </c>
      <c r="M448" s="2" t="s">
        <v>83</v>
      </c>
      <c r="N448" s="2" t="s">
        <v>815</v>
      </c>
      <c r="O448" s="2">
        <v>100</v>
      </c>
      <c r="P448" s="2" t="s">
        <v>83</v>
      </c>
      <c r="Q448" s="2" t="s">
        <v>83</v>
      </c>
      <c r="R448" s="2">
        <v>0.01</v>
      </c>
      <c r="S448" s="2">
        <v>3.8450000000000002</v>
      </c>
      <c r="T448" s="2">
        <v>0.01</v>
      </c>
      <c r="U448" s="2">
        <v>0.01</v>
      </c>
      <c r="V448" s="2">
        <v>0.01</v>
      </c>
      <c r="W448" s="2">
        <v>0.01</v>
      </c>
      <c r="X448" s="2" t="s">
        <v>83</v>
      </c>
      <c r="Y448" s="2" t="s">
        <v>83</v>
      </c>
      <c r="Z448" s="2">
        <v>103.2</v>
      </c>
      <c r="AA448" s="2">
        <v>396.8</v>
      </c>
      <c r="AB448" s="2" t="s">
        <v>83</v>
      </c>
      <c r="AC448" s="2" t="s">
        <v>83</v>
      </c>
      <c r="AD448" s="2" t="s">
        <v>83</v>
      </c>
      <c r="AE448" s="2" t="s">
        <v>83</v>
      </c>
      <c r="AF448" s="2" t="s">
        <v>83</v>
      </c>
      <c r="AG448" s="2" t="s">
        <v>83</v>
      </c>
      <c r="AH448" s="2" t="s">
        <v>83</v>
      </c>
      <c r="AI448" s="2">
        <v>12880.3349609375</v>
      </c>
      <c r="AJ448" s="2" t="s">
        <v>83</v>
      </c>
      <c r="AK448" s="2" t="s">
        <v>83</v>
      </c>
      <c r="AL448" s="2" t="s">
        <v>83</v>
      </c>
      <c r="AM448" s="2" t="s">
        <v>83</v>
      </c>
      <c r="AN448" s="2">
        <v>36033.59765625</v>
      </c>
      <c r="AO448" s="2">
        <v>39336.875</v>
      </c>
      <c r="AP448" s="2">
        <v>49445.6328125</v>
      </c>
      <c r="AQ448" s="2">
        <v>50573.1328125</v>
      </c>
      <c r="AR448" s="2">
        <v>57846.51171875</v>
      </c>
      <c r="AS448" s="2" t="s">
        <v>83</v>
      </c>
      <c r="AT448" s="2" t="s">
        <v>83</v>
      </c>
      <c r="AU448" s="2" t="s">
        <v>83</v>
      </c>
      <c r="AV448" s="2" t="s">
        <v>83</v>
      </c>
      <c r="AW448" s="2" t="s">
        <v>83</v>
      </c>
      <c r="AX448" s="2" t="s">
        <v>83</v>
      </c>
      <c r="AY448" s="2" t="s">
        <v>83</v>
      </c>
      <c r="AZ448" s="2" t="s">
        <v>83</v>
      </c>
      <c r="BA448" s="2" t="s">
        <v>83</v>
      </c>
      <c r="BB448" s="2" t="s">
        <v>83</v>
      </c>
      <c r="BC448" s="2" t="s">
        <v>98</v>
      </c>
      <c r="BD448" s="2" t="s">
        <v>98</v>
      </c>
      <c r="BE448" s="2" t="s">
        <v>98</v>
      </c>
      <c r="BF448" s="2" t="s">
        <v>98</v>
      </c>
      <c r="BG448" s="2" t="s">
        <v>98</v>
      </c>
      <c r="BH448" s="2" t="s">
        <v>91</v>
      </c>
      <c r="BI448" s="2" t="s">
        <v>98</v>
      </c>
      <c r="BJ448" s="2" t="s">
        <v>98</v>
      </c>
      <c r="BK448" s="2" t="s">
        <v>98</v>
      </c>
      <c r="BL448" s="2" t="s">
        <v>98</v>
      </c>
      <c r="BM448" s="2" t="s">
        <v>79</v>
      </c>
      <c r="BN448" s="2" t="s">
        <v>79</v>
      </c>
      <c r="BO448" s="2" t="s">
        <v>79</v>
      </c>
      <c r="BP448" s="2" t="s">
        <v>79</v>
      </c>
      <c r="BQ448" s="2" t="s">
        <v>79</v>
      </c>
      <c r="BR448" s="2" t="s">
        <v>98</v>
      </c>
      <c r="BS448" s="2" t="s">
        <v>98</v>
      </c>
      <c r="BT448" s="2" t="s">
        <v>98</v>
      </c>
      <c r="BU448" s="2" t="s">
        <v>98</v>
      </c>
      <c r="BV448" s="2" t="s">
        <v>98</v>
      </c>
      <c r="BW448" s="2" t="s">
        <v>98</v>
      </c>
      <c r="BX448" s="2" t="s">
        <v>98</v>
      </c>
      <c r="BY448" s="2" t="s">
        <v>98</v>
      </c>
      <c r="BZ448" s="2" t="s">
        <v>98</v>
      </c>
      <c r="CA448" s="2" t="s">
        <v>98</v>
      </c>
      <c r="CB448" t="e">
        <f>TTEST(AS448:AW448,AI448:AM448,2,2)</f>
        <v>#DIV/0!</v>
      </c>
      <c r="CC448" t="e">
        <f>TTEST(AD448:AH448,AI448:AM448,2,2)</f>
        <v>#DIV/0!</v>
      </c>
      <c r="CD448" t="e">
        <f>TTEST(AN448:AR448,AI448:AM448,2,2)</f>
        <v>#DIV/0!</v>
      </c>
      <c r="CE448" t="e">
        <f>TTEST(AX448:BB448,AI448:AM448,2,2)</f>
        <v>#DIV/0!</v>
      </c>
      <c r="CF448">
        <v>439</v>
      </c>
      <c r="CG448">
        <v>445</v>
      </c>
      <c r="CH448">
        <v>447</v>
      </c>
      <c r="CI448">
        <v>447</v>
      </c>
      <c r="CJ448">
        <f>0.05*CF448/464</f>
        <v>4.7306034482758628E-2</v>
      </c>
      <c r="CK448">
        <f>0.05*CG448/464</f>
        <v>4.7952586206896554E-2</v>
      </c>
      <c r="CL448">
        <f>0.05*CH448/464</f>
        <v>4.8168103448275865E-2</v>
      </c>
      <c r="CM448">
        <f>0.05*CI448/464</f>
        <v>4.8168103448275865E-2</v>
      </c>
      <c r="CN448" t="e">
        <f>IF(CB448&lt;CJ448,"yes","no")</f>
        <v>#DIV/0!</v>
      </c>
      <c r="CO448" t="e">
        <f>IF(CC448&lt;CK448,"yes","no")</f>
        <v>#DIV/0!</v>
      </c>
      <c r="CP448" t="e">
        <f>IF(CD448&lt;CL448,"yes","no")</f>
        <v>#DIV/0!</v>
      </c>
      <c r="CQ448" t="e">
        <f>IF(CE448&lt;CM448,"yes","no")</f>
        <v>#DIV/0!</v>
      </c>
      <c r="CR448" t="e">
        <f>TTEST(AS448:AW448,AD448:AH448,2,2)</f>
        <v>#DIV/0!</v>
      </c>
      <c r="CS448" t="e">
        <f>TTEST(AS448:AW448,AN448:AR448,2,2)</f>
        <v>#DIV/0!</v>
      </c>
      <c r="CT448" t="e">
        <f>TTEST(AS448:AW448,AX448:BB448,2,2)</f>
        <v>#DIV/0!</v>
      </c>
      <c r="CU448">
        <v>447</v>
      </c>
      <c r="CV448">
        <v>447</v>
      </c>
      <c r="CW448">
        <v>447</v>
      </c>
      <c r="CX448">
        <f t="shared" si="18"/>
        <v>4.8168103448275865E-2</v>
      </c>
      <c r="CY448">
        <f t="shared" si="19"/>
        <v>4.8168103448275865E-2</v>
      </c>
      <c r="CZ448">
        <f t="shared" si="20"/>
        <v>4.8168103448275865E-2</v>
      </c>
      <c r="DA448" t="e">
        <f>IF(CR448&lt;CX448,"yes","no")</f>
        <v>#DIV/0!</v>
      </c>
      <c r="DB448" t="e">
        <f>IF(CS448&lt;CY448,"yes","no")</f>
        <v>#DIV/0!</v>
      </c>
      <c r="DC448" t="e">
        <f>IF(CT448&lt;CZ448,"yes","no")</f>
        <v>#DIV/0!</v>
      </c>
    </row>
    <row r="449" spans="1:107" x14ac:dyDescent="0.2">
      <c r="A449" s="2" t="b">
        <v>0</v>
      </c>
      <c r="B449" s="2" t="s">
        <v>79</v>
      </c>
      <c r="C449" s="2" t="s">
        <v>80</v>
      </c>
      <c r="D449" s="2" t="s">
        <v>949</v>
      </c>
      <c r="E449" s="2" t="s">
        <v>950</v>
      </c>
      <c r="F449" s="2">
        <v>3</v>
      </c>
      <c r="G449" s="2">
        <v>2</v>
      </c>
      <c r="H449" s="2">
        <v>29.3</v>
      </c>
      <c r="I449" s="2">
        <v>4.72</v>
      </c>
      <c r="J449" s="2" t="s">
        <v>228</v>
      </c>
      <c r="K449" s="2" t="s">
        <v>247</v>
      </c>
      <c r="L449" s="2" t="s">
        <v>315</v>
      </c>
      <c r="M449" s="2" t="s">
        <v>83</v>
      </c>
      <c r="N449" s="2" t="s">
        <v>949</v>
      </c>
      <c r="O449" s="2">
        <v>100</v>
      </c>
      <c r="P449" s="2" t="s">
        <v>83</v>
      </c>
      <c r="Q449" s="2" t="s">
        <v>83</v>
      </c>
      <c r="R449" s="2">
        <v>0.01</v>
      </c>
      <c r="S449" s="2">
        <v>0.83099999999999996</v>
      </c>
      <c r="T449" s="2">
        <v>0.01</v>
      </c>
      <c r="U449" s="2">
        <v>0.01</v>
      </c>
      <c r="V449" s="2">
        <v>0.01</v>
      </c>
      <c r="W449" s="2">
        <v>0.01</v>
      </c>
      <c r="X449" s="2" t="s">
        <v>83</v>
      </c>
      <c r="Y449" s="2" t="s">
        <v>83</v>
      </c>
      <c r="Z449" s="2">
        <v>97.7</v>
      </c>
      <c r="AA449" s="2">
        <v>402.3</v>
      </c>
      <c r="AB449" s="2" t="s">
        <v>83</v>
      </c>
      <c r="AC449" s="2" t="s">
        <v>83</v>
      </c>
      <c r="AD449" s="2" t="s">
        <v>83</v>
      </c>
      <c r="AE449" s="2" t="s">
        <v>83</v>
      </c>
      <c r="AF449" s="2" t="s">
        <v>83</v>
      </c>
      <c r="AG449" s="2" t="s">
        <v>83</v>
      </c>
      <c r="AH449" s="2" t="s">
        <v>83</v>
      </c>
      <c r="AI449" s="2" t="s">
        <v>83</v>
      </c>
      <c r="AJ449" s="2" t="s">
        <v>83</v>
      </c>
      <c r="AK449" s="2" t="s">
        <v>83</v>
      </c>
      <c r="AL449" s="2">
        <v>18651.712890625</v>
      </c>
      <c r="AM449" s="2" t="s">
        <v>83</v>
      </c>
      <c r="AN449" s="2">
        <v>8252.298828125</v>
      </c>
      <c r="AO449" s="2">
        <v>39037.1796875</v>
      </c>
      <c r="AP449" s="2">
        <v>62455.4365234375</v>
      </c>
      <c r="AQ449" s="2">
        <v>54722.04296875</v>
      </c>
      <c r="AR449" s="2">
        <v>83926.171875</v>
      </c>
      <c r="AS449" s="2" t="s">
        <v>83</v>
      </c>
      <c r="AT449" s="2" t="s">
        <v>83</v>
      </c>
      <c r="AU449" s="2" t="s">
        <v>83</v>
      </c>
      <c r="AV449" s="2" t="s">
        <v>83</v>
      </c>
      <c r="AW449" s="2" t="s">
        <v>83</v>
      </c>
      <c r="AX449" s="2" t="s">
        <v>83</v>
      </c>
      <c r="AY449" s="2" t="s">
        <v>83</v>
      </c>
      <c r="AZ449" s="2" t="s">
        <v>83</v>
      </c>
      <c r="BA449" s="2" t="s">
        <v>83</v>
      </c>
      <c r="BB449" s="2" t="s">
        <v>83</v>
      </c>
      <c r="BC449" s="2" t="s">
        <v>98</v>
      </c>
      <c r="BD449" s="2" t="s">
        <v>98</v>
      </c>
      <c r="BE449" s="2" t="s">
        <v>98</v>
      </c>
      <c r="BF449" s="2" t="s">
        <v>98</v>
      </c>
      <c r="BG449" s="2" t="s">
        <v>98</v>
      </c>
      <c r="BH449" s="2" t="s">
        <v>98</v>
      </c>
      <c r="BI449" s="2" t="s">
        <v>98</v>
      </c>
      <c r="BJ449" s="2" t="s">
        <v>98</v>
      </c>
      <c r="BK449" s="2" t="s">
        <v>91</v>
      </c>
      <c r="BL449" s="2" t="s">
        <v>98</v>
      </c>
      <c r="BM449" s="2" t="s">
        <v>79</v>
      </c>
      <c r="BN449" s="2" t="s">
        <v>79</v>
      </c>
      <c r="BO449" s="2" t="s">
        <v>79</v>
      </c>
      <c r="BP449" s="2" t="s">
        <v>79</v>
      </c>
      <c r="BQ449" s="2" t="s">
        <v>79</v>
      </c>
      <c r="BR449" s="2" t="s">
        <v>98</v>
      </c>
      <c r="BS449" s="2" t="s">
        <v>98</v>
      </c>
      <c r="BT449" s="2" t="s">
        <v>98</v>
      </c>
      <c r="BU449" s="2" t="s">
        <v>98</v>
      </c>
      <c r="BV449" s="2" t="s">
        <v>98</v>
      </c>
      <c r="BW449" s="2" t="s">
        <v>98</v>
      </c>
      <c r="BX449" s="2" t="s">
        <v>98</v>
      </c>
      <c r="BY449" s="2" t="s">
        <v>98</v>
      </c>
      <c r="BZ449" s="2" t="s">
        <v>98</v>
      </c>
      <c r="CA449" s="2" t="s">
        <v>98</v>
      </c>
      <c r="CB449" t="e">
        <f>TTEST(AS449:AW449,AI449:AM449,2,2)</f>
        <v>#DIV/0!</v>
      </c>
      <c r="CC449" t="e">
        <f>TTEST(AD449:AH449,AI449:AM449,2,2)</f>
        <v>#DIV/0!</v>
      </c>
      <c r="CD449" t="e">
        <f>TTEST(AN449:AR449,AI449:AM449,2,2)</f>
        <v>#DIV/0!</v>
      </c>
      <c r="CE449" t="e">
        <f>TTEST(AX449:BB449,AI449:AM449,2,2)</f>
        <v>#DIV/0!</v>
      </c>
      <c r="CF449">
        <v>443</v>
      </c>
      <c r="CG449">
        <v>446</v>
      </c>
      <c r="CH449">
        <v>448</v>
      </c>
      <c r="CI449">
        <v>448</v>
      </c>
      <c r="CJ449">
        <f>0.05*CF449/464</f>
        <v>4.7737068965517243E-2</v>
      </c>
      <c r="CK449">
        <f>0.05*CG449/464</f>
        <v>4.8060344827586206E-2</v>
      </c>
      <c r="CL449">
        <f>0.05*CH449/464</f>
        <v>4.8275862068965524E-2</v>
      </c>
      <c r="CM449">
        <f>0.05*CI449/464</f>
        <v>4.8275862068965524E-2</v>
      </c>
      <c r="CN449" t="e">
        <f>IF(CB449&lt;CJ449,"yes","no")</f>
        <v>#DIV/0!</v>
      </c>
      <c r="CO449" t="e">
        <f>IF(CC449&lt;CK449,"yes","no")</f>
        <v>#DIV/0!</v>
      </c>
      <c r="CP449" t="e">
        <f>IF(CD449&lt;CL449,"yes","no")</f>
        <v>#DIV/0!</v>
      </c>
      <c r="CQ449" t="e">
        <f>IF(CE449&lt;CM449,"yes","no")</f>
        <v>#DIV/0!</v>
      </c>
      <c r="CR449" t="e">
        <f>TTEST(AS449:AW449,AD449:AH449,2,2)</f>
        <v>#DIV/0!</v>
      </c>
      <c r="CS449" t="e">
        <f>TTEST(AS449:AW449,AN449:AR449,2,2)</f>
        <v>#DIV/0!</v>
      </c>
      <c r="CT449" t="e">
        <f>TTEST(AS449:AW449,AX449:BB449,2,2)</f>
        <v>#DIV/0!</v>
      </c>
      <c r="CU449">
        <v>448</v>
      </c>
      <c r="CV449">
        <v>448</v>
      </c>
      <c r="CW449">
        <v>448</v>
      </c>
      <c r="CX449">
        <f t="shared" si="18"/>
        <v>4.8275862068965524E-2</v>
      </c>
      <c r="CY449">
        <f t="shared" si="19"/>
        <v>4.8275862068965524E-2</v>
      </c>
      <c r="CZ449">
        <f t="shared" si="20"/>
        <v>4.8275862068965524E-2</v>
      </c>
      <c r="DA449" t="e">
        <f>IF(CR449&lt;CX449,"yes","no")</f>
        <v>#DIV/0!</v>
      </c>
      <c r="DB449" t="e">
        <f>IF(CS449&lt;CY449,"yes","no")</f>
        <v>#DIV/0!</v>
      </c>
      <c r="DC449" t="e">
        <f>IF(CT449&lt;CZ449,"yes","no")</f>
        <v>#DIV/0!</v>
      </c>
    </row>
    <row r="450" spans="1:107" x14ac:dyDescent="0.2">
      <c r="A450" s="2" t="b">
        <v>0</v>
      </c>
      <c r="B450" s="2" t="s">
        <v>79</v>
      </c>
      <c r="C450" s="2" t="s">
        <v>80</v>
      </c>
      <c r="D450" s="2" t="s">
        <v>1016</v>
      </c>
      <c r="E450" s="2" t="s">
        <v>1017</v>
      </c>
      <c r="F450" s="2">
        <v>3</v>
      </c>
      <c r="G450" s="2">
        <v>3</v>
      </c>
      <c r="H450" s="2">
        <v>27.4</v>
      </c>
      <c r="I450" s="2">
        <v>6.54</v>
      </c>
      <c r="J450" s="2" t="s">
        <v>135</v>
      </c>
      <c r="K450" s="2" t="s">
        <v>363</v>
      </c>
      <c r="L450" s="2" t="s">
        <v>119</v>
      </c>
      <c r="M450" s="2" t="s">
        <v>1018</v>
      </c>
      <c r="N450" s="2" t="s">
        <v>1016</v>
      </c>
      <c r="O450" s="2">
        <v>0.01</v>
      </c>
      <c r="P450" s="2">
        <v>0.01</v>
      </c>
      <c r="Q450" s="2">
        <v>2.331</v>
      </c>
      <c r="R450" s="2">
        <v>0.245</v>
      </c>
      <c r="S450" s="2">
        <v>0.01</v>
      </c>
      <c r="T450" s="2">
        <v>0.01</v>
      </c>
      <c r="U450" s="2">
        <v>0.876</v>
      </c>
      <c r="V450" s="2" t="s">
        <v>83</v>
      </c>
      <c r="W450" s="2">
        <v>100</v>
      </c>
      <c r="X450" s="2">
        <v>100</v>
      </c>
      <c r="Y450" s="2">
        <v>43</v>
      </c>
      <c r="Z450" s="2">
        <v>279.2</v>
      </c>
      <c r="AA450" s="2" t="s">
        <v>83</v>
      </c>
      <c r="AB450" s="2" t="s">
        <v>83</v>
      </c>
      <c r="AC450" s="2">
        <v>177.8</v>
      </c>
      <c r="AD450" s="2" t="s">
        <v>83</v>
      </c>
      <c r="AE450" s="2" t="s">
        <v>83</v>
      </c>
      <c r="AF450" s="2" t="s">
        <v>83</v>
      </c>
      <c r="AG450" s="2">
        <v>200807.484375</v>
      </c>
      <c r="AH450" s="2" t="s">
        <v>83</v>
      </c>
      <c r="AI450" s="2" t="s">
        <v>83</v>
      </c>
      <c r="AJ450" s="2" t="s">
        <v>83</v>
      </c>
      <c r="AK450" s="2" t="s">
        <v>83</v>
      </c>
      <c r="AL450" s="2">
        <v>33786.9150390625</v>
      </c>
      <c r="AM450" s="2" t="s">
        <v>83</v>
      </c>
      <c r="AN450" s="2" t="s">
        <v>83</v>
      </c>
      <c r="AO450" s="2" t="s">
        <v>83</v>
      </c>
      <c r="AP450" s="2" t="s">
        <v>83</v>
      </c>
      <c r="AQ450" s="2" t="s">
        <v>83</v>
      </c>
      <c r="AR450" s="2" t="s">
        <v>83</v>
      </c>
      <c r="AS450" s="2" t="s">
        <v>83</v>
      </c>
      <c r="AT450" s="2" t="s">
        <v>83</v>
      </c>
      <c r="AU450" s="2" t="s">
        <v>83</v>
      </c>
      <c r="AV450" s="2" t="s">
        <v>83</v>
      </c>
      <c r="AW450" s="2" t="s">
        <v>83</v>
      </c>
      <c r="AX450" s="2">
        <v>46769.671875</v>
      </c>
      <c r="AY450" s="2">
        <v>49585.8076171875</v>
      </c>
      <c r="AZ450" s="2" t="s">
        <v>83</v>
      </c>
      <c r="BA450" s="2">
        <v>140282.9375</v>
      </c>
      <c r="BB450" s="2">
        <v>7847.76318359375</v>
      </c>
      <c r="BC450" s="2" t="s">
        <v>98</v>
      </c>
      <c r="BD450" s="2" t="s">
        <v>98</v>
      </c>
      <c r="BE450" s="2" t="s">
        <v>98</v>
      </c>
      <c r="BF450" s="2" t="s">
        <v>79</v>
      </c>
      <c r="BG450" s="2" t="s">
        <v>98</v>
      </c>
      <c r="BH450" s="2" t="s">
        <v>98</v>
      </c>
      <c r="BI450" s="2" t="s">
        <v>98</v>
      </c>
      <c r="BJ450" s="2" t="s">
        <v>98</v>
      </c>
      <c r="BK450" s="2" t="s">
        <v>91</v>
      </c>
      <c r="BL450" s="2" t="s">
        <v>98</v>
      </c>
      <c r="BM450" s="2" t="s">
        <v>98</v>
      </c>
      <c r="BN450" s="2" t="s">
        <v>98</v>
      </c>
      <c r="BO450" s="2" t="s">
        <v>98</v>
      </c>
      <c r="BP450" s="2" t="s">
        <v>98</v>
      </c>
      <c r="BQ450" s="2" t="s">
        <v>98</v>
      </c>
      <c r="BR450" s="2" t="s">
        <v>98</v>
      </c>
      <c r="BS450" s="2" t="s">
        <v>98</v>
      </c>
      <c r="BT450" s="2" t="s">
        <v>98</v>
      </c>
      <c r="BU450" s="2" t="s">
        <v>98</v>
      </c>
      <c r="BV450" s="2" t="s">
        <v>98</v>
      </c>
      <c r="BW450" s="2" t="s">
        <v>91</v>
      </c>
      <c r="BX450" s="2" t="s">
        <v>79</v>
      </c>
      <c r="BY450" s="2" t="s">
        <v>98</v>
      </c>
      <c r="BZ450" s="2" t="s">
        <v>91</v>
      </c>
      <c r="CA450" s="2" t="s">
        <v>91</v>
      </c>
      <c r="CB450" t="e">
        <f>TTEST(AS450:AW450,AI450:AM450,2,2)</f>
        <v>#DIV/0!</v>
      </c>
      <c r="CC450" t="e">
        <f>TTEST(AD450:AH450,AI450:AM450,2,2)</f>
        <v>#DIV/0!</v>
      </c>
      <c r="CD450" t="e">
        <f>TTEST(AN450:AR450,AI450:AM450,2,2)</f>
        <v>#DIV/0!</v>
      </c>
      <c r="CE450" t="e">
        <f>TTEST(AX450:BB450,AI450:AM450,2,2)</f>
        <v>#DIV/0!</v>
      </c>
      <c r="CF450">
        <v>445</v>
      </c>
      <c r="CG450">
        <v>447</v>
      </c>
      <c r="CH450">
        <v>449</v>
      </c>
      <c r="CI450">
        <v>449</v>
      </c>
      <c r="CJ450">
        <f>0.05*CF450/464</f>
        <v>4.7952586206896554E-2</v>
      </c>
      <c r="CK450">
        <f>0.05*CG450/464</f>
        <v>4.8168103448275865E-2</v>
      </c>
      <c r="CL450">
        <f>0.05*CH450/464</f>
        <v>4.8383620689655175E-2</v>
      </c>
      <c r="CM450">
        <f>0.05*CI450/464</f>
        <v>4.8383620689655175E-2</v>
      </c>
      <c r="CN450" t="e">
        <f>IF(CB450&lt;CJ450,"yes","no")</f>
        <v>#DIV/0!</v>
      </c>
      <c r="CO450" t="e">
        <f>IF(CC450&lt;CK450,"yes","no")</f>
        <v>#DIV/0!</v>
      </c>
      <c r="CP450" t="e">
        <f>IF(CD450&lt;CL450,"yes","no")</f>
        <v>#DIV/0!</v>
      </c>
      <c r="CQ450" t="e">
        <f>IF(CE450&lt;CM450,"yes","no")</f>
        <v>#DIV/0!</v>
      </c>
      <c r="CR450" t="e">
        <f>TTEST(AS450:AW450,AD450:AH450,2,2)</f>
        <v>#DIV/0!</v>
      </c>
      <c r="CS450" t="e">
        <f>TTEST(AS450:AW450,AN450:AR450,2,2)</f>
        <v>#DIV/0!</v>
      </c>
      <c r="CT450" t="e">
        <f>TTEST(AS450:AW450,AX450:BB450,2,2)</f>
        <v>#DIV/0!</v>
      </c>
      <c r="CU450">
        <v>449</v>
      </c>
      <c r="CV450">
        <v>449</v>
      </c>
      <c r="CW450">
        <v>449</v>
      </c>
      <c r="CX450">
        <f t="shared" si="18"/>
        <v>4.8383620689655175E-2</v>
      </c>
      <c r="CY450">
        <f t="shared" si="19"/>
        <v>4.8383620689655175E-2</v>
      </c>
      <c r="CZ450">
        <f t="shared" si="20"/>
        <v>4.8383620689655175E-2</v>
      </c>
      <c r="DA450" t="e">
        <f>IF(CR450&lt;CX450,"yes","no")</f>
        <v>#DIV/0!</v>
      </c>
      <c r="DB450" t="e">
        <f>IF(CS450&lt;CY450,"yes","no")</f>
        <v>#DIV/0!</v>
      </c>
      <c r="DC450" t="e">
        <f>IF(CT450&lt;CZ450,"yes","no")</f>
        <v>#DIV/0!</v>
      </c>
    </row>
    <row r="451" spans="1:107" x14ac:dyDescent="0.2">
      <c r="A451" s="2" t="b">
        <v>0</v>
      </c>
      <c r="B451" s="2" t="s">
        <v>79</v>
      </c>
      <c r="C451" s="2" t="s">
        <v>80</v>
      </c>
      <c r="D451" s="2" t="s">
        <v>1052</v>
      </c>
      <c r="E451" s="2" t="s">
        <v>1053</v>
      </c>
      <c r="F451" s="2">
        <v>3</v>
      </c>
      <c r="G451" s="2">
        <v>3</v>
      </c>
      <c r="H451" s="2">
        <v>55.5</v>
      </c>
      <c r="I451" s="2">
        <v>8.73</v>
      </c>
      <c r="J451" s="2" t="s">
        <v>135</v>
      </c>
      <c r="K451" s="2" t="s">
        <v>514</v>
      </c>
      <c r="L451" s="2" t="s">
        <v>119</v>
      </c>
      <c r="M451" s="2" t="s">
        <v>1054</v>
      </c>
      <c r="N451" s="2" t="s">
        <v>1052</v>
      </c>
      <c r="O451" s="2">
        <v>7.7110000000000003</v>
      </c>
      <c r="P451" s="2">
        <v>0.01</v>
      </c>
      <c r="Q451" s="2">
        <v>4.1130000000000004</v>
      </c>
      <c r="R451" s="2">
        <v>0.39200000000000002</v>
      </c>
      <c r="S451" s="2">
        <v>3.024</v>
      </c>
      <c r="T451" s="2">
        <v>0.01</v>
      </c>
      <c r="U451" s="2">
        <v>1.613</v>
      </c>
      <c r="V451" s="2">
        <v>0.01</v>
      </c>
      <c r="W451" s="2">
        <v>0.53300000000000003</v>
      </c>
      <c r="X451" s="2">
        <v>100</v>
      </c>
      <c r="Y451" s="2">
        <v>32.5</v>
      </c>
      <c r="Z451" s="2">
        <v>82.9</v>
      </c>
      <c r="AA451" s="2">
        <v>250.8</v>
      </c>
      <c r="AB451" s="2" t="s">
        <v>83</v>
      </c>
      <c r="AC451" s="2">
        <v>133.80000000000001</v>
      </c>
      <c r="AD451" s="2">
        <v>84706.21875</v>
      </c>
      <c r="AE451" s="2" t="s">
        <v>83</v>
      </c>
      <c r="AF451" s="2">
        <v>92400.171875</v>
      </c>
      <c r="AG451" s="2">
        <v>309130.15625</v>
      </c>
      <c r="AH451" s="2" t="s">
        <v>83</v>
      </c>
      <c r="AI451" s="2" t="s">
        <v>83</v>
      </c>
      <c r="AJ451" s="2" t="s">
        <v>83</v>
      </c>
      <c r="AK451" s="2" t="s">
        <v>83</v>
      </c>
      <c r="AL451" s="2">
        <v>8098.63818359375</v>
      </c>
      <c r="AM451" s="2" t="s">
        <v>83</v>
      </c>
      <c r="AN451" s="2" t="s">
        <v>83</v>
      </c>
      <c r="AO451" s="2" t="s">
        <v>83</v>
      </c>
      <c r="AP451" s="2" t="s">
        <v>83</v>
      </c>
      <c r="AQ451" s="2" t="s">
        <v>83</v>
      </c>
      <c r="AR451" s="2">
        <v>20864.00390625</v>
      </c>
      <c r="AS451" s="2" t="s">
        <v>83</v>
      </c>
      <c r="AT451" s="2" t="s">
        <v>83</v>
      </c>
      <c r="AU451" s="2" t="s">
        <v>83</v>
      </c>
      <c r="AV451" s="2" t="s">
        <v>83</v>
      </c>
      <c r="AW451" s="2" t="s">
        <v>83</v>
      </c>
      <c r="AX451" s="2">
        <v>21275.986328125</v>
      </c>
      <c r="AY451" s="2" t="s">
        <v>83</v>
      </c>
      <c r="AZ451" s="2" t="s">
        <v>83</v>
      </c>
      <c r="BA451" s="2" t="s">
        <v>83</v>
      </c>
      <c r="BB451" s="2" t="s">
        <v>83</v>
      </c>
      <c r="BC451" s="2" t="s">
        <v>91</v>
      </c>
      <c r="BD451" s="2" t="s">
        <v>98</v>
      </c>
      <c r="BE451" s="2" t="s">
        <v>79</v>
      </c>
      <c r="BF451" s="2" t="s">
        <v>79</v>
      </c>
      <c r="BG451" s="2" t="s">
        <v>98</v>
      </c>
      <c r="BH451" s="2" t="s">
        <v>98</v>
      </c>
      <c r="BI451" s="2" t="s">
        <v>98</v>
      </c>
      <c r="BJ451" s="2" t="s">
        <v>98</v>
      </c>
      <c r="BK451" s="2" t="s">
        <v>91</v>
      </c>
      <c r="BL451" s="2" t="s">
        <v>98</v>
      </c>
      <c r="BM451" s="2" t="s">
        <v>98</v>
      </c>
      <c r="BN451" s="2" t="s">
        <v>98</v>
      </c>
      <c r="BO451" s="2" t="s">
        <v>98</v>
      </c>
      <c r="BP451" s="2" t="s">
        <v>98</v>
      </c>
      <c r="BQ451" s="2" t="s">
        <v>91</v>
      </c>
      <c r="BR451" s="2" t="s">
        <v>98</v>
      </c>
      <c r="BS451" s="2" t="s">
        <v>79</v>
      </c>
      <c r="BT451" s="2" t="s">
        <v>98</v>
      </c>
      <c r="BU451" s="2" t="s">
        <v>98</v>
      </c>
      <c r="BV451" s="2" t="s">
        <v>98</v>
      </c>
      <c r="BW451" s="2" t="s">
        <v>91</v>
      </c>
      <c r="BX451" s="2" t="s">
        <v>98</v>
      </c>
      <c r="BY451" s="2" t="s">
        <v>98</v>
      </c>
      <c r="BZ451" s="2" t="s">
        <v>98</v>
      </c>
      <c r="CA451" s="2" t="s">
        <v>98</v>
      </c>
      <c r="CB451" t="e">
        <f>TTEST(AS451:AW451,AI451:AM451,2,2)</f>
        <v>#DIV/0!</v>
      </c>
      <c r="CC451" t="e">
        <f>TTEST(AD451:AH451,AI451:AM451,2,2)</f>
        <v>#DIV/0!</v>
      </c>
      <c r="CD451" t="e">
        <f>TTEST(AN451:AR451,AI451:AM451,2,2)</f>
        <v>#DIV/0!</v>
      </c>
      <c r="CE451" t="e">
        <f>TTEST(AX451:BB451,AI451:AM451,2,2)</f>
        <v>#DIV/0!</v>
      </c>
      <c r="CF451">
        <v>447</v>
      </c>
      <c r="CG451">
        <v>448</v>
      </c>
      <c r="CH451">
        <v>450</v>
      </c>
      <c r="CI451">
        <v>450</v>
      </c>
      <c r="CJ451">
        <f>0.05*CF451/464</f>
        <v>4.8168103448275865E-2</v>
      </c>
      <c r="CK451">
        <f>0.05*CG451/464</f>
        <v>4.8275862068965524E-2</v>
      </c>
      <c r="CL451">
        <f>0.05*CH451/464</f>
        <v>4.8491379310344827E-2</v>
      </c>
      <c r="CM451">
        <f>0.05*CI451/464</f>
        <v>4.8491379310344827E-2</v>
      </c>
      <c r="CN451" t="e">
        <f>IF(CB451&lt;CJ451,"yes","no")</f>
        <v>#DIV/0!</v>
      </c>
      <c r="CO451" t="e">
        <f>IF(CC451&lt;CK451,"yes","no")</f>
        <v>#DIV/0!</v>
      </c>
      <c r="CP451" t="e">
        <f>IF(CD451&lt;CL451,"yes","no")</f>
        <v>#DIV/0!</v>
      </c>
      <c r="CQ451" t="e">
        <f>IF(CE451&lt;CM451,"yes","no")</f>
        <v>#DIV/0!</v>
      </c>
      <c r="CR451" t="e">
        <f>TTEST(AS451:AW451,AD451:AH451,2,2)</f>
        <v>#DIV/0!</v>
      </c>
      <c r="CS451" t="e">
        <f>TTEST(AS451:AW451,AN451:AR451,2,2)</f>
        <v>#DIV/0!</v>
      </c>
      <c r="CT451" t="e">
        <f>TTEST(AS451:AW451,AX451:BB451,2,2)</f>
        <v>#DIV/0!</v>
      </c>
      <c r="CU451">
        <v>450</v>
      </c>
      <c r="CV451">
        <v>450</v>
      </c>
      <c r="CW451">
        <v>450</v>
      </c>
      <c r="CX451">
        <f t="shared" ref="CX451:CX465" si="21">0.05*CU451/464</f>
        <v>4.8491379310344827E-2</v>
      </c>
      <c r="CY451">
        <f t="shared" ref="CY451:CY465" si="22">0.05*CV451/464</f>
        <v>4.8491379310344827E-2</v>
      </c>
      <c r="CZ451">
        <f t="shared" ref="CZ451:CZ466" si="23">0.05*CW451/464</f>
        <v>4.8491379310344827E-2</v>
      </c>
      <c r="DA451" t="e">
        <f>IF(CR451&lt;CX451,"yes","no")</f>
        <v>#DIV/0!</v>
      </c>
      <c r="DB451" t="e">
        <f>IF(CS451&lt;CY451,"yes","no")</f>
        <v>#DIV/0!</v>
      </c>
      <c r="DC451" t="e">
        <f>IF(CT451&lt;CZ451,"yes","no")</f>
        <v>#DIV/0!</v>
      </c>
    </row>
    <row r="452" spans="1:107" x14ac:dyDescent="0.2">
      <c r="A452" s="2" t="b">
        <v>0</v>
      </c>
      <c r="B452" s="2" t="s">
        <v>79</v>
      </c>
      <c r="C452" s="2" t="s">
        <v>80</v>
      </c>
      <c r="D452" s="2" t="s">
        <v>1136</v>
      </c>
      <c r="E452" s="2" t="s">
        <v>1137</v>
      </c>
      <c r="F452" s="2">
        <v>3</v>
      </c>
      <c r="G452" s="2">
        <v>3</v>
      </c>
      <c r="H452" s="2">
        <v>21.2</v>
      </c>
      <c r="I452" s="2">
        <v>9.82</v>
      </c>
      <c r="J452" s="2" t="s">
        <v>380</v>
      </c>
      <c r="K452" s="2" t="s">
        <v>83</v>
      </c>
      <c r="L452" s="2" t="s">
        <v>119</v>
      </c>
      <c r="M452" s="2" t="s">
        <v>1138</v>
      </c>
      <c r="N452" s="2" t="s">
        <v>1136</v>
      </c>
      <c r="O452" s="2">
        <v>3.8149999999999999</v>
      </c>
      <c r="P452" s="2">
        <v>0.01</v>
      </c>
      <c r="Q452" s="2">
        <v>0.01</v>
      </c>
      <c r="R452" s="2">
        <v>0.49299999999999999</v>
      </c>
      <c r="S452" s="2">
        <v>1.881</v>
      </c>
      <c r="T452" s="2">
        <v>0.01</v>
      </c>
      <c r="U452" s="2">
        <v>0.01</v>
      </c>
      <c r="V452" s="2">
        <v>0.01</v>
      </c>
      <c r="W452" s="2">
        <v>0.01</v>
      </c>
      <c r="X452" s="2" t="s">
        <v>83</v>
      </c>
      <c r="Y452" s="2">
        <v>73.099999999999994</v>
      </c>
      <c r="Z452" s="2">
        <v>148.19999999999999</v>
      </c>
      <c r="AA452" s="2">
        <v>278.7</v>
      </c>
      <c r="AB452" s="2" t="s">
        <v>83</v>
      </c>
      <c r="AC452" s="2" t="s">
        <v>83</v>
      </c>
      <c r="AD452" s="2">
        <v>229260.671875</v>
      </c>
      <c r="AE452" s="2" t="s">
        <v>83</v>
      </c>
      <c r="AF452" s="2">
        <v>13951.4296875</v>
      </c>
      <c r="AG452" s="2">
        <v>524930.953125</v>
      </c>
      <c r="AH452" s="2" t="s">
        <v>83</v>
      </c>
      <c r="AI452" s="2" t="s">
        <v>83</v>
      </c>
      <c r="AJ452" s="2" t="s">
        <v>83</v>
      </c>
      <c r="AK452" s="2" t="s">
        <v>83</v>
      </c>
      <c r="AL452" s="2">
        <v>12114.7001953125</v>
      </c>
      <c r="AM452" s="2" t="s">
        <v>83</v>
      </c>
      <c r="AN452" s="2" t="s">
        <v>83</v>
      </c>
      <c r="AO452" s="2" t="s">
        <v>83</v>
      </c>
      <c r="AP452" s="2" t="s">
        <v>83</v>
      </c>
      <c r="AQ452" s="2" t="s">
        <v>83</v>
      </c>
      <c r="AR452" s="2">
        <v>19413.1484375</v>
      </c>
      <c r="AS452" s="2" t="s">
        <v>83</v>
      </c>
      <c r="AT452" s="2" t="s">
        <v>83</v>
      </c>
      <c r="AU452" s="2" t="s">
        <v>83</v>
      </c>
      <c r="AV452" s="2" t="s">
        <v>83</v>
      </c>
      <c r="AW452" s="2" t="s">
        <v>83</v>
      </c>
      <c r="AX452" s="2" t="s">
        <v>83</v>
      </c>
      <c r="AY452" s="2" t="s">
        <v>83</v>
      </c>
      <c r="AZ452" s="2" t="s">
        <v>83</v>
      </c>
      <c r="BA452" s="2" t="s">
        <v>83</v>
      </c>
      <c r="BB452" s="2" t="s">
        <v>83</v>
      </c>
      <c r="BC452" s="2" t="s">
        <v>79</v>
      </c>
      <c r="BD452" s="2" t="s">
        <v>98</v>
      </c>
      <c r="BE452" s="2" t="s">
        <v>79</v>
      </c>
      <c r="BF452" s="2" t="s">
        <v>79</v>
      </c>
      <c r="BG452" s="2" t="s">
        <v>98</v>
      </c>
      <c r="BH452" s="2" t="s">
        <v>98</v>
      </c>
      <c r="BI452" s="2" t="s">
        <v>98</v>
      </c>
      <c r="BJ452" s="2" t="s">
        <v>98</v>
      </c>
      <c r="BK452" s="2" t="s">
        <v>91</v>
      </c>
      <c r="BL452" s="2" t="s">
        <v>98</v>
      </c>
      <c r="BM452" s="2" t="s">
        <v>98</v>
      </c>
      <c r="BN452" s="2" t="s">
        <v>98</v>
      </c>
      <c r="BO452" s="2" t="s">
        <v>98</v>
      </c>
      <c r="BP452" s="2" t="s">
        <v>98</v>
      </c>
      <c r="BQ452" s="2" t="s">
        <v>91</v>
      </c>
      <c r="BR452" s="2" t="s">
        <v>98</v>
      </c>
      <c r="BS452" s="2" t="s">
        <v>98</v>
      </c>
      <c r="BT452" s="2" t="s">
        <v>98</v>
      </c>
      <c r="BU452" s="2" t="s">
        <v>98</v>
      </c>
      <c r="BV452" s="2" t="s">
        <v>98</v>
      </c>
      <c r="BW452" s="2" t="s">
        <v>98</v>
      </c>
      <c r="BX452" s="2" t="s">
        <v>98</v>
      </c>
      <c r="BY452" s="2" t="s">
        <v>98</v>
      </c>
      <c r="BZ452" s="2" t="s">
        <v>98</v>
      </c>
      <c r="CA452" s="2" t="s">
        <v>98</v>
      </c>
      <c r="CB452" t="e">
        <f>TTEST(AS452:AW452,AI452:AM452,2,2)</f>
        <v>#DIV/0!</v>
      </c>
      <c r="CC452" t="e">
        <f>TTEST(AD452:AH452,AI452:AM452,2,2)</f>
        <v>#DIV/0!</v>
      </c>
      <c r="CD452" t="e">
        <f>TTEST(AN452:AR452,AI452:AM452,2,2)</f>
        <v>#DIV/0!</v>
      </c>
      <c r="CE452" t="e">
        <f>TTEST(AX452:BB452,AI452:AM452,2,2)</f>
        <v>#DIV/0!</v>
      </c>
      <c r="CF452">
        <v>448</v>
      </c>
      <c r="CG452">
        <v>449</v>
      </c>
      <c r="CH452">
        <v>451</v>
      </c>
      <c r="CI452">
        <v>451</v>
      </c>
      <c r="CJ452">
        <f>0.05*CF452/464</f>
        <v>4.8275862068965524E-2</v>
      </c>
      <c r="CK452">
        <f>0.05*CG452/464</f>
        <v>4.8383620689655175E-2</v>
      </c>
      <c r="CL452">
        <f>0.05*CH452/464</f>
        <v>4.8599137931034486E-2</v>
      </c>
      <c r="CM452">
        <f>0.05*CI452/464</f>
        <v>4.8599137931034486E-2</v>
      </c>
      <c r="CN452" t="e">
        <f>IF(CB452&lt;CJ452,"yes","no")</f>
        <v>#DIV/0!</v>
      </c>
      <c r="CO452" t="e">
        <f>IF(CC452&lt;CK452,"yes","no")</f>
        <v>#DIV/0!</v>
      </c>
      <c r="CP452" t="e">
        <f>IF(CD452&lt;CL452,"yes","no")</f>
        <v>#DIV/0!</v>
      </c>
      <c r="CQ452" t="e">
        <f>IF(CE452&lt;CM452,"yes","no")</f>
        <v>#DIV/0!</v>
      </c>
      <c r="CR452" t="e">
        <f>TTEST(AS452:AW452,AD452:AH452,2,2)</f>
        <v>#DIV/0!</v>
      </c>
      <c r="CS452" t="e">
        <f>TTEST(AS452:AW452,AN452:AR452,2,2)</f>
        <v>#DIV/0!</v>
      </c>
      <c r="CT452" t="e">
        <f>TTEST(AS452:AW452,AX452:BB452,2,2)</f>
        <v>#DIV/0!</v>
      </c>
      <c r="CU452">
        <v>451</v>
      </c>
      <c r="CV452">
        <v>451</v>
      </c>
      <c r="CW452">
        <v>451</v>
      </c>
      <c r="CX452">
        <f t="shared" si="21"/>
        <v>4.8599137931034486E-2</v>
      </c>
      <c r="CY452">
        <f t="shared" si="22"/>
        <v>4.8599137931034486E-2</v>
      </c>
      <c r="CZ452">
        <f t="shared" si="23"/>
        <v>4.8599137931034486E-2</v>
      </c>
      <c r="DA452" t="e">
        <f>IF(CR452&lt;CX452,"yes","no")</f>
        <v>#DIV/0!</v>
      </c>
      <c r="DB452" t="e">
        <f>IF(CS452&lt;CY452,"yes","no")</f>
        <v>#DIV/0!</v>
      </c>
      <c r="DC452" t="e">
        <f>IF(CT452&lt;CZ452,"yes","no")</f>
        <v>#DIV/0!</v>
      </c>
    </row>
    <row r="453" spans="1:107" x14ac:dyDescent="0.2">
      <c r="A453" s="2" t="b">
        <v>0</v>
      </c>
      <c r="B453" s="2" t="s">
        <v>79</v>
      </c>
      <c r="C453" s="2" t="s">
        <v>80</v>
      </c>
      <c r="D453" s="2" t="s">
        <v>1191</v>
      </c>
      <c r="E453" s="2" t="s">
        <v>1192</v>
      </c>
      <c r="F453" s="2">
        <v>2</v>
      </c>
      <c r="G453" s="2">
        <v>2</v>
      </c>
      <c r="H453" s="2">
        <v>62.8</v>
      </c>
      <c r="I453" s="2">
        <v>7.77</v>
      </c>
      <c r="J453" s="2" t="s">
        <v>1193</v>
      </c>
      <c r="K453" s="2" t="s">
        <v>1194</v>
      </c>
      <c r="L453" s="2" t="s">
        <v>218</v>
      </c>
      <c r="M453" s="2" t="s">
        <v>1195</v>
      </c>
      <c r="N453" s="2" t="s">
        <v>1196</v>
      </c>
      <c r="O453" s="2">
        <v>0.01</v>
      </c>
      <c r="P453" s="2">
        <v>0.01</v>
      </c>
      <c r="Q453" s="2">
        <v>0.01</v>
      </c>
      <c r="R453" s="2">
        <v>0.06</v>
      </c>
      <c r="S453" s="2">
        <v>0.01</v>
      </c>
      <c r="T453" s="2">
        <v>0.01</v>
      </c>
      <c r="U453" s="2">
        <v>0.01</v>
      </c>
      <c r="V453" s="2" t="s">
        <v>83</v>
      </c>
      <c r="W453" s="2" t="s">
        <v>83</v>
      </c>
      <c r="X453" s="2" t="s">
        <v>83</v>
      </c>
      <c r="Y453" s="2">
        <v>28.4</v>
      </c>
      <c r="Z453" s="2">
        <v>471.6</v>
      </c>
      <c r="AA453" s="2" t="s">
        <v>83</v>
      </c>
      <c r="AB453" s="2" t="s">
        <v>83</v>
      </c>
      <c r="AC453" s="2" t="s">
        <v>83</v>
      </c>
      <c r="AD453" s="2">
        <v>30683.1953125</v>
      </c>
      <c r="AE453" s="2" t="s">
        <v>83</v>
      </c>
      <c r="AF453" s="2">
        <v>23019.306640625</v>
      </c>
      <c r="AG453" s="2">
        <v>136344.578125</v>
      </c>
      <c r="AH453" s="2" t="s">
        <v>83</v>
      </c>
      <c r="AI453" s="2" t="s">
        <v>83</v>
      </c>
      <c r="AJ453" s="2" t="s">
        <v>83</v>
      </c>
      <c r="AK453" s="2" t="s">
        <v>83</v>
      </c>
      <c r="AL453" s="2">
        <v>13292.34375</v>
      </c>
      <c r="AM453" s="2" t="s">
        <v>83</v>
      </c>
      <c r="AN453" s="2" t="s">
        <v>83</v>
      </c>
      <c r="AO453" s="2" t="s">
        <v>83</v>
      </c>
      <c r="AP453" s="2" t="s">
        <v>83</v>
      </c>
      <c r="AQ453" s="2" t="s">
        <v>83</v>
      </c>
      <c r="AR453" s="2" t="s">
        <v>83</v>
      </c>
      <c r="AS453" s="2" t="s">
        <v>83</v>
      </c>
      <c r="AT453" s="2" t="s">
        <v>83</v>
      </c>
      <c r="AU453" s="2" t="s">
        <v>83</v>
      </c>
      <c r="AV453" s="2" t="s">
        <v>83</v>
      </c>
      <c r="AW453" s="2" t="s">
        <v>83</v>
      </c>
      <c r="AX453" s="2" t="s">
        <v>83</v>
      </c>
      <c r="AY453" s="2" t="s">
        <v>83</v>
      </c>
      <c r="AZ453" s="2" t="s">
        <v>83</v>
      </c>
      <c r="BA453" s="2" t="s">
        <v>83</v>
      </c>
      <c r="BB453" s="2" t="s">
        <v>83</v>
      </c>
      <c r="BC453" s="2" t="s">
        <v>91</v>
      </c>
      <c r="BD453" s="2" t="s">
        <v>98</v>
      </c>
      <c r="BE453" s="2" t="s">
        <v>91</v>
      </c>
      <c r="BF453" s="2" t="s">
        <v>79</v>
      </c>
      <c r="BG453" s="2" t="s">
        <v>98</v>
      </c>
      <c r="BH453" s="2" t="s">
        <v>98</v>
      </c>
      <c r="BI453" s="2" t="s">
        <v>98</v>
      </c>
      <c r="BJ453" s="2" t="s">
        <v>98</v>
      </c>
      <c r="BK453" s="2" t="s">
        <v>91</v>
      </c>
      <c r="BL453" s="2" t="s">
        <v>98</v>
      </c>
      <c r="BM453" s="2" t="s">
        <v>98</v>
      </c>
      <c r="BN453" s="2" t="s">
        <v>98</v>
      </c>
      <c r="BO453" s="2" t="s">
        <v>98</v>
      </c>
      <c r="BP453" s="2" t="s">
        <v>98</v>
      </c>
      <c r="BQ453" s="2" t="s">
        <v>98</v>
      </c>
      <c r="BR453" s="2" t="s">
        <v>98</v>
      </c>
      <c r="BS453" s="2" t="s">
        <v>98</v>
      </c>
      <c r="BT453" s="2" t="s">
        <v>98</v>
      </c>
      <c r="BU453" s="2" t="s">
        <v>98</v>
      </c>
      <c r="BV453" s="2" t="s">
        <v>98</v>
      </c>
      <c r="BW453" s="2" t="s">
        <v>98</v>
      </c>
      <c r="BX453" s="2" t="s">
        <v>98</v>
      </c>
      <c r="BY453" s="2" t="s">
        <v>98</v>
      </c>
      <c r="BZ453" s="2" t="s">
        <v>98</v>
      </c>
      <c r="CA453" s="2" t="s">
        <v>98</v>
      </c>
      <c r="CB453" t="e">
        <f>TTEST(AS453:AW453,AI453:AM453,2,2)</f>
        <v>#DIV/0!</v>
      </c>
      <c r="CC453" t="e">
        <f>TTEST(AD453:AH453,AI453:AM453,2,2)</f>
        <v>#DIV/0!</v>
      </c>
      <c r="CD453" t="e">
        <f>TTEST(AN453:AR453,AI453:AM453,2,2)</f>
        <v>#DIV/0!</v>
      </c>
      <c r="CE453" t="e">
        <f>TTEST(AX453:BB453,AI453:AM453,2,2)</f>
        <v>#DIV/0!</v>
      </c>
      <c r="CF453">
        <v>449</v>
      </c>
      <c r="CG453">
        <v>450</v>
      </c>
      <c r="CH453">
        <v>452</v>
      </c>
      <c r="CI453">
        <v>452</v>
      </c>
      <c r="CJ453">
        <f>0.05*CF453/464</f>
        <v>4.8383620689655175E-2</v>
      </c>
      <c r="CK453">
        <f>0.05*CG453/464</f>
        <v>4.8491379310344827E-2</v>
      </c>
      <c r="CL453">
        <f>0.05*CH453/464</f>
        <v>4.8706896551724138E-2</v>
      </c>
      <c r="CM453">
        <f>0.05*CI453/464</f>
        <v>4.8706896551724138E-2</v>
      </c>
      <c r="CN453" t="e">
        <f>IF(CB453&lt;CJ453,"yes","no")</f>
        <v>#DIV/0!</v>
      </c>
      <c r="CO453" t="e">
        <f>IF(CC453&lt;CK453,"yes","no")</f>
        <v>#DIV/0!</v>
      </c>
      <c r="CP453" t="e">
        <f>IF(CD453&lt;CL453,"yes","no")</f>
        <v>#DIV/0!</v>
      </c>
      <c r="CQ453" t="e">
        <f>IF(CE453&lt;CM453,"yes","no")</f>
        <v>#DIV/0!</v>
      </c>
      <c r="CR453" t="e">
        <f>TTEST(AS453:AW453,AD453:AH453,2,2)</f>
        <v>#DIV/0!</v>
      </c>
      <c r="CS453" t="e">
        <f>TTEST(AS453:AW453,AN453:AR453,2,2)</f>
        <v>#DIV/0!</v>
      </c>
      <c r="CT453" t="e">
        <f>TTEST(AS453:AW453,AX453:BB453,2,2)</f>
        <v>#DIV/0!</v>
      </c>
      <c r="CU453">
        <v>452</v>
      </c>
      <c r="CV453">
        <v>452</v>
      </c>
      <c r="CW453">
        <v>452</v>
      </c>
      <c r="CX453">
        <f t="shared" si="21"/>
        <v>4.8706896551724138E-2</v>
      </c>
      <c r="CY453">
        <f t="shared" si="22"/>
        <v>4.8706896551724138E-2</v>
      </c>
      <c r="CZ453">
        <f t="shared" si="23"/>
        <v>4.8706896551724138E-2</v>
      </c>
      <c r="DA453" t="e">
        <f>IF(CR453&lt;CX453,"yes","no")</f>
        <v>#DIV/0!</v>
      </c>
      <c r="DB453" t="e">
        <f>IF(CS453&lt;CY453,"yes","no")</f>
        <v>#DIV/0!</v>
      </c>
      <c r="DC453" t="e">
        <f>IF(CT453&lt;CZ453,"yes","no")</f>
        <v>#DIV/0!</v>
      </c>
    </row>
    <row r="454" spans="1:107" x14ac:dyDescent="0.2">
      <c r="A454" s="2" t="b">
        <v>0</v>
      </c>
      <c r="B454" s="2" t="s">
        <v>79</v>
      </c>
      <c r="C454" s="2" t="s">
        <v>80</v>
      </c>
      <c r="D454" s="2" t="s">
        <v>1218</v>
      </c>
      <c r="E454" s="2" t="s">
        <v>1219</v>
      </c>
      <c r="F454" s="2">
        <v>2</v>
      </c>
      <c r="G454" s="2">
        <v>2</v>
      </c>
      <c r="H454" s="2">
        <v>51.6</v>
      </c>
      <c r="I454" s="2">
        <v>7.52</v>
      </c>
      <c r="J454" s="2" t="s">
        <v>1220</v>
      </c>
      <c r="K454" s="2" t="s">
        <v>136</v>
      </c>
      <c r="L454" s="2" t="s">
        <v>315</v>
      </c>
      <c r="M454" s="2" t="s">
        <v>83</v>
      </c>
      <c r="N454" s="2" t="s">
        <v>1221</v>
      </c>
      <c r="O454" s="2">
        <v>30.015999999999998</v>
      </c>
      <c r="P454" s="2">
        <v>0.01</v>
      </c>
      <c r="Q454" s="2">
        <v>0.01</v>
      </c>
      <c r="R454" s="2">
        <v>7.0000000000000007E-2</v>
      </c>
      <c r="S454" s="2">
        <v>2.1080000000000001</v>
      </c>
      <c r="T454" s="2">
        <v>0.01</v>
      </c>
      <c r="U454" s="2">
        <v>0.01</v>
      </c>
      <c r="V454" s="2">
        <v>0.01</v>
      </c>
      <c r="W454" s="2">
        <v>0.01</v>
      </c>
      <c r="X454" s="2" t="s">
        <v>83</v>
      </c>
      <c r="Y454" s="2">
        <v>11</v>
      </c>
      <c r="Z454" s="2">
        <v>157.30000000000001</v>
      </c>
      <c r="AA454" s="2">
        <v>331.7</v>
      </c>
      <c r="AB454" s="2" t="s">
        <v>83</v>
      </c>
      <c r="AC454" s="2" t="s">
        <v>83</v>
      </c>
      <c r="AD454" s="2" t="s">
        <v>83</v>
      </c>
      <c r="AE454" s="2" t="s">
        <v>83</v>
      </c>
      <c r="AF454" s="2" t="s">
        <v>83</v>
      </c>
      <c r="AG454" s="2" t="s">
        <v>83</v>
      </c>
      <c r="AH454" s="2">
        <v>52145.86328125</v>
      </c>
      <c r="AI454" s="2" t="s">
        <v>83</v>
      </c>
      <c r="AJ454" s="2" t="s">
        <v>83</v>
      </c>
      <c r="AK454" s="2" t="s">
        <v>83</v>
      </c>
      <c r="AL454" s="2">
        <v>23168.65234375</v>
      </c>
      <c r="AM454" s="2" t="s">
        <v>83</v>
      </c>
      <c r="AN454" s="2">
        <v>24948.037109375</v>
      </c>
      <c r="AO454" s="2">
        <v>24843.875</v>
      </c>
      <c r="AP454" s="2">
        <v>61798.40234375</v>
      </c>
      <c r="AQ454" s="2">
        <v>25158.3359375</v>
      </c>
      <c r="AR454" s="2">
        <v>42871.65234375</v>
      </c>
      <c r="AS454" s="2" t="s">
        <v>83</v>
      </c>
      <c r="AT454" s="2" t="s">
        <v>83</v>
      </c>
      <c r="AU454" s="2" t="s">
        <v>83</v>
      </c>
      <c r="AV454" s="2" t="s">
        <v>83</v>
      </c>
      <c r="AW454" s="2" t="s">
        <v>83</v>
      </c>
      <c r="AX454" s="2" t="s">
        <v>83</v>
      </c>
      <c r="AY454" s="2" t="s">
        <v>83</v>
      </c>
      <c r="AZ454" s="2" t="s">
        <v>83</v>
      </c>
      <c r="BA454" s="2" t="s">
        <v>83</v>
      </c>
      <c r="BB454" s="2" t="s">
        <v>83</v>
      </c>
      <c r="BC454" s="2" t="s">
        <v>79</v>
      </c>
      <c r="BD454" s="2" t="s">
        <v>79</v>
      </c>
      <c r="BE454" s="2" t="s">
        <v>79</v>
      </c>
      <c r="BF454" s="2" t="s">
        <v>98</v>
      </c>
      <c r="BG454" s="2" t="s">
        <v>79</v>
      </c>
      <c r="BH454" s="2" t="s">
        <v>98</v>
      </c>
      <c r="BI454" s="2" t="s">
        <v>98</v>
      </c>
      <c r="BJ454" s="2" t="s">
        <v>98</v>
      </c>
      <c r="BK454" s="2" t="s">
        <v>91</v>
      </c>
      <c r="BL454" s="2" t="s">
        <v>98</v>
      </c>
      <c r="BM454" s="2" t="s">
        <v>91</v>
      </c>
      <c r="BN454" s="2" t="s">
        <v>91</v>
      </c>
      <c r="BO454" s="2" t="s">
        <v>91</v>
      </c>
      <c r="BP454" s="2" t="s">
        <v>91</v>
      </c>
      <c r="BQ454" s="2" t="s">
        <v>91</v>
      </c>
      <c r="BR454" s="2" t="s">
        <v>98</v>
      </c>
      <c r="BS454" s="2" t="s">
        <v>98</v>
      </c>
      <c r="BT454" s="2" t="s">
        <v>98</v>
      </c>
      <c r="BU454" s="2" t="s">
        <v>98</v>
      </c>
      <c r="BV454" s="2" t="s">
        <v>98</v>
      </c>
      <c r="BW454" s="2" t="s">
        <v>98</v>
      </c>
      <c r="BX454" s="2" t="s">
        <v>98</v>
      </c>
      <c r="BY454" s="2" t="s">
        <v>98</v>
      </c>
      <c r="BZ454" s="2" t="s">
        <v>98</v>
      </c>
      <c r="CA454" s="2" t="s">
        <v>98</v>
      </c>
      <c r="CB454" t="e">
        <f>TTEST(AS454:AW454,AI454:AM454,2,2)</f>
        <v>#DIV/0!</v>
      </c>
      <c r="CC454" t="e">
        <f>TTEST(AD454:AH454,AI454:AM454,2,2)</f>
        <v>#DIV/0!</v>
      </c>
      <c r="CD454" t="e">
        <f>TTEST(AN454:AR454,AI454:AM454,2,2)</f>
        <v>#DIV/0!</v>
      </c>
      <c r="CE454" t="e">
        <f>TTEST(AX454:BB454,AI454:AM454,2,2)</f>
        <v>#DIV/0!</v>
      </c>
      <c r="CF454">
        <v>450</v>
      </c>
      <c r="CG454">
        <v>451</v>
      </c>
      <c r="CH454">
        <v>453</v>
      </c>
      <c r="CI454">
        <v>453</v>
      </c>
      <c r="CJ454">
        <f>0.05*CF454/464</f>
        <v>4.8491379310344827E-2</v>
      </c>
      <c r="CK454">
        <f>0.05*CG454/464</f>
        <v>4.8599137931034486E-2</v>
      </c>
      <c r="CL454">
        <f>0.05*CH454/464</f>
        <v>4.8814655172413797E-2</v>
      </c>
      <c r="CM454">
        <f>0.05*CI454/464</f>
        <v>4.8814655172413797E-2</v>
      </c>
      <c r="CN454" t="e">
        <f>IF(CB454&lt;CJ454,"yes","no")</f>
        <v>#DIV/0!</v>
      </c>
      <c r="CO454" t="e">
        <f>IF(CC454&lt;CK454,"yes","no")</f>
        <v>#DIV/0!</v>
      </c>
      <c r="CP454" t="e">
        <f>IF(CD454&lt;CL454,"yes","no")</f>
        <v>#DIV/0!</v>
      </c>
      <c r="CQ454" t="e">
        <f>IF(CE454&lt;CM454,"yes","no")</f>
        <v>#DIV/0!</v>
      </c>
      <c r="CR454" t="e">
        <f>TTEST(AS454:AW454,AD454:AH454,2,2)</f>
        <v>#DIV/0!</v>
      </c>
      <c r="CS454" t="e">
        <f>TTEST(AS454:AW454,AN454:AR454,2,2)</f>
        <v>#DIV/0!</v>
      </c>
      <c r="CT454" t="e">
        <f>TTEST(AS454:AW454,AX454:BB454,2,2)</f>
        <v>#DIV/0!</v>
      </c>
      <c r="CU454">
        <v>453</v>
      </c>
      <c r="CV454">
        <v>453</v>
      </c>
      <c r="CW454">
        <v>453</v>
      </c>
      <c r="CX454">
        <f t="shared" si="21"/>
        <v>4.8814655172413797E-2</v>
      </c>
      <c r="CY454">
        <f t="shared" si="22"/>
        <v>4.8814655172413797E-2</v>
      </c>
      <c r="CZ454">
        <f t="shared" si="23"/>
        <v>4.8814655172413797E-2</v>
      </c>
      <c r="DA454" t="e">
        <f>IF(CR454&lt;CX454,"yes","no")</f>
        <v>#DIV/0!</v>
      </c>
      <c r="DB454" t="e">
        <f>IF(CS454&lt;CY454,"yes","no")</f>
        <v>#DIV/0!</v>
      </c>
      <c r="DC454" t="e">
        <f>IF(CT454&lt;CZ454,"yes","no")</f>
        <v>#DIV/0!</v>
      </c>
    </row>
    <row r="455" spans="1:107" x14ac:dyDescent="0.2">
      <c r="A455" s="2" t="b">
        <v>0</v>
      </c>
      <c r="B455" s="2" t="s">
        <v>79</v>
      </c>
      <c r="C455" s="2" t="s">
        <v>80</v>
      </c>
      <c r="D455" s="2" t="s">
        <v>1294</v>
      </c>
      <c r="E455" s="2" t="s">
        <v>1295</v>
      </c>
      <c r="F455" s="2">
        <v>1</v>
      </c>
      <c r="G455" s="2">
        <v>1</v>
      </c>
      <c r="H455" s="2">
        <v>23</v>
      </c>
      <c r="I455" s="2">
        <v>8.07</v>
      </c>
      <c r="J455" s="2" t="s">
        <v>1220</v>
      </c>
      <c r="K455" s="2" t="s">
        <v>1296</v>
      </c>
      <c r="L455" s="2" t="s">
        <v>315</v>
      </c>
      <c r="M455" s="2" t="s">
        <v>1297</v>
      </c>
      <c r="N455" s="2" t="s">
        <v>1294</v>
      </c>
      <c r="O455" s="2">
        <v>4.5140000000000002</v>
      </c>
      <c r="P455" s="2">
        <v>0.01</v>
      </c>
      <c r="Q455" s="2">
        <v>0.01</v>
      </c>
      <c r="R455" s="2">
        <v>0.23100000000000001</v>
      </c>
      <c r="S455" s="2">
        <v>1.044</v>
      </c>
      <c r="T455" s="2">
        <v>0.01</v>
      </c>
      <c r="U455" s="2">
        <v>0.01</v>
      </c>
      <c r="V455" s="2">
        <v>0.01</v>
      </c>
      <c r="W455" s="2">
        <v>0.01</v>
      </c>
      <c r="X455" s="2" t="s">
        <v>83</v>
      </c>
      <c r="Y455" s="2">
        <v>50.8</v>
      </c>
      <c r="Z455" s="2">
        <v>219.8</v>
      </c>
      <c r="AA455" s="2">
        <v>229.4</v>
      </c>
      <c r="AB455" s="2" t="s">
        <v>83</v>
      </c>
      <c r="AC455" s="2" t="s">
        <v>83</v>
      </c>
      <c r="AD455" s="2" t="s">
        <v>83</v>
      </c>
      <c r="AE455" s="2" t="s">
        <v>83</v>
      </c>
      <c r="AF455" s="2" t="s">
        <v>83</v>
      </c>
      <c r="AG455" s="2">
        <v>359339.15625</v>
      </c>
      <c r="AH455" s="2" t="s">
        <v>83</v>
      </c>
      <c r="AI455" s="2" t="s">
        <v>83</v>
      </c>
      <c r="AJ455" s="2" t="s">
        <v>83</v>
      </c>
      <c r="AK455" s="2" t="s">
        <v>83</v>
      </c>
      <c r="AL455" s="2">
        <v>40322.7578125</v>
      </c>
      <c r="AM455" s="2" t="s">
        <v>83</v>
      </c>
      <c r="AN455" s="2">
        <v>22391.47265625</v>
      </c>
      <c r="AO455" s="2">
        <v>31541.1416015625</v>
      </c>
      <c r="AP455" s="2">
        <v>28240.1015625</v>
      </c>
      <c r="AQ455" s="2">
        <v>19303.48046875</v>
      </c>
      <c r="AR455" s="2">
        <v>66659.005859375</v>
      </c>
      <c r="AS455" s="2" t="s">
        <v>83</v>
      </c>
      <c r="AT455" s="2" t="s">
        <v>83</v>
      </c>
      <c r="AU455" s="2" t="s">
        <v>83</v>
      </c>
      <c r="AV455" s="2" t="s">
        <v>83</v>
      </c>
      <c r="AW455" s="2" t="s">
        <v>83</v>
      </c>
      <c r="AX455" s="2" t="s">
        <v>83</v>
      </c>
      <c r="AY455" s="2" t="s">
        <v>83</v>
      </c>
      <c r="AZ455" s="2" t="s">
        <v>83</v>
      </c>
      <c r="BA455" s="2" t="s">
        <v>83</v>
      </c>
      <c r="BB455" s="2" t="s">
        <v>83</v>
      </c>
      <c r="BC455" s="2" t="s">
        <v>98</v>
      </c>
      <c r="BD455" s="2" t="s">
        <v>98</v>
      </c>
      <c r="BE455" s="2" t="s">
        <v>98</v>
      </c>
      <c r="BF455" s="2" t="s">
        <v>79</v>
      </c>
      <c r="BG455" s="2" t="s">
        <v>98</v>
      </c>
      <c r="BH455" s="2" t="s">
        <v>98</v>
      </c>
      <c r="BI455" s="2" t="s">
        <v>98</v>
      </c>
      <c r="BJ455" s="2" t="s">
        <v>98</v>
      </c>
      <c r="BK455" s="2" t="s">
        <v>79</v>
      </c>
      <c r="BL455" s="2" t="s">
        <v>98</v>
      </c>
      <c r="BM455" s="2" t="s">
        <v>91</v>
      </c>
      <c r="BN455" s="2" t="s">
        <v>91</v>
      </c>
      <c r="BO455" s="2" t="s">
        <v>79</v>
      </c>
      <c r="BP455" s="2" t="s">
        <v>91</v>
      </c>
      <c r="BQ455" s="2" t="s">
        <v>91</v>
      </c>
      <c r="BR455" s="2" t="s">
        <v>98</v>
      </c>
      <c r="BS455" s="2" t="s">
        <v>98</v>
      </c>
      <c r="BT455" s="2" t="s">
        <v>98</v>
      </c>
      <c r="BU455" s="2" t="s">
        <v>98</v>
      </c>
      <c r="BV455" s="2" t="s">
        <v>98</v>
      </c>
      <c r="BW455" s="2" t="s">
        <v>98</v>
      </c>
      <c r="BX455" s="2" t="s">
        <v>98</v>
      </c>
      <c r="BY455" s="2" t="s">
        <v>98</v>
      </c>
      <c r="BZ455" s="2" t="s">
        <v>98</v>
      </c>
      <c r="CA455" s="2" t="s">
        <v>98</v>
      </c>
      <c r="CB455" t="e">
        <f>TTEST(AS455:AW455,AI455:AM455,2,2)</f>
        <v>#DIV/0!</v>
      </c>
      <c r="CC455" t="e">
        <f>TTEST(AD455:AH455,AI455:AM455,2,2)</f>
        <v>#DIV/0!</v>
      </c>
      <c r="CD455" t="e">
        <f>TTEST(AN455:AR455,AI455:AM455,2,2)</f>
        <v>#DIV/0!</v>
      </c>
      <c r="CE455" t="e">
        <f>TTEST(AX455:BB455,AI455:AM455,2,2)</f>
        <v>#DIV/0!</v>
      </c>
      <c r="CF455">
        <v>451</v>
      </c>
      <c r="CG455">
        <v>452</v>
      </c>
      <c r="CH455">
        <v>454</v>
      </c>
      <c r="CI455">
        <v>454</v>
      </c>
      <c r="CJ455">
        <f>0.05*CF455/464</f>
        <v>4.8599137931034486E-2</v>
      </c>
      <c r="CK455">
        <f>0.05*CG455/464</f>
        <v>4.8706896551724138E-2</v>
      </c>
      <c r="CL455">
        <f>0.05*CH455/464</f>
        <v>4.8922413793103456E-2</v>
      </c>
      <c r="CM455">
        <f>0.05*CI455/464</f>
        <v>4.8922413793103456E-2</v>
      </c>
      <c r="CN455" t="e">
        <f>IF(CB455&lt;CJ455,"yes","no")</f>
        <v>#DIV/0!</v>
      </c>
      <c r="CO455" t="e">
        <f>IF(CC455&lt;CK455,"yes","no")</f>
        <v>#DIV/0!</v>
      </c>
      <c r="CP455" t="e">
        <f>IF(CD455&lt;CL455,"yes","no")</f>
        <v>#DIV/0!</v>
      </c>
      <c r="CQ455" t="e">
        <f>IF(CE455&lt;CM455,"yes","no")</f>
        <v>#DIV/0!</v>
      </c>
      <c r="CR455" t="e">
        <f>TTEST(AS455:AW455,AD455:AH455,2,2)</f>
        <v>#DIV/0!</v>
      </c>
      <c r="CS455" t="e">
        <f>TTEST(AS455:AW455,AN455:AR455,2,2)</f>
        <v>#DIV/0!</v>
      </c>
      <c r="CT455" t="e">
        <f>TTEST(AS455:AW455,AX455:BB455,2,2)</f>
        <v>#DIV/0!</v>
      </c>
      <c r="CU455">
        <v>454</v>
      </c>
      <c r="CV455">
        <v>454</v>
      </c>
      <c r="CW455">
        <v>454</v>
      </c>
      <c r="CX455">
        <f t="shared" si="21"/>
        <v>4.8922413793103456E-2</v>
      </c>
      <c r="CY455">
        <f t="shared" si="22"/>
        <v>4.8922413793103456E-2</v>
      </c>
      <c r="CZ455">
        <f t="shared" si="23"/>
        <v>4.8922413793103456E-2</v>
      </c>
      <c r="DA455" t="e">
        <f>IF(CR455&lt;CX455,"yes","no")</f>
        <v>#DIV/0!</v>
      </c>
      <c r="DB455" t="e">
        <f>IF(CS455&lt;CY455,"yes","no")</f>
        <v>#DIV/0!</v>
      </c>
      <c r="DC455" t="e">
        <f>IF(CT455&lt;CZ455,"yes","no")</f>
        <v>#DIV/0!</v>
      </c>
    </row>
    <row r="456" spans="1:107" x14ac:dyDescent="0.2">
      <c r="A456" s="2" t="b">
        <v>0</v>
      </c>
      <c r="B456" s="2" t="s">
        <v>79</v>
      </c>
      <c r="C456" s="2" t="s">
        <v>80</v>
      </c>
      <c r="D456" s="2" t="s">
        <v>1347</v>
      </c>
      <c r="E456" s="2" t="s">
        <v>1348</v>
      </c>
      <c r="F456" s="2">
        <v>1</v>
      </c>
      <c r="G456" s="2">
        <v>1</v>
      </c>
      <c r="H456" s="2">
        <v>50.5</v>
      </c>
      <c r="I456" s="2">
        <v>7.56</v>
      </c>
      <c r="J456" s="2" t="s">
        <v>135</v>
      </c>
      <c r="K456" s="2" t="s">
        <v>83</v>
      </c>
      <c r="L456" s="2" t="s">
        <v>119</v>
      </c>
      <c r="M456" s="2" t="s">
        <v>1349</v>
      </c>
      <c r="N456" s="2" t="s">
        <v>1347</v>
      </c>
      <c r="O456" s="2">
        <v>0.01</v>
      </c>
      <c r="P456" s="2">
        <v>0.01</v>
      </c>
      <c r="Q456" s="2">
        <v>0.01</v>
      </c>
      <c r="R456" s="2">
        <v>0.60499999999999998</v>
      </c>
      <c r="S456" s="2">
        <v>0.01</v>
      </c>
      <c r="T456" s="2">
        <v>0.01</v>
      </c>
      <c r="U456" s="2">
        <v>0.01</v>
      </c>
      <c r="V456" s="2" t="s">
        <v>83</v>
      </c>
      <c r="W456" s="2" t="s">
        <v>83</v>
      </c>
      <c r="X456" s="2" t="s">
        <v>83</v>
      </c>
      <c r="Y456" s="2">
        <v>188.5</v>
      </c>
      <c r="Z456" s="2">
        <v>311.5</v>
      </c>
      <c r="AA456" s="2" t="s">
        <v>83</v>
      </c>
      <c r="AB456" s="2" t="s">
        <v>83</v>
      </c>
      <c r="AC456" s="2" t="s">
        <v>83</v>
      </c>
      <c r="AD456" s="2">
        <v>93647.875</v>
      </c>
      <c r="AE456" s="2" t="s">
        <v>83</v>
      </c>
      <c r="AF456" s="2">
        <v>65744.7109375</v>
      </c>
      <c r="AG456" s="2">
        <v>310636.1875</v>
      </c>
      <c r="AH456" s="2" t="s">
        <v>83</v>
      </c>
      <c r="AI456" s="2" t="s">
        <v>83</v>
      </c>
      <c r="AJ456" s="2" t="s">
        <v>83</v>
      </c>
      <c r="AK456" s="2" t="s">
        <v>83</v>
      </c>
      <c r="AL456" s="2" t="s">
        <v>83</v>
      </c>
      <c r="AM456" s="2">
        <v>2241.18725585938</v>
      </c>
      <c r="AN456" s="2" t="s">
        <v>83</v>
      </c>
      <c r="AO456" s="2" t="s">
        <v>83</v>
      </c>
      <c r="AP456" s="2" t="s">
        <v>83</v>
      </c>
      <c r="AQ456" s="2" t="s">
        <v>83</v>
      </c>
      <c r="AR456" s="2" t="s">
        <v>83</v>
      </c>
      <c r="AS456" s="2" t="s">
        <v>83</v>
      </c>
      <c r="AT456" s="2" t="s">
        <v>83</v>
      </c>
      <c r="AU456" s="2" t="s">
        <v>83</v>
      </c>
      <c r="AV456" s="2" t="s">
        <v>83</v>
      </c>
      <c r="AW456" s="2" t="s">
        <v>83</v>
      </c>
      <c r="AX456" s="2" t="s">
        <v>83</v>
      </c>
      <c r="AY456" s="2" t="s">
        <v>83</v>
      </c>
      <c r="AZ456" s="2" t="s">
        <v>83</v>
      </c>
      <c r="BA456" s="2" t="s">
        <v>83</v>
      </c>
      <c r="BB456" s="2" t="s">
        <v>83</v>
      </c>
      <c r="BC456" s="2" t="s">
        <v>79</v>
      </c>
      <c r="BD456" s="2" t="s">
        <v>98</v>
      </c>
      <c r="BE456" s="2" t="s">
        <v>79</v>
      </c>
      <c r="BF456" s="2" t="s">
        <v>79</v>
      </c>
      <c r="BG456" s="2" t="s">
        <v>98</v>
      </c>
      <c r="BH456" s="2" t="s">
        <v>98</v>
      </c>
      <c r="BI456" s="2" t="s">
        <v>98</v>
      </c>
      <c r="BJ456" s="2" t="s">
        <v>98</v>
      </c>
      <c r="BK456" s="2" t="s">
        <v>98</v>
      </c>
      <c r="BL456" s="2" t="s">
        <v>91</v>
      </c>
      <c r="BM456" s="2" t="s">
        <v>98</v>
      </c>
      <c r="BN456" s="2" t="s">
        <v>98</v>
      </c>
      <c r="BO456" s="2" t="s">
        <v>98</v>
      </c>
      <c r="BP456" s="2" t="s">
        <v>98</v>
      </c>
      <c r="BQ456" s="2" t="s">
        <v>98</v>
      </c>
      <c r="BR456" s="2" t="s">
        <v>98</v>
      </c>
      <c r="BS456" s="2" t="s">
        <v>98</v>
      </c>
      <c r="BT456" s="2" t="s">
        <v>98</v>
      </c>
      <c r="BU456" s="2" t="s">
        <v>98</v>
      </c>
      <c r="BV456" s="2" t="s">
        <v>98</v>
      </c>
      <c r="BW456" s="2" t="s">
        <v>98</v>
      </c>
      <c r="BX456" s="2" t="s">
        <v>98</v>
      </c>
      <c r="BY456" s="2" t="s">
        <v>98</v>
      </c>
      <c r="BZ456" s="2" t="s">
        <v>98</v>
      </c>
      <c r="CA456" s="2" t="s">
        <v>98</v>
      </c>
      <c r="CB456" t="e">
        <f>TTEST(AS456:AW456,AI456:AM456,2,2)</f>
        <v>#DIV/0!</v>
      </c>
      <c r="CC456" t="e">
        <f>TTEST(AD456:AH456,AI456:AM456,2,2)</f>
        <v>#DIV/0!</v>
      </c>
      <c r="CD456" t="e">
        <f>TTEST(AN456:AR456,AI456:AM456,2,2)</f>
        <v>#DIV/0!</v>
      </c>
      <c r="CE456" t="e">
        <f>TTEST(AX456:BB456,AI456:AM456,2,2)</f>
        <v>#DIV/0!</v>
      </c>
      <c r="CF456">
        <v>452</v>
      </c>
      <c r="CG456">
        <v>453</v>
      </c>
      <c r="CH456">
        <v>455</v>
      </c>
      <c r="CI456">
        <v>455</v>
      </c>
      <c r="CJ456">
        <f>0.05*CF456/464</f>
        <v>4.8706896551724138E-2</v>
      </c>
      <c r="CK456">
        <f>0.05*CG456/464</f>
        <v>4.8814655172413797E-2</v>
      </c>
      <c r="CL456">
        <f>0.05*CH456/464</f>
        <v>4.9030172413793101E-2</v>
      </c>
      <c r="CM456">
        <f>0.05*CI456/464</f>
        <v>4.9030172413793101E-2</v>
      </c>
      <c r="CN456" t="e">
        <f>IF(CB456&lt;CJ456,"yes","no")</f>
        <v>#DIV/0!</v>
      </c>
      <c r="CO456" t="e">
        <f>IF(CC456&lt;CK456,"yes","no")</f>
        <v>#DIV/0!</v>
      </c>
      <c r="CP456" t="e">
        <f>IF(CD456&lt;CL456,"yes","no")</f>
        <v>#DIV/0!</v>
      </c>
      <c r="CQ456" t="e">
        <f>IF(CE456&lt;CM456,"yes","no")</f>
        <v>#DIV/0!</v>
      </c>
      <c r="CR456" t="e">
        <f>TTEST(AS456:AW456,AD456:AH456,2,2)</f>
        <v>#DIV/0!</v>
      </c>
      <c r="CS456" t="e">
        <f>TTEST(AS456:AW456,AN456:AR456,2,2)</f>
        <v>#DIV/0!</v>
      </c>
      <c r="CT456" t="e">
        <f>TTEST(AS456:AW456,AX456:BB456,2,2)</f>
        <v>#DIV/0!</v>
      </c>
      <c r="CU456">
        <v>455</v>
      </c>
      <c r="CV456">
        <v>455</v>
      </c>
      <c r="CW456">
        <v>455</v>
      </c>
      <c r="CX456">
        <f t="shared" si="21"/>
        <v>4.9030172413793101E-2</v>
      </c>
      <c r="CY456">
        <f t="shared" si="22"/>
        <v>4.9030172413793101E-2</v>
      </c>
      <c r="CZ456">
        <f t="shared" si="23"/>
        <v>4.9030172413793101E-2</v>
      </c>
      <c r="DA456" t="e">
        <f>IF(CR456&lt;CX456,"yes","no")</f>
        <v>#DIV/0!</v>
      </c>
      <c r="DB456" t="e">
        <f>IF(CS456&lt;CY456,"yes","no")</f>
        <v>#DIV/0!</v>
      </c>
      <c r="DC456" t="e">
        <f>IF(CT456&lt;CZ456,"yes","no")</f>
        <v>#DIV/0!</v>
      </c>
    </row>
    <row r="457" spans="1:107" x14ac:dyDescent="0.2">
      <c r="A457" s="2" t="b">
        <v>0</v>
      </c>
      <c r="B457" s="2" t="s">
        <v>79</v>
      </c>
      <c r="C457" s="2" t="s">
        <v>80</v>
      </c>
      <c r="D457" s="2" t="s">
        <v>1350</v>
      </c>
      <c r="E457" s="2" t="s">
        <v>1351</v>
      </c>
      <c r="F457" s="2">
        <v>2</v>
      </c>
      <c r="G457" s="2">
        <v>2</v>
      </c>
      <c r="H457" s="2">
        <v>89.3</v>
      </c>
      <c r="I457" s="2">
        <v>5.26</v>
      </c>
      <c r="J457" s="2" t="s">
        <v>1352</v>
      </c>
      <c r="K457" s="2" t="s">
        <v>1353</v>
      </c>
      <c r="L457" s="2" t="s">
        <v>96</v>
      </c>
      <c r="M457" s="2" t="s">
        <v>1354</v>
      </c>
      <c r="N457" s="2" t="s">
        <v>1355</v>
      </c>
      <c r="O457" s="2">
        <v>18.478999999999999</v>
      </c>
      <c r="P457" s="2">
        <v>0.01</v>
      </c>
      <c r="Q457" s="2">
        <v>0.01</v>
      </c>
      <c r="R457" s="2">
        <v>0.2</v>
      </c>
      <c r="S457" s="2">
        <v>3.7010000000000001</v>
      </c>
      <c r="T457" s="2">
        <v>0.01</v>
      </c>
      <c r="U457" s="2">
        <v>0.01</v>
      </c>
      <c r="V457" s="2">
        <v>0.01</v>
      </c>
      <c r="W457" s="2">
        <v>0.01</v>
      </c>
      <c r="X457" s="2" t="s">
        <v>83</v>
      </c>
      <c r="Y457" s="2">
        <v>20.399999999999999</v>
      </c>
      <c r="Z457" s="2">
        <v>102</v>
      </c>
      <c r="AA457" s="2">
        <v>377.6</v>
      </c>
      <c r="AB457" s="2" t="s">
        <v>83</v>
      </c>
      <c r="AC457" s="2" t="s">
        <v>83</v>
      </c>
      <c r="AD457" s="2" t="s">
        <v>83</v>
      </c>
      <c r="AE457" s="2" t="s">
        <v>83</v>
      </c>
      <c r="AF457" s="2" t="s">
        <v>83</v>
      </c>
      <c r="AG457" s="2">
        <v>65391.72265625</v>
      </c>
      <c r="AH457" s="2" t="s">
        <v>83</v>
      </c>
      <c r="AI457" s="2" t="s">
        <v>83</v>
      </c>
      <c r="AJ457" s="2" t="s">
        <v>83</v>
      </c>
      <c r="AK457" s="2" t="s">
        <v>83</v>
      </c>
      <c r="AL457" s="2">
        <v>8470.091796875</v>
      </c>
      <c r="AM457" s="2" t="s">
        <v>83</v>
      </c>
      <c r="AN457" s="2">
        <v>12406.033203125</v>
      </c>
      <c r="AO457" s="2">
        <v>17221.62890625</v>
      </c>
      <c r="AP457" s="2">
        <v>19387.025390625</v>
      </c>
      <c r="AQ457" s="2">
        <v>22950.58984375</v>
      </c>
      <c r="AR457" s="2">
        <v>29201.24609375</v>
      </c>
      <c r="AS457" s="2" t="s">
        <v>83</v>
      </c>
      <c r="AT457" s="2" t="s">
        <v>83</v>
      </c>
      <c r="AU457" s="2" t="s">
        <v>83</v>
      </c>
      <c r="AV457" s="2" t="s">
        <v>83</v>
      </c>
      <c r="AW457" s="2" t="s">
        <v>83</v>
      </c>
      <c r="AX457" s="2" t="s">
        <v>83</v>
      </c>
      <c r="AY457" s="2" t="s">
        <v>83</v>
      </c>
      <c r="AZ457" s="2" t="s">
        <v>83</v>
      </c>
      <c r="BA457" s="2" t="s">
        <v>83</v>
      </c>
      <c r="BB457" s="2" t="s">
        <v>83</v>
      </c>
      <c r="BC457" s="2" t="s">
        <v>79</v>
      </c>
      <c r="BD457" s="2" t="s">
        <v>79</v>
      </c>
      <c r="BE457" s="2" t="s">
        <v>79</v>
      </c>
      <c r="BF457" s="2" t="s">
        <v>91</v>
      </c>
      <c r="BG457" s="2" t="s">
        <v>98</v>
      </c>
      <c r="BH457" s="2" t="s">
        <v>98</v>
      </c>
      <c r="BI457" s="2" t="s">
        <v>98</v>
      </c>
      <c r="BJ457" s="2" t="s">
        <v>98</v>
      </c>
      <c r="BK457" s="2" t="s">
        <v>91</v>
      </c>
      <c r="BL457" s="2" t="s">
        <v>98</v>
      </c>
      <c r="BM457" s="2" t="s">
        <v>91</v>
      </c>
      <c r="BN457" s="2" t="s">
        <v>91</v>
      </c>
      <c r="BO457" s="2" t="s">
        <v>91</v>
      </c>
      <c r="BP457" s="2" t="s">
        <v>91</v>
      </c>
      <c r="BQ457" s="2" t="s">
        <v>79</v>
      </c>
      <c r="BR457" s="2" t="s">
        <v>98</v>
      </c>
      <c r="BS457" s="2" t="s">
        <v>98</v>
      </c>
      <c r="BT457" s="2" t="s">
        <v>98</v>
      </c>
      <c r="BU457" s="2" t="s">
        <v>98</v>
      </c>
      <c r="BV457" s="2" t="s">
        <v>98</v>
      </c>
      <c r="BW457" s="2" t="s">
        <v>98</v>
      </c>
      <c r="BX457" s="2" t="s">
        <v>98</v>
      </c>
      <c r="BY457" s="2" t="s">
        <v>98</v>
      </c>
      <c r="BZ457" s="2" t="s">
        <v>98</v>
      </c>
      <c r="CA457" s="2" t="s">
        <v>98</v>
      </c>
      <c r="CB457" t="e">
        <f>TTEST(AS457:AW457,AI457:AM457,2,2)</f>
        <v>#DIV/0!</v>
      </c>
      <c r="CC457" t="e">
        <f>TTEST(AD457:AH457,AI457:AM457,2,2)</f>
        <v>#DIV/0!</v>
      </c>
      <c r="CD457" t="e">
        <f>TTEST(AN457:AR457,AI457:AM457,2,2)</f>
        <v>#DIV/0!</v>
      </c>
      <c r="CE457" t="e">
        <f>TTEST(AX457:BB457,AI457:AM457,2,2)</f>
        <v>#DIV/0!</v>
      </c>
      <c r="CF457">
        <v>453</v>
      </c>
      <c r="CG457">
        <v>454</v>
      </c>
      <c r="CH457">
        <v>456</v>
      </c>
      <c r="CI457">
        <v>456</v>
      </c>
      <c r="CJ457">
        <f>0.05*CF457/464</f>
        <v>4.8814655172413797E-2</v>
      </c>
      <c r="CK457">
        <f>0.05*CG457/464</f>
        <v>4.8922413793103456E-2</v>
      </c>
      <c r="CL457">
        <f>0.05*CH457/464</f>
        <v>4.913793103448276E-2</v>
      </c>
      <c r="CM457">
        <f>0.05*CI457/464</f>
        <v>4.913793103448276E-2</v>
      </c>
      <c r="CN457" t="e">
        <f>IF(CB457&lt;CJ457,"yes","no")</f>
        <v>#DIV/0!</v>
      </c>
      <c r="CO457" t="e">
        <f>IF(CC457&lt;CK457,"yes","no")</f>
        <v>#DIV/0!</v>
      </c>
      <c r="CP457" t="e">
        <f>IF(CD457&lt;CL457,"yes","no")</f>
        <v>#DIV/0!</v>
      </c>
      <c r="CQ457" t="e">
        <f>IF(CE457&lt;CM457,"yes","no")</f>
        <v>#DIV/0!</v>
      </c>
      <c r="CR457" t="e">
        <f>TTEST(AS457:AW457,AD457:AH457,2,2)</f>
        <v>#DIV/0!</v>
      </c>
      <c r="CS457" t="e">
        <f>TTEST(AS457:AW457,AN457:AR457,2,2)</f>
        <v>#DIV/0!</v>
      </c>
      <c r="CT457" t="e">
        <f>TTEST(AS457:AW457,AX457:BB457,2,2)</f>
        <v>#DIV/0!</v>
      </c>
      <c r="CU457">
        <v>456</v>
      </c>
      <c r="CV457">
        <v>456</v>
      </c>
      <c r="CW457">
        <v>456</v>
      </c>
      <c r="CX457">
        <f t="shared" si="21"/>
        <v>4.913793103448276E-2</v>
      </c>
      <c r="CY457">
        <f t="shared" si="22"/>
        <v>4.913793103448276E-2</v>
      </c>
      <c r="CZ457">
        <f t="shared" si="23"/>
        <v>4.913793103448276E-2</v>
      </c>
      <c r="DA457" t="e">
        <f>IF(CR457&lt;CX457,"yes","no")</f>
        <v>#DIV/0!</v>
      </c>
      <c r="DB457" t="e">
        <f>IF(CS457&lt;CY457,"yes","no")</f>
        <v>#DIV/0!</v>
      </c>
      <c r="DC457" t="e">
        <f>IF(CT457&lt;CZ457,"yes","no")</f>
        <v>#DIV/0!</v>
      </c>
    </row>
    <row r="458" spans="1:107" x14ac:dyDescent="0.2">
      <c r="A458" s="2" t="b">
        <v>0</v>
      </c>
      <c r="B458" s="2" t="s">
        <v>79</v>
      </c>
      <c r="C458" s="2" t="s">
        <v>80</v>
      </c>
      <c r="D458" s="2" t="s">
        <v>1373</v>
      </c>
      <c r="E458" s="2" t="s">
        <v>1374</v>
      </c>
      <c r="F458" s="2">
        <v>2</v>
      </c>
      <c r="G458" s="2">
        <v>2</v>
      </c>
      <c r="H458" s="2">
        <v>44.3</v>
      </c>
      <c r="I458" s="2">
        <v>6.02</v>
      </c>
      <c r="J458" s="2" t="s">
        <v>254</v>
      </c>
      <c r="K458" s="2" t="s">
        <v>83</v>
      </c>
      <c r="L458" s="2" t="s">
        <v>119</v>
      </c>
      <c r="M458" s="2" t="s">
        <v>1375</v>
      </c>
      <c r="N458" s="2" t="s">
        <v>1373</v>
      </c>
      <c r="O458" s="2">
        <v>2.1640000000000001</v>
      </c>
      <c r="P458" s="2">
        <v>0.01</v>
      </c>
      <c r="Q458" s="2">
        <v>0.01</v>
      </c>
      <c r="R458" s="2">
        <v>0.09</v>
      </c>
      <c r="S458" s="2" t="s">
        <v>83</v>
      </c>
      <c r="T458" s="2">
        <v>0.01</v>
      </c>
      <c r="U458" s="2">
        <v>0.01</v>
      </c>
      <c r="V458" s="2">
        <v>0.01</v>
      </c>
      <c r="W458" s="2">
        <v>0.01</v>
      </c>
      <c r="X458" s="2" t="s">
        <v>83</v>
      </c>
      <c r="Y458" s="2">
        <v>40.200000000000003</v>
      </c>
      <c r="Z458" s="2">
        <v>364.2</v>
      </c>
      <c r="AA458" s="2">
        <v>95.5</v>
      </c>
      <c r="AB458" s="2" t="s">
        <v>83</v>
      </c>
      <c r="AC458" s="2" t="s">
        <v>83</v>
      </c>
      <c r="AD458" s="2" t="s">
        <v>83</v>
      </c>
      <c r="AE458" s="2" t="s">
        <v>83</v>
      </c>
      <c r="AF458" s="2">
        <v>25660.912109375</v>
      </c>
      <c r="AG458" s="2">
        <v>351358.7890625</v>
      </c>
      <c r="AH458" s="2" t="s">
        <v>83</v>
      </c>
      <c r="AI458" s="2" t="s">
        <v>83</v>
      </c>
      <c r="AJ458" s="2" t="s">
        <v>83</v>
      </c>
      <c r="AK458" s="2" t="s">
        <v>83</v>
      </c>
      <c r="AL458" s="2">
        <v>25671.87890625</v>
      </c>
      <c r="AM458" s="2" t="s">
        <v>83</v>
      </c>
      <c r="AN458" s="2" t="s">
        <v>83</v>
      </c>
      <c r="AO458" s="2">
        <v>3424.95141601563</v>
      </c>
      <c r="AP458" s="2">
        <v>4587.94775390625</v>
      </c>
      <c r="AQ458" s="2" t="s">
        <v>83</v>
      </c>
      <c r="AR458" s="2">
        <v>6508.21337890625</v>
      </c>
      <c r="AS458" s="2" t="s">
        <v>83</v>
      </c>
      <c r="AT458" s="2" t="s">
        <v>83</v>
      </c>
      <c r="AU458" s="2" t="s">
        <v>83</v>
      </c>
      <c r="AV458" s="2" t="s">
        <v>83</v>
      </c>
      <c r="AW458" s="2" t="s">
        <v>83</v>
      </c>
      <c r="AX458" s="2" t="s">
        <v>83</v>
      </c>
      <c r="AY458" s="2" t="s">
        <v>83</v>
      </c>
      <c r="AZ458" s="2" t="s">
        <v>83</v>
      </c>
      <c r="BA458" s="2" t="s">
        <v>83</v>
      </c>
      <c r="BB458" s="2" t="s">
        <v>83</v>
      </c>
      <c r="BC458" s="2" t="s">
        <v>98</v>
      </c>
      <c r="BD458" s="2" t="s">
        <v>98</v>
      </c>
      <c r="BE458" s="2" t="s">
        <v>91</v>
      </c>
      <c r="BF458" s="2" t="s">
        <v>79</v>
      </c>
      <c r="BG458" s="2" t="s">
        <v>98</v>
      </c>
      <c r="BH458" s="2" t="s">
        <v>98</v>
      </c>
      <c r="BI458" s="2" t="s">
        <v>98</v>
      </c>
      <c r="BJ458" s="2" t="s">
        <v>98</v>
      </c>
      <c r="BK458" s="2" t="s">
        <v>91</v>
      </c>
      <c r="BL458" s="2" t="s">
        <v>98</v>
      </c>
      <c r="BM458" s="2" t="s">
        <v>98</v>
      </c>
      <c r="BN458" s="2" t="s">
        <v>91</v>
      </c>
      <c r="BO458" s="2" t="s">
        <v>91</v>
      </c>
      <c r="BP458" s="2" t="s">
        <v>98</v>
      </c>
      <c r="BQ458" s="2" t="s">
        <v>91</v>
      </c>
      <c r="BR458" s="2" t="s">
        <v>98</v>
      </c>
      <c r="BS458" s="2" t="s">
        <v>98</v>
      </c>
      <c r="BT458" s="2" t="s">
        <v>98</v>
      </c>
      <c r="BU458" s="2" t="s">
        <v>98</v>
      </c>
      <c r="BV458" s="2" t="s">
        <v>98</v>
      </c>
      <c r="BW458" s="2" t="s">
        <v>98</v>
      </c>
      <c r="BX458" s="2" t="s">
        <v>98</v>
      </c>
      <c r="BY458" s="2" t="s">
        <v>98</v>
      </c>
      <c r="BZ458" s="2" t="s">
        <v>98</v>
      </c>
      <c r="CA458" s="2" t="s">
        <v>98</v>
      </c>
      <c r="CB458" t="e">
        <f>TTEST(AS458:AW458,AI458:AM458,2,2)</f>
        <v>#DIV/0!</v>
      </c>
      <c r="CC458" t="e">
        <f>TTEST(AD458:AH458,AI458:AM458,2,2)</f>
        <v>#DIV/0!</v>
      </c>
      <c r="CD458" t="e">
        <f>TTEST(AN458:AR458,AI458:AM458,2,2)</f>
        <v>#DIV/0!</v>
      </c>
      <c r="CE458" t="e">
        <f>TTEST(AX458:BB458,AI458:AM458,2,2)</f>
        <v>#DIV/0!</v>
      </c>
      <c r="CF458">
        <v>454</v>
      </c>
      <c r="CG458">
        <v>455</v>
      </c>
      <c r="CH458">
        <v>457</v>
      </c>
      <c r="CI458">
        <v>457</v>
      </c>
      <c r="CJ458">
        <f>0.05*CF458/464</f>
        <v>4.8922413793103456E-2</v>
      </c>
      <c r="CK458">
        <f>0.05*CG458/464</f>
        <v>4.9030172413793101E-2</v>
      </c>
      <c r="CL458">
        <f>0.05*CH458/464</f>
        <v>4.9245689655172419E-2</v>
      </c>
      <c r="CM458">
        <f>0.05*CI458/464</f>
        <v>4.9245689655172419E-2</v>
      </c>
      <c r="CN458" t="e">
        <f>IF(CB458&lt;CJ458,"yes","no")</f>
        <v>#DIV/0!</v>
      </c>
      <c r="CO458" t="e">
        <f>IF(CC458&lt;CK458,"yes","no")</f>
        <v>#DIV/0!</v>
      </c>
      <c r="CP458" t="e">
        <f>IF(CD458&lt;CL458,"yes","no")</f>
        <v>#DIV/0!</v>
      </c>
      <c r="CQ458" t="e">
        <f>IF(CE458&lt;CM458,"yes","no")</f>
        <v>#DIV/0!</v>
      </c>
      <c r="CR458" t="e">
        <f>TTEST(AS458:AW458,AD458:AH458,2,2)</f>
        <v>#DIV/0!</v>
      </c>
      <c r="CS458" t="e">
        <f>TTEST(AS458:AW458,AN458:AR458,2,2)</f>
        <v>#DIV/0!</v>
      </c>
      <c r="CT458" t="e">
        <f>TTEST(AS458:AW458,AX458:BB458,2,2)</f>
        <v>#DIV/0!</v>
      </c>
      <c r="CU458">
        <v>457</v>
      </c>
      <c r="CV458">
        <v>457</v>
      </c>
      <c r="CW458">
        <v>457</v>
      </c>
      <c r="CX458">
        <f t="shared" si="21"/>
        <v>4.9245689655172419E-2</v>
      </c>
      <c r="CY458">
        <f t="shared" si="22"/>
        <v>4.9245689655172419E-2</v>
      </c>
      <c r="CZ458">
        <f t="shared" si="23"/>
        <v>4.9245689655172419E-2</v>
      </c>
      <c r="DA458" t="e">
        <f>IF(CR458&lt;CX458,"yes","no")</f>
        <v>#DIV/0!</v>
      </c>
      <c r="DB458" t="e">
        <f>IF(CS458&lt;CY458,"yes","no")</f>
        <v>#DIV/0!</v>
      </c>
      <c r="DC458" t="e">
        <f>IF(CT458&lt;CZ458,"yes","no")</f>
        <v>#DIV/0!</v>
      </c>
    </row>
    <row r="459" spans="1:107" x14ac:dyDescent="0.2">
      <c r="A459" s="2" t="b">
        <v>0</v>
      </c>
      <c r="B459" s="2" t="s">
        <v>79</v>
      </c>
      <c r="C459" s="2" t="s">
        <v>80</v>
      </c>
      <c r="D459" s="2" t="s">
        <v>1458</v>
      </c>
      <c r="E459" s="2" t="s">
        <v>1459</v>
      </c>
      <c r="F459" s="2">
        <v>2</v>
      </c>
      <c r="G459" s="2">
        <v>2</v>
      </c>
      <c r="H459" s="2">
        <v>24.1</v>
      </c>
      <c r="I459" s="2">
        <v>7.66</v>
      </c>
      <c r="J459" s="2" t="s">
        <v>1009</v>
      </c>
      <c r="K459" s="2" t="s">
        <v>1010</v>
      </c>
      <c r="L459" s="2" t="s">
        <v>119</v>
      </c>
      <c r="M459" s="2" t="s">
        <v>83</v>
      </c>
      <c r="N459" s="2" t="s">
        <v>1458</v>
      </c>
      <c r="O459" s="2">
        <v>9.9329999999999998</v>
      </c>
      <c r="P459" s="2">
        <v>0.01</v>
      </c>
      <c r="Q459" s="2">
        <v>0.01</v>
      </c>
      <c r="R459" s="2">
        <v>0.16300000000000001</v>
      </c>
      <c r="S459" s="2">
        <v>1.617</v>
      </c>
      <c r="T459" s="2">
        <v>0.01</v>
      </c>
      <c r="U459" s="2">
        <v>0.01</v>
      </c>
      <c r="V459" s="2">
        <v>0.01</v>
      </c>
      <c r="W459" s="2">
        <v>0.01</v>
      </c>
      <c r="X459" s="2" t="s">
        <v>83</v>
      </c>
      <c r="Y459" s="2">
        <v>29.3</v>
      </c>
      <c r="Z459" s="2">
        <v>179.9</v>
      </c>
      <c r="AA459" s="2">
        <v>290.8</v>
      </c>
      <c r="AB459" s="2" t="s">
        <v>83</v>
      </c>
      <c r="AC459" s="2" t="s">
        <v>83</v>
      </c>
      <c r="AD459" s="2" t="s">
        <v>83</v>
      </c>
      <c r="AE459" s="2" t="s">
        <v>83</v>
      </c>
      <c r="AF459" s="2">
        <v>42438.42578125</v>
      </c>
      <c r="AG459" s="2">
        <v>140958.09375</v>
      </c>
      <c r="AH459" s="2" t="s">
        <v>83</v>
      </c>
      <c r="AI459" s="2" t="s">
        <v>83</v>
      </c>
      <c r="AJ459" s="2" t="s">
        <v>83</v>
      </c>
      <c r="AK459" s="2" t="s">
        <v>83</v>
      </c>
      <c r="AL459" s="2">
        <v>14187.9521484375</v>
      </c>
      <c r="AM459" s="2" t="s">
        <v>83</v>
      </c>
      <c r="AN459" s="2" t="s">
        <v>83</v>
      </c>
      <c r="AO459" s="2" t="s">
        <v>83</v>
      </c>
      <c r="AP459" s="2">
        <v>32727.091796875</v>
      </c>
      <c r="AQ459" s="2" t="s">
        <v>83</v>
      </c>
      <c r="AR459" s="2">
        <v>10841.544921875</v>
      </c>
      <c r="AS459" s="2" t="s">
        <v>83</v>
      </c>
      <c r="AT459" s="2" t="s">
        <v>83</v>
      </c>
      <c r="AU459" s="2" t="s">
        <v>83</v>
      </c>
      <c r="AV459" s="2" t="s">
        <v>83</v>
      </c>
      <c r="AW459" s="2" t="s">
        <v>83</v>
      </c>
      <c r="AX459" s="2" t="s">
        <v>83</v>
      </c>
      <c r="AY459" s="2" t="s">
        <v>83</v>
      </c>
      <c r="AZ459" s="2" t="s">
        <v>83</v>
      </c>
      <c r="BA459" s="2" t="s">
        <v>83</v>
      </c>
      <c r="BB459" s="2" t="s">
        <v>83</v>
      </c>
      <c r="BC459" s="2" t="s">
        <v>79</v>
      </c>
      <c r="BD459" s="2" t="s">
        <v>98</v>
      </c>
      <c r="BE459" s="2" t="s">
        <v>91</v>
      </c>
      <c r="BF459" s="2" t="s">
        <v>79</v>
      </c>
      <c r="BG459" s="2" t="s">
        <v>98</v>
      </c>
      <c r="BH459" s="2" t="s">
        <v>98</v>
      </c>
      <c r="BI459" s="2" t="s">
        <v>98</v>
      </c>
      <c r="BJ459" s="2" t="s">
        <v>98</v>
      </c>
      <c r="BK459" s="2" t="s">
        <v>91</v>
      </c>
      <c r="BL459" s="2" t="s">
        <v>98</v>
      </c>
      <c r="BM459" s="2" t="s">
        <v>98</v>
      </c>
      <c r="BN459" s="2" t="s">
        <v>98</v>
      </c>
      <c r="BO459" s="2" t="s">
        <v>91</v>
      </c>
      <c r="BP459" s="2" t="s">
        <v>98</v>
      </c>
      <c r="BQ459" s="2" t="s">
        <v>91</v>
      </c>
      <c r="BR459" s="2" t="s">
        <v>98</v>
      </c>
      <c r="BS459" s="2" t="s">
        <v>98</v>
      </c>
      <c r="BT459" s="2" t="s">
        <v>98</v>
      </c>
      <c r="BU459" s="2" t="s">
        <v>98</v>
      </c>
      <c r="BV459" s="2" t="s">
        <v>98</v>
      </c>
      <c r="BW459" s="2" t="s">
        <v>98</v>
      </c>
      <c r="BX459" s="2" t="s">
        <v>98</v>
      </c>
      <c r="BY459" s="2" t="s">
        <v>98</v>
      </c>
      <c r="BZ459" s="2" t="s">
        <v>98</v>
      </c>
      <c r="CA459" s="2" t="s">
        <v>98</v>
      </c>
      <c r="CB459" t="e">
        <f>TTEST(AS459:AW459,AI459:AM459,2,2)</f>
        <v>#DIV/0!</v>
      </c>
      <c r="CC459" t="e">
        <f>TTEST(AD459:AH459,AI459:AM459,2,2)</f>
        <v>#DIV/0!</v>
      </c>
      <c r="CD459" t="e">
        <f>TTEST(AN459:AR459,AI459:AM459,2,2)</f>
        <v>#DIV/0!</v>
      </c>
      <c r="CE459" t="e">
        <f>TTEST(AX459:BB459,AI459:AM459,2,2)</f>
        <v>#DIV/0!</v>
      </c>
      <c r="CF459">
        <v>455</v>
      </c>
      <c r="CG459">
        <v>456</v>
      </c>
      <c r="CH459">
        <v>458</v>
      </c>
      <c r="CI459">
        <v>458</v>
      </c>
      <c r="CJ459">
        <f>0.05*CF459/464</f>
        <v>4.9030172413793101E-2</v>
      </c>
      <c r="CK459">
        <f>0.05*CG459/464</f>
        <v>4.913793103448276E-2</v>
      </c>
      <c r="CL459">
        <f>0.05*CH459/464</f>
        <v>4.935344827586207E-2</v>
      </c>
      <c r="CM459">
        <f>0.05*CI459/464</f>
        <v>4.935344827586207E-2</v>
      </c>
      <c r="CN459" t="e">
        <f>IF(CB459&lt;CJ459,"yes","no")</f>
        <v>#DIV/0!</v>
      </c>
      <c r="CO459" t="e">
        <f>IF(CC459&lt;CK459,"yes","no")</f>
        <v>#DIV/0!</v>
      </c>
      <c r="CP459" t="e">
        <f>IF(CD459&lt;CL459,"yes","no")</f>
        <v>#DIV/0!</v>
      </c>
      <c r="CQ459" t="e">
        <f>IF(CE459&lt;CM459,"yes","no")</f>
        <v>#DIV/0!</v>
      </c>
      <c r="CR459" t="e">
        <f>TTEST(AS459:AW459,AD459:AH459,2,2)</f>
        <v>#DIV/0!</v>
      </c>
      <c r="CS459" t="e">
        <f>TTEST(AS459:AW459,AN459:AR459,2,2)</f>
        <v>#DIV/0!</v>
      </c>
      <c r="CT459" t="e">
        <f>TTEST(AS459:AW459,AX459:BB459,2,2)</f>
        <v>#DIV/0!</v>
      </c>
      <c r="CU459">
        <v>458</v>
      </c>
      <c r="CV459">
        <v>458</v>
      </c>
      <c r="CW459">
        <v>458</v>
      </c>
      <c r="CX459">
        <f t="shared" si="21"/>
        <v>4.935344827586207E-2</v>
      </c>
      <c r="CY459">
        <f t="shared" si="22"/>
        <v>4.935344827586207E-2</v>
      </c>
      <c r="CZ459">
        <f t="shared" si="23"/>
        <v>4.935344827586207E-2</v>
      </c>
      <c r="DA459" t="e">
        <f>IF(CR459&lt;CX459,"yes","no")</f>
        <v>#DIV/0!</v>
      </c>
      <c r="DB459" t="e">
        <f>IF(CS459&lt;CY459,"yes","no")</f>
        <v>#DIV/0!</v>
      </c>
      <c r="DC459" t="e">
        <f>IF(CT459&lt;CZ459,"yes","no")</f>
        <v>#DIV/0!</v>
      </c>
    </row>
    <row r="460" spans="1:107" x14ac:dyDescent="0.2">
      <c r="A460" s="2" t="b">
        <v>0</v>
      </c>
      <c r="B460" s="2" t="s">
        <v>79</v>
      </c>
      <c r="C460" s="2" t="s">
        <v>80</v>
      </c>
      <c r="D460" s="2" t="s">
        <v>1485</v>
      </c>
      <c r="E460" s="2" t="s">
        <v>1486</v>
      </c>
      <c r="F460" s="2">
        <v>1</v>
      </c>
      <c r="G460" s="2">
        <v>1</v>
      </c>
      <c r="H460" s="2">
        <v>57.6</v>
      </c>
      <c r="I460" s="2">
        <v>5.68</v>
      </c>
      <c r="J460" s="2" t="s">
        <v>83</v>
      </c>
      <c r="K460" s="2" t="s">
        <v>247</v>
      </c>
      <c r="L460" s="2" t="s">
        <v>119</v>
      </c>
      <c r="M460" s="2" t="s">
        <v>83</v>
      </c>
      <c r="N460" s="2" t="s">
        <v>1485</v>
      </c>
      <c r="O460" s="2">
        <v>5.7359999999999998</v>
      </c>
      <c r="P460" s="2">
        <v>0.01</v>
      </c>
      <c r="Q460" s="2">
        <v>3.07</v>
      </c>
      <c r="R460" s="2">
        <v>0.312</v>
      </c>
      <c r="S460" s="2">
        <v>1.7909999999999999</v>
      </c>
      <c r="T460" s="2">
        <v>0.01</v>
      </c>
      <c r="U460" s="2">
        <v>0.95399999999999996</v>
      </c>
      <c r="V460" s="2">
        <v>0.01</v>
      </c>
      <c r="W460" s="2">
        <v>0.53300000000000003</v>
      </c>
      <c r="X460" s="2">
        <v>100</v>
      </c>
      <c r="Y460" s="2">
        <v>38.5</v>
      </c>
      <c r="Z460" s="2">
        <v>123.2</v>
      </c>
      <c r="AA460" s="2">
        <v>220.7</v>
      </c>
      <c r="AB460" s="2" t="s">
        <v>83</v>
      </c>
      <c r="AC460" s="2">
        <v>117.6</v>
      </c>
      <c r="AD460" s="2">
        <v>52758.51171875</v>
      </c>
      <c r="AE460" s="2">
        <v>51813.59375</v>
      </c>
      <c r="AF460" s="2">
        <v>47199.2890625</v>
      </c>
      <c r="AG460" s="2">
        <v>109937.6640625</v>
      </c>
      <c r="AH460" s="2">
        <v>48295.15625</v>
      </c>
      <c r="AI460" s="2">
        <v>3790.33349609375</v>
      </c>
      <c r="AJ460" s="2" t="s">
        <v>83</v>
      </c>
      <c r="AK460" s="2" t="s">
        <v>83</v>
      </c>
      <c r="AL460" s="2" t="s">
        <v>83</v>
      </c>
      <c r="AM460" s="2" t="s">
        <v>83</v>
      </c>
      <c r="AN460" s="2">
        <v>4951.7021484375</v>
      </c>
      <c r="AO460" s="2">
        <v>5433.94384765625</v>
      </c>
      <c r="AP460" s="2">
        <v>6415.9306640625</v>
      </c>
      <c r="AQ460" s="2" t="s">
        <v>83</v>
      </c>
      <c r="AR460" s="2" t="s">
        <v>83</v>
      </c>
      <c r="AS460" s="2" t="s">
        <v>83</v>
      </c>
      <c r="AT460" s="2" t="s">
        <v>83</v>
      </c>
      <c r="AU460" s="2" t="s">
        <v>83</v>
      </c>
      <c r="AV460" s="2" t="s">
        <v>83</v>
      </c>
      <c r="AW460" s="2" t="s">
        <v>83</v>
      </c>
      <c r="AX460" s="2">
        <v>9057.6376953125</v>
      </c>
      <c r="AY460" s="2">
        <v>13593.0712890625</v>
      </c>
      <c r="AZ460" s="2" t="s">
        <v>83</v>
      </c>
      <c r="BA460" s="2" t="s">
        <v>83</v>
      </c>
      <c r="BB460" s="2" t="s">
        <v>83</v>
      </c>
      <c r="BC460" s="2" t="s">
        <v>91</v>
      </c>
      <c r="BD460" s="2" t="s">
        <v>91</v>
      </c>
      <c r="BE460" s="2" t="s">
        <v>91</v>
      </c>
      <c r="BF460" s="2" t="s">
        <v>79</v>
      </c>
      <c r="BG460" s="2" t="s">
        <v>91</v>
      </c>
      <c r="BH460" s="2" t="s">
        <v>91</v>
      </c>
      <c r="BI460" s="2" t="s">
        <v>98</v>
      </c>
      <c r="BJ460" s="2" t="s">
        <v>98</v>
      </c>
      <c r="BK460" s="2" t="s">
        <v>98</v>
      </c>
      <c r="BL460" s="2" t="s">
        <v>98</v>
      </c>
      <c r="BM460" s="2" t="s">
        <v>91</v>
      </c>
      <c r="BN460" s="2" t="s">
        <v>91</v>
      </c>
      <c r="BO460" s="2" t="s">
        <v>91</v>
      </c>
      <c r="BP460" s="2" t="s">
        <v>98</v>
      </c>
      <c r="BQ460" s="2" t="s">
        <v>98</v>
      </c>
      <c r="BR460" s="2" t="s">
        <v>98</v>
      </c>
      <c r="BS460" s="2" t="s">
        <v>98</v>
      </c>
      <c r="BT460" s="2" t="s">
        <v>98</v>
      </c>
      <c r="BU460" s="2" t="s">
        <v>98</v>
      </c>
      <c r="BV460" s="2" t="s">
        <v>98</v>
      </c>
      <c r="BW460" s="2" t="s">
        <v>91</v>
      </c>
      <c r="BX460" s="2" t="s">
        <v>91</v>
      </c>
      <c r="BY460" s="2" t="s">
        <v>98</v>
      </c>
      <c r="BZ460" s="2" t="s">
        <v>98</v>
      </c>
      <c r="CA460" s="2" t="s">
        <v>98</v>
      </c>
      <c r="CB460" t="e">
        <f>TTEST(AS460:AW460,AI460:AM460,2,2)</f>
        <v>#DIV/0!</v>
      </c>
      <c r="CC460" t="e">
        <f>TTEST(AD460:AH460,AI460:AM460,2,2)</f>
        <v>#DIV/0!</v>
      </c>
      <c r="CD460" t="e">
        <f>TTEST(AN460:AR460,AI460:AM460,2,2)</f>
        <v>#DIV/0!</v>
      </c>
      <c r="CE460" t="e">
        <f>TTEST(AX460:BB460,AI460:AM460,2,2)</f>
        <v>#DIV/0!</v>
      </c>
      <c r="CF460">
        <v>456</v>
      </c>
      <c r="CG460">
        <v>457</v>
      </c>
      <c r="CH460">
        <v>459</v>
      </c>
      <c r="CI460">
        <v>459</v>
      </c>
      <c r="CJ460">
        <f>0.05*CF460/464</f>
        <v>4.913793103448276E-2</v>
      </c>
      <c r="CK460">
        <f>0.05*CG460/464</f>
        <v>4.9245689655172419E-2</v>
      </c>
      <c r="CL460">
        <f>0.05*CH460/464</f>
        <v>4.9461206896551729E-2</v>
      </c>
      <c r="CM460">
        <f>0.05*CI460/464</f>
        <v>4.9461206896551729E-2</v>
      </c>
      <c r="CN460" t="e">
        <f>IF(CB460&lt;CJ460,"yes","no")</f>
        <v>#DIV/0!</v>
      </c>
      <c r="CO460" t="e">
        <f>IF(CC460&lt;CK460,"yes","no")</f>
        <v>#DIV/0!</v>
      </c>
      <c r="CP460" t="e">
        <f>IF(CD460&lt;CL460,"yes","no")</f>
        <v>#DIV/0!</v>
      </c>
      <c r="CQ460" t="e">
        <f>IF(CE460&lt;CM460,"yes","no")</f>
        <v>#DIV/0!</v>
      </c>
      <c r="CR460" t="e">
        <f>TTEST(AS460:AW460,AD460:AH460,2,2)</f>
        <v>#DIV/0!</v>
      </c>
      <c r="CS460" t="e">
        <f>TTEST(AS460:AW460,AN460:AR460,2,2)</f>
        <v>#DIV/0!</v>
      </c>
      <c r="CT460" t="e">
        <f>TTEST(AS460:AW460,AX460:BB460,2,2)</f>
        <v>#DIV/0!</v>
      </c>
      <c r="CU460">
        <v>459</v>
      </c>
      <c r="CV460">
        <v>459</v>
      </c>
      <c r="CW460">
        <v>459</v>
      </c>
      <c r="CX460">
        <f t="shared" si="21"/>
        <v>4.9461206896551729E-2</v>
      </c>
      <c r="CY460">
        <f t="shared" si="22"/>
        <v>4.9461206896551729E-2</v>
      </c>
      <c r="CZ460">
        <f t="shared" si="23"/>
        <v>4.9461206896551729E-2</v>
      </c>
      <c r="DA460" t="e">
        <f>IF(CR460&lt;CX460,"yes","no")</f>
        <v>#DIV/0!</v>
      </c>
      <c r="DB460" t="e">
        <f>IF(CS460&lt;CY460,"yes","no")</f>
        <v>#DIV/0!</v>
      </c>
      <c r="DC460" t="e">
        <f>IF(CT460&lt;CZ460,"yes","no")</f>
        <v>#DIV/0!</v>
      </c>
    </row>
    <row r="461" spans="1:107" x14ac:dyDescent="0.2">
      <c r="A461" s="2" t="b">
        <v>0</v>
      </c>
      <c r="B461" s="2" t="s">
        <v>79</v>
      </c>
      <c r="C461" s="2" t="s">
        <v>80</v>
      </c>
      <c r="D461" s="2" t="s">
        <v>1490</v>
      </c>
      <c r="E461" s="2" t="s">
        <v>1491</v>
      </c>
      <c r="F461" s="2">
        <v>1</v>
      </c>
      <c r="G461" s="2">
        <v>1</v>
      </c>
      <c r="H461" s="2">
        <v>46.8</v>
      </c>
      <c r="I461" s="2">
        <v>5.68</v>
      </c>
      <c r="J461" s="2" t="s">
        <v>380</v>
      </c>
      <c r="K461" s="2" t="s">
        <v>319</v>
      </c>
      <c r="L461" s="2" t="s">
        <v>115</v>
      </c>
      <c r="M461" s="2" t="s">
        <v>1492</v>
      </c>
      <c r="N461" s="2" t="s">
        <v>1490</v>
      </c>
      <c r="O461" s="2">
        <v>3.86</v>
      </c>
      <c r="P461" s="2">
        <v>0.01</v>
      </c>
      <c r="Q461" s="2">
        <v>1.911</v>
      </c>
      <c r="R461" s="2">
        <v>0.20100000000000001</v>
      </c>
      <c r="S461" s="2">
        <v>0.77700000000000002</v>
      </c>
      <c r="T461" s="2">
        <v>0.01</v>
      </c>
      <c r="U461" s="2">
        <v>0.38500000000000001</v>
      </c>
      <c r="V461" s="2">
        <v>0.01</v>
      </c>
      <c r="W461" s="2">
        <v>0.495</v>
      </c>
      <c r="X461" s="2">
        <v>100</v>
      </c>
      <c r="Y461" s="2">
        <v>42.6</v>
      </c>
      <c r="Z461" s="2">
        <v>211.5</v>
      </c>
      <c r="AA461" s="2">
        <v>164.5</v>
      </c>
      <c r="AB461" s="2" t="s">
        <v>83</v>
      </c>
      <c r="AC461" s="2">
        <v>81.400000000000006</v>
      </c>
      <c r="AD461" s="2" t="s">
        <v>83</v>
      </c>
      <c r="AE461" s="2" t="s">
        <v>83</v>
      </c>
      <c r="AF461" s="2" t="s">
        <v>83</v>
      </c>
      <c r="AG461" s="2">
        <v>134862.53125</v>
      </c>
      <c r="AH461" s="2" t="s">
        <v>83</v>
      </c>
      <c r="AI461" s="2" t="s">
        <v>83</v>
      </c>
      <c r="AJ461" s="2" t="s">
        <v>83</v>
      </c>
      <c r="AK461" s="2" t="s">
        <v>83</v>
      </c>
      <c r="AL461" s="2">
        <v>17369.890625</v>
      </c>
      <c r="AM461" s="2" t="s">
        <v>83</v>
      </c>
      <c r="AN461" s="2" t="s">
        <v>83</v>
      </c>
      <c r="AO461" s="2" t="s">
        <v>83</v>
      </c>
      <c r="AP461" s="2">
        <v>10686.9111328125</v>
      </c>
      <c r="AQ461" s="2" t="s">
        <v>83</v>
      </c>
      <c r="AR461" s="2" t="s">
        <v>83</v>
      </c>
      <c r="AS461" s="2" t="s">
        <v>83</v>
      </c>
      <c r="AT461" s="2" t="s">
        <v>83</v>
      </c>
      <c r="AU461" s="2" t="s">
        <v>83</v>
      </c>
      <c r="AV461" s="2" t="s">
        <v>83</v>
      </c>
      <c r="AW461" s="2" t="s">
        <v>83</v>
      </c>
      <c r="AX461" s="2">
        <v>12200.7578125</v>
      </c>
      <c r="AY461" s="2" t="s">
        <v>83</v>
      </c>
      <c r="AZ461" s="2" t="s">
        <v>83</v>
      </c>
      <c r="BA461" s="2">
        <v>9945.681640625</v>
      </c>
      <c r="BB461" s="2" t="s">
        <v>83</v>
      </c>
      <c r="BC461" s="2" t="s">
        <v>98</v>
      </c>
      <c r="BD461" s="2" t="s">
        <v>98</v>
      </c>
      <c r="BE461" s="2" t="s">
        <v>98</v>
      </c>
      <c r="BF461" s="2" t="s">
        <v>79</v>
      </c>
      <c r="BG461" s="2" t="s">
        <v>98</v>
      </c>
      <c r="BH461" s="2" t="s">
        <v>98</v>
      </c>
      <c r="BI461" s="2" t="s">
        <v>98</v>
      </c>
      <c r="BJ461" s="2" t="s">
        <v>98</v>
      </c>
      <c r="BK461" s="2" t="s">
        <v>79</v>
      </c>
      <c r="BL461" s="2" t="s">
        <v>98</v>
      </c>
      <c r="BM461" s="2" t="s">
        <v>98</v>
      </c>
      <c r="BN461" s="2" t="s">
        <v>98</v>
      </c>
      <c r="BO461" s="2" t="s">
        <v>91</v>
      </c>
      <c r="BP461" s="2" t="s">
        <v>98</v>
      </c>
      <c r="BQ461" s="2" t="s">
        <v>98</v>
      </c>
      <c r="BR461" s="2" t="s">
        <v>98</v>
      </c>
      <c r="BS461" s="2" t="s">
        <v>98</v>
      </c>
      <c r="BT461" s="2" t="s">
        <v>98</v>
      </c>
      <c r="BU461" s="2" t="s">
        <v>98</v>
      </c>
      <c r="BV461" s="2" t="s">
        <v>98</v>
      </c>
      <c r="BW461" s="2" t="s">
        <v>91</v>
      </c>
      <c r="BX461" s="2" t="s">
        <v>98</v>
      </c>
      <c r="BY461" s="2" t="s">
        <v>98</v>
      </c>
      <c r="BZ461" s="2" t="s">
        <v>91</v>
      </c>
      <c r="CA461" s="2" t="s">
        <v>98</v>
      </c>
      <c r="CB461" t="e">
        <f>TTEST(AS461:AW461,AI461:AM461,2,2)</f>
        <v>#DIV/0!</v>
      </c>
      <c r="CC461" t="e">
        <f>TTEST(AD461:AH461,AI461:AM461,2,2)</f>
        <v>#DIV/0!</v>
      </c>
      <c r="CD461" t="e">
        <f>TTEST(AN461:AR461,AI461:AM461,2,2)</f>
        <v>#DIV/0!</v>
      </c>
      <c r="CE461" t="e">
        <f>TTEST(AX461:BB461,AI461:AM461,2,2)</f>
        <v>#DIV/0!</v>
      </c>
      <c r="CF461">
        <v>457</v>
      </c>
      <c r="CG461">
        <v>458</v>
      </c>
      <c r="CH461">
        <v>460</v>
      </c>
      <c r="CI461">
        <v>460</v>
      </c>
      <c r="CJ461">
        <f>0.05*CF461/464</f>
        <v>4.9245689655172419E-2</v>
      </c>
      <c r="CK461">
        <f>0.05*CG461/464</f>
        <v>4.935344827586207E-2</v>
      </c>
      <c r="CL461">
        <f>0.05*CH461/464</f>
        <v>4.9568965517241381E-2</v>
      </c>
      <c r="CM461">
        <f>0.05*CI461/464</f>
        <v>4.9568965517241381E-2</v>
      </c>
      <c r="CN461" t="e">
        <f>IF(CB461&lt;CJ461,"yes","no")</f>
        <v>#DIV/0!</v>
      </c>
      <c r="CO461" t="e">
        <f>IF(CC461&lt;CK461,"yes","no")</f>
        <v>#DIV/0!</v>
      </c>
      <c r="CP461" t="e">
        <f>IF(CD461&lt;CL461,"yes","no")</f>
        <v>#DIV/0!</v>
      </c>
      <c r="CQ461" t="e">
        <f>IF(CE461&lt;CM461,"yes","no")</f>
        <v>#DIV/0!</v>
      </c>
      <c r="CR461" t="e">
        <f>TTEST(AS461:AW461,AD461:AH461,2,2)</f>
        <v>#DIV/0!</v>
      </c>
      <c r="CS461" t="e">
        <f>TTEST(AS461:AW461,AN461:AR461,2,2)</f>
        <v>#DIV/0!</v>
      </c>
      <c r="CT461" t="e">
        <f>TTEST(AS461:AW461,AX461:BB461,2,2)</f>
        <v>#DIV/0!</v>
      </c>
      <c r="CU461">
        <v>460</v>
      </c>
      <c r="CV461">
        <v>460</v>
      </c>
      <c r="CW461">
        <v>460</v>
      </c>
      <c r="CX461">
        <f t="shared" si="21"/>
        <v>4.9568965517241381E-2</v>
      </c>
      <c r="CY461">
        <f t="shared" si="22"/>
        <v>4.9568965517241381E-2</v>
      </c>
      <c r="CZ461">
        <f t="shared" si="23"/>
        <v>4.9568965517241381E-2</v>
      </c>
      <c r="DA461" t="e">
        <f>IF(CR461&lt;CX461,"yes","no")</f>
        <v>#DIV/0!</v>
      </c>
      <c r="DB461" t="e">
        <f>IF(CS461&lt;CY461,"yes","no")</f>
        <v>#DIV/0!</v>
      </c>
      <c r="DC461" t="e">
        <f>IF(CT461&lt;CZ461,"yes","no")</f>
        <v>#DIV/0!</v>
      </c>
    </row>
    <row r="462" spans="1:107" x14ac:dyDescent="0.2">
      <c r="A462" s="2" t="b">
        <v>0</v>
      </c>
      <c r="B462" s="2" t="s">
        <v>79</v>
      </c>
      <c r="C462" s="2" t="s">
        <v>80</v>
      </c>
      <c r="D462" s="2" t="s">
        <v>1493</v>
      </c>
      <c r="E462" s="2" t="s">
        <v>1494</v>
      </c>
      <c r="F462" s="2">
        <v>1</v>
      </c>
      <c r="G462" s="2">
        <v>1</v>
      </c>
      <c r="H462" s="2">
        <v>43.2</v>
      </c>
      <c r="I462" s="2">
        <v>9.0299999999999994</v>
      </c>
      <c r="J462" s="2" t="s">
        <v>135</v>
      </c>
      <c r="K462" s="2" t="s">
        <v>1446</v>
      </c>
      <c r="L462" s="2" t="s">
        <v>119</v>
      </c>
      <c r="M462" s="2" t="s">
        <v>1495</v>
      </c>
      <c r="N462" s="2" t="s">
        <v>1493</v>
      </c>
      <c r="O462" s="2">
        <v>0.01</v>
      </c>
      <c r="P462" s="2">
        <v>0.01</v>
      </c>
      <c r="Q462" s="2">
        <v>0.01</v>
      </c>
      <c r="R462" s="2">
        <v>0.36399999999999999</v>
      </c>
      <c r="S462" s="2">
        <v>0.01</v>
      </c>
      <c r="T462" s="2">
        <v>0.01</v>
      </c>
      <c r="U462" s="2">
        <v>0.01</v>
      </c>
      <c r="V462" s="2" t="s">
        <v>83</v>
      </c>
      <c r="W462" s="2" t="s">
        <v>83</v>
      </c>
      <c r="X462" s="2" t="s">
        <v>83</v>
      </c>
      <c r="Y462" s="2">
        <v>133.5</v>
      </c>
      <c r="Z462" s="2">
        <v>366.5</v>
      </c>
      <c r="AA462" s="2" t="s">
        <v>83</v>
      </c>
      <c r="AB462" s="2" t="s">
        <v>83</v>
      </c>
      <c r="AC462" s="2" t="s">
        <v>83</v>
      </c>
      <c r="AD462" s="2">
        <v>30780.916015625</v>
      </c>
      <c r="AE462" s="2" t="s">
        <v>83</v>
      </c>
      <c r="AF462" s="2">
        <v>65493.984375</v>
      </c>
      <c r="AG462" s="2">
        <v>110306.0859375</v>
      </c>
      <c r="AH462" s="2" t="s">
        <v>83</v>
      </c>
      <c r="AI462" s="2" t="s">
        <v>83</v>
      </c>
      <c r="AJ462" s="2" t="s">
        <v>83</v>
      </c>
      <c r="AK462" s="2" t="s">
        <v>83</v>
      </c>
      <c r="AL462" s="2">
        <v>6180.34765625</v>
      </c>
      <c r="AM462" s="2" t="s">
        <v>83</v>
      </c>
      <c r="AN462" s="2" t="s">
        <v>83</v>
      </c>
      <c r="AO462" s="2" t="s">
        <v>83</v>
      </c>
      <c r="AP462" s="2" t="s">
        <v>83</v>
      </c>
      <c r="AQ462" s="2" t="s">
        <v>83</v>
      </c>
      <c r="AR462" s="2" t="s">
        <v>83</v>
      </c>
      <c r="AS462" s="2" t="s">
        <v>83</v>
      </c>
      <c r="AT462" s="2" t="s">
        <v>83</v>
      </c>
      <c r="AU462" s="2" t="s">
        <v>83</v>
      </c>
      <c r="AV462" s="2" t="s">
        <v>83</v>
      </c>
      <c r="AW462" s="2" t="s">
        <v>83</v>
      </c>
      <c r="AX462" s="2" t="s">
        <v>83</v>
      </c>
      <c r="AY462" s="2" t="s">
        <v>83</v>
      </c>
      <c r="AZ462" s="2" t="s">
        <v>83</v>
      </c>
      <c r="BA462" s="2" t="s">
        <v>83</v>
      </c>
      <c r="BB462" s="2" t="s">
        <v>83</v>
      </c>
      <c r="BC462" s="2" t="s">
        <v>79</v>
      </c>
      <c r="BD462" s="2" t="s">
        <v>98</v>
      </c>
      <c r="BE462" s="2" t="s">
        <v>79</v>
      </c>
      <c r="BF462" s="2" t="s">
        <v>79</v>
      </c>
      <c r="BG462" s="2" t="s">
        <v>98</v>
      </c>
      <c r="BH462" s="2" t="s">
        <v>98</v>
      </c>
      <c r="BI462" s="2" t="s">
        <v>98</v>
      </c>
      <c r="BJ462" s="2" t="s">
        <v>98</v>
      </c>
      <c r="BK462" s="2" t="s">
        <v>91</v>
      </c>
      <c r="BL462" s="2" t="s">
        <v>98</v>
      </c>
      <c r="BM462" s="2" t="s">
        <v>98</v>
      </c>
      <c r="BN462" s="2" t="s">
        <v>98</v>
      </c>
      <c r="BO462" s="2" t="s">
        <v>98</v>
      </c>
      <c r="BP462" s="2" t="s">
        <v>98</v>
      </c>
      <c r="BQ462" s="2" t="s">
        <v>98</v>
      </c>
      <c r="BR462" s="2" t="s">
        <v>98</v>
      </c>
      <c r="BS462" s="2" t="s">
        <v>98</v>
      </c>
      <c r="BT462" s="2" t="s">
        <v>98</v>
      </c>
      <c r="BU462" s="2" t="s">
        <v>98</v>
      </c>
      <c r="BV462" s="2" t="s">
        <v>98</v>
      </c>
      <c r="BW462" s="2" t="s">
        <v>98</v>
      </c>
      <c r="BX462" s="2" t="s">
        <v>98</v>
      </c>
      <c r="BY462" s="2" t="s">
        <v>98</v>
      </c>
      <c r="BZ462" s="2" t="s">
        <v>98</v>
      </c>
      <c r="CA462" s="2" t="s">
        <v>98</v>
      </c>
      <c r="CB462" t="e">
        <f>TTEST(AS462:AW462,AI462:AM462,2,2)</f>
        <v>#DIV/0!</v>
      </c>
      <c r="CC462" t="e">
        <f>TTEST(AD462:AH462,AI462:AM462,2,2)</f>
        <v>#DIV/0!</v>
      </c>
      <c r="CD462" t="e">
        <f>TTEST(AN462:AR462,AI462:AM462,2,2)</f>
        <v>#DIV/0!</v>
      </c>
      <c r="CE462" t="e">
        <f>TTEST(AX462:BB462,AI462:AM462,2,2)</f>
        <v>#DIV/0!</v>
      </c>
      <c r="CF462">
        <v>458</v>
      </c>
      <c r="CG462">
        <v>459</v>
      </c>
      <c r="CH462">
        <v>461</v>
      </c>
      <c r="CI462">
        <v>461</v>
      </c>
      <c r="CJ462">
        <f>0.05*CF462/464</f>
        <v>4.935344827586207E-2</v>
      </c>
      <c r="CK462">
        <f>0.05*CG462/464</f>
        <v>4.9461206896551729E-2</v>
      </c>
      <c r="CL462">
        <f>0.05*CH462/464</f>
        <v>4.9676724137931033E-2</v>
      </c>
      <c r="CM462">
        <f>0.05*CI462/464</f>
        <v>4.9676724137931033E-2</v>
      </c>
      <c r="CN462" t="e">
        <f>IF(CB462&lt;CJ462,"yes","no")</f>
        <v>#DIV/0!</v>
      </c>
      <c r="CO462" t="e">
        <f>IF(CC462&lt;CK462,"yes","no")</f>
        <v>#DIV/0!</v>
      </c>
      <c r="CP462" t="e">
        <f>IF(CD462&lt;CL462,"yes","no")</f>
        <v>#DIV/0!</v>
      </c>
      <c r="CQ462" t="e">
        <f>IF(CE462&lt;CM462,"yes","no")</f>
        <v>#DIV/0!</v>
      </c>
      <c r="CR462" t="e">
        <f>TTEST(AS462:AW462,AD462:AH462,2,2)</f>
        <v>#DIV/0!</v>
      </c>
      <c r="CS462" t="e">
        <f>TTEST(AS462:AW462,AN462:AR462,2,2)</f>
        <v>#DIV/0!</v>
      </c>
      <c r="CT462" t="e">
        <f>TTEST(AS462:AW462,AX462:BB462,2,2)</f>
        <v>#DIV/0!</v>
      </c>
      <c r="CU462">
        <v>461</v>
      </c>
      <c r="CV462">
        <v>461</v>
      </c>
      <c r="CW462">
        <v>461</v>
      </c>
      <c r="CX462">
        <f t="shared" si="21"/>
        <v>4.9676724137931033E-2</v>
      </c>
      <c r="CY462">
        <f t="shared" si="22"/>
        <v>4.9676724137931033E-2</v>
      </c>
      <c r="CZ462">
        <f t="shared" si="23"/>
        <v>4.9676724137931033E-2</v>
      </c>
      <c r="DA462" t="e">
        <f>IF(CR462&lt;CX462,"yes","no")</f>
        <v>#DIV/0!</v>
      </c>
      <c r="DB462" t="e">
        <f>IF(CS462&lt;CY462,"yes","no")</f>
        <v>#DIV/0!</v>
      </c>
      <c r="DC462" t="e">
        <f>IF(CT462&lt;CZ462,"yes","no")</f>
        <v>#DIV/0!</v>
      </c>
    </row>
    <row r="463" spans="1:107" x14ac:dyDescent="0.2">
      <c r="A463" s="2" t="b">
        <v>0</v>
      </c>
      <c r="B463" s="2" t="s">
        <v>79</v>
      </c>
      <c r="C463" s="2" t="s">
        <v>80</v>
      </c>
      <c r="D463" s="2" t="s">
        <v>1529</v>
      </c>
      <c r="E463" s="2" t="s">
        <v>1530</v>
      </c>
      <c r="F463" s="2">
        <v>1</v>
      </c>
      <c r="G463" s="2">
        <v>1</v>
      </c>
      <c r="H463" s="2">
        <v>33.200000000000003</v>
      </c>
      <c r="I463" s="2">
        <v>8.8800000000000008</v>
      </c>
      <c r="J463" s="2" t="s">
        <v>1531</v>
      </c>
      <c r="K463" s="2" t="s">
        <v>618</v>
      </c>
      <c r="L463" s="2" t="s">
        <v>375</v>
      </c>
      <c r="M463" s="2" t="s">
        <v>1532</v>
      </c>
      <c r="N463" s="2" t="s">
        <v>1529</v>
      </c>
      <c r="O463" s="2">
        <v>100</v>
      </c>
      <c r="P463" s="2" t="s">
        <v>83</v>
      </c>
      <c r="Q463" s="2" t="s">
        <v>83</v>
      </c>
      <c r="R463" s="2">
        <v>0.01</v>
      </c>
      <c r="S463" s="2">
        <v>0.53800000000000003</v>
      </c>
      <c r="T463" s="2">
        <v>0.01</v>
      </c>
      <c r="U463" s="2">
        <v>0.01</v>
      </c>
      <c r="V463" s="2">
        <v>0.01</v>
      </c>
      <c r="W463" s="2">
        <v>0.01</v>
      </c>
      <c r="X463" s="2" t="s">
        <v>83</v>
      </c>
      <c r="Y463" s="2" t="s">
        <v>83</v>
      </c>
      <c r="Z463" s="2">
        <v>325.10000000000002</v>
      </c>
      <c r="AA463" s="2">
        <v>174.9</v>
      </c>
      <c r="AB463" s="2" t="s">
        <v>83</v>
      </c>
      <c r="AC463" s="2" t="s">
        <v>83</v>
      </c>
      <c r="AD463" s="2" t="s">
        <v>83</v>
      </c>
      <c r="AE463" s="2" t="s">
        <v>83</v>
      </c>
      <c r="AF463" s="2" t="s">
        <v>83</v>
      </c>
      <c r="AG463" s="2" t="s">
        <v>83</v>
      </c>
      <c r="AH463" s="2" t="s">
        <v>83</v>
      </c>
      <c r="AI463" s="2" t="s">
        <v>83</v>
      </c>
      <c r="AJ463" s="2" t="s">
        <v>83</v>
      </c>
      <c r="AK463" s="2" t="s">
        <v>83</v>
      </c>
      <c r="AL463" s="2">
        <v>56504.10546875</v>
      </c>
      <c r="AM463" s="2" t="s">
        <v>83</v>
      </c>
      <c r="AN463" s="2" t="s">
        <v>83</v>
      </c>
      <c r="AO463" s="2">
        <v>15463.595703125</v>
      </c>
      <c r="AP463" s="2" t="s">
        <v>83</v>
      </c>
      <c r="AQ463" s="2" t="s">
        <v>83</v>
      </c>
      <c r="AR463" s="2" t="s">
        <v>83</v>
      </c>
      <c r="AS463" s="2" t="s">
        <v>83</v>
      </c>
      <c r="AT463" s="2" t="s">
        <v>83</v>
      </c>
      <c r="AU463" s="2" t="s">
        <v>83</v>
      </c>
      <c r="AV463" s="2" t="s">
        <v>83</v>
      </c>
      <c r="AW463" s="2" t="s">
        <v>83</v>
      </c>
      <c r="AX463" s="2" t="s">
        <v>83</v>
      </c>
      <c r="AY463" s="2" t="s">
        <v>83</v>
      </c>
      <c r="AZ463" s="2" t="s">
        <v>83</v>
      </c>
      <c r="BA463" s="2" t="s">
        <v>83</v>
      </c>
      <c r="BB463" s="2" t="s">
        <v>83</v>
      </c>
      <c r="BC463" s="2" t="s">
        <v>98</v>
      </c>
      <c r="BD463" s="2" t="s">
        <v>98</v>
      </c>
      <c r="BE463" s="2" t="s">
        <v>98</v>
      </c>
      <c r="BF463" s="2" t="s">
        <v>98</v>
      </c>
      <c r="BG463" s="2" t="s">
        <v>98</v>
      </c>
      <c r="BH463" s="2" t="s">
        <v>98</v>
      </c>
      <c r="BI463" s="2" t="s">
        <v>98</v>
      </c>
      <c r="BJ463" s="2" t="s">
        <v>98</v>
      </c>
      <c r="BK463" s="2" t="s">
        <v>79</v>
      </c>
      <c r="BL463" s="2" t="s">
        <v>98</v>
      </c>
      <c r="BM463" s="2" t="s">
        <v>98</v>
      </c>
      <c r="BN463" s="2" t="s">
        <v>91</v>
      </c>
      <c r="BO463" s="2" t="s">
        <v>98</v>
      </c>
      <c r="BP463" s="2" t="s">
        <v>98</v>
      </c>
      <c r="BQ463" s="2" t="s">
        <v>79</v>
      </c>
      <c r="BR463" s="2" t="s">
        <v>98</v>
      </c>
      <c r="BS463" s="2" t="s">
        <v>98</v>
      </c>
      <c r="BT463" s="2" t="s">
        <v>98</v>
      </c>
      <c r="BU463" s="2" t="s">
        <v>98</v>
      </c>
      <c r="BV463" s="2" t="s">
        <v>98</v>
      </c>
      <c r="BW463" s="2" t="s">
        <v>98</v>
      </c>
      <c r="BX463" s="2" t="s">
        <v>98</v>
      </c>
      <c r="BY463" s="2" t="s">
        <v>98</v>
      </c>
      <c r="BZ463" s="2" t="s">
        <v>98</v>
      </c>
      <c r="CA463" s="2" t="s">
        <v>98</v>
      </c>
      <c r="CB463" t="e">
        <f>TTEST(AS463:AW463,AI463:AM463,2,2)</f>
        <v>#DIV/0!</v>
      </c>
      <c r="CC463" t="e">
        <f>TTEST(AD463:AH463,AI463:AM463,2,2)</f>
        <v>#DIV/0!</v>
      </c>
      <c r="CD463" t="e">
        <f>TTEST(AN463:AR463,AI463:AM463,2,2)</f>
        <v>#DIV/0!</v>
      </c>
      <c r="CE463" t="e">
        <f>TTEST(AX463:BB463,AI463:AM463,2,2)</f>
        <v>#DIV/0!</v>
      </c>
      <c r="CF463">
        <v>459</v>
      </c>
      <c r="CG463">
        <v>460</v>
      </c>
      <c r="CH463">
        <v>462</v>
      </c>
      <c r="CI463">
        <v>462</v>
      </c>
      <c r="CJ463">
        <f>0.05*CF463/464</f>
        <v>4.9461206896551729E-2</v>
      </c>
      <c r="CK463">
        <f>0.05*CG463/464</f>
        <v>4.9568965517241381E-2</v>
      </c>
      <c r="CL463">
        <f>0.05*CH463/464</f>
        <v>4.9784482758620692E-2</v>
      </c>
      <c r="CM463">
        <f>0.05*CI463/464</f>
        <v>4.9784482758620692E-2</v>
      </c>
      <c r="CN463" t="e">
        <f>IF(CB463&lt;CJ463,"yes","no")</f>
        <v>#DIV/0!</v>
      </c>
      <c r="CO463" t="e">
        <f>IF(CC463&lt;CK463,"yes","no")</f>
        <v>#DIV/0!</v>
      </c>
      <c r="CP463" t="e">
        <f>IF(CD463&lt;CL463,"yes","no")</f>
        <v>#DIV/0!</v>
      </c>
      <c r="CQ463" t="e">
        <f>IF(CE463&lt;CM463,"yes","no")</f>
        <v>#DIV/0!</v>
      </c>
      <c r="CR463" t="e">
        <f>TTEST(AS463:AW463,AD463:AH463,2,2)</f>
        <v>#DIV/0!</v>
      </c>
      <c r="CS463" t="e">
        <f>TTEST(AS463:AW463,AN463:AR463,2,2)</f>
        <v>#DIV/0!</v>
      </c>
      <c r="CT463" t="e">
        <f>TTEST(AS463:AW463,AX463:BB463,2,2)</f>
        <v>#DIV/0!</v>
      </c>
      <c r="CU463">
        <v>462</v>
      </c>
      <c r="CV463">
        <v>462</v>
      </c>
      <c r="CW463">
        <v>462</v>
      </c>
      <c r="CX463">
        <f t="shared" si="21"/>
        <v>4.9784482758620692E-2</v>
      </c>
      <c r="CY463">
        <f t="shared" si="22"/>
        <v>4.9784482758620692E-2</v>
      </c>
      <c r="CZ463">
        <f t="shared" si="23"/>
        <v>4.9784482758620692E-2</v>
      </c>
      <c r="DA463" t="e">
        <f>IF(CR463&lt;CX463,"yes","no")</f>
        <v>#DIV/0!</v>
      </c>
      <c r="DB463" t="e">
        <f>IF(CS463&lt;CY463,"yes","no")</f>
        <v>#DIV/0!</v>
      </c>
      <c r="DC463" t="e">
        <f>IF(CT463&lt;CZ463,"yes","no")</f>
        <v>#DIV/0!</v>
      </c>
    </row>
    <row r="464" spans="1:107" x14ac:dyDescent="0.2">
      <c r="A464" s="2" t="b">
        <v>0</v>
      </c>
      <c r="B464" s="2" t="s">
        <v>79</v>
      </c>
      <c r="C464" s="2" t="s">
        <v>80</v>
      </c>
      <c r="D464" s="2" t="s">
        <v>1634</v>
      </c>
      <c r="E464" s="2" t="s">
        <v>1635</v>
      </c>
      <c r="F464" s="2">
        <v>1</v>
      </c>
      <c r="G464" s="2">
        <v>1</v>
      </c>
      <c r="H464" s="2">
        <v>29.6</v>
      </c>
      <c r="I464" s="2">
        <v>11.39</v>
      </c>
      <c r="J464" s="2" t="s">
        <v>380</v>
      </c>
      <c r="K464" s="2" t="s">
        <v>1636</v>
      </c>
      <c r="L464" s="2" t="s">
        <v>119</v>
      </c>
      <c r="M464" s="2" t="s">
        <v>1637</v>
      </c>
      <c r="N464" s="2" t="s">
        <v>1634</v>
      </c>
      <c r="O464" s="2" t="s">
        <v>83</v>
      </c>
      <c r="P464" s="2" t="s">
        <v>83</v>
      </c>
      <c r="Q464" s="2" t="s">
        <v>83</v>
      </c>
      <c r="R464" s="2">
        <v>0.01</v>
      </c>
      <c r="S464" s="2">
        <v>0.01</v>
      </c>
      <c r="T464" s="2">
        <v>0.01</v>
      </c>
      <c r="U464" s="2">
        <v>0.01</v>
      </c>
      <c r="V464" s="2" t="s">
        <v>83</v>
      </c>
      <c r="W464" s="2" t="s">
        <v>83</v>
      </c>
      <c r="X464" s="2" t="s">
        <v>83</v>
      </c>
      <c r="Y464" s="2" t="s">
        <v>83</v>
      </c>
      <c r="Z464" s="2">
        <v>500</v>
      </c>
      <c r="AA464" s="2" t="s">
        <v>83</v>
      </c>
      <c r="AB464" s="2" t="s">
        <v>83</v>
      </c>
      <c r="AC464" s="2" t="s">
        <v>83</v>
      </c>
      <c r="AD464" s="2" t="s">
        <v>83</v>
      </c>
      <c r="AE464" s="2" t="s">
        <v>83</v>
      </c>
      <c r="AF464" s="2" t="s">
        <v>83</v>
      </c>
      <c r="AG464" s="2" t="s">
        <v>83</v>
      </c>
      <c r="AH464" s="2" t="s">
        <v>83</v>
      </c>
      <c r="AI464" s="2" t="s">
        <v>83</v>
      </c>
      <c r="AJ464" s="2" t="s">
        <v>83</v>
      </c>
      <c r="AK464" s="2" t="s">
        <v>83</v>
      </c>
      <c r="AL464" s="2">
        <v>24337.705078125</v>
      </c>
      <c r="AM464" s="2" t="s">
        <v>83</v>
      </c>
      <c r="AN464" s="2" t="s">
        <v>83</v>
      </c>
      <c r="AO464" s="2" t="s">
        <v>83</v>
      </c>
      <c r="AP464" s="2" t="s">
        <v>83</v>
      </c>
      <c r="AQ464" s="2" t="s">
        <v>83</v>
      </c>
      <c r="AR464" s="2" t="s">
        <v>83</v>
      </c>
      <c r="AS464" s="2" t="s">
        <v>83</v>
      </c>
      <c r="AT464" s="2" t="s">
        <v>83</v>
      </c>
      <c r="AU464" s="2" t="s">
        <v>83</v>
      </c>
      <c r="AV464" s="2" t="s">
        <v>83</v>
      </c>
      <c r="AW464" s="2" t="s">
        <v>83</v>
      </c>
      <c r="AX464" s="2" t="s">
        <v>83</v>
      </c>
      <c r="AY464" s="2" t="s">
        <v>83</v>
      </c>
      <c r="AZ464" s="2" t="s">
        <v>83</v>
      </c>
      <c r="BA464" s="2" t="s">
        <v>83</v>
      </c>
      <c r="BB464" s="2" t="s">
        <v>83</v>
      </c>
      <c r="BC464" s="2" t="s">
        <v>98</v>
      </c>
      <c r="BD464" s="2" t="s">
        <v>98</v>
      </c>
      <c r="BE464" s="2" t="s">
        <v>98</v>
      </c>
      <c r="BF464" s="2" t="s">
        <v>98</v>
      </c>
      <c r="BG464" s="2" t="s">
        <v>98</v>
      </c>
      <c r="BH464" s="2" t="s">
        <v>98</v>
      </c>
      <c r="BI464" s="2" t="s">
        <v>98</v>
      </c>
      <c r="BJ464" s="2" t="s">
        <v>98</v>
      </c>
      <c r="BK464" s="2" t="s">
        <v>79</v>
      </c>
      <c r="BL464" s="2" t="s">
        <v>98</v>
      </c>
      <c r="BM464" s="2" t="s">
        <v>98</v>
      </c>
      <c r="BN464" s="2" t="s">
        <v>98</v>
      </c>
      <c r="BO464" s="2" t="s">
        <v>98</v>
      </c>
      <c r="BP464" s="2" t="s">
        <v>98</v>
      </c>
      <c r="BQ464" s="2" t="s">
        <v>98</v>
      </c>
      <c r="BR464" s="2" t="s">
        <v>98</v>
      </c>
      <c r="BS464" s="2" t="s">
        <v>98</v>
      </c>
      <c r="BT464" s="2" t="s">
        <v>98</v>
      </c>
      <c r="BU464" s="2" t="s">
        <v>98</v>
      </c>
      <c r="BV464" s="2" t="s">
        <v>98</v>
      </c>
      <c r="BW464" s="2" t="s">
        <v>98</v>
      </c>
      <c r="BX464" s="2" t="s">
        <v>98</v>
      </c>
      <c r="BY464" s="2" t="s">
        <v>98</v>
      </c>
      <c r="BZ464" s="2" t="s">
        <v>98</v>
      </c>
      <c r="CA464" s="2" t="s">
        <v>98</v>
      </c>
      <c r="CB464" t="e">
        <f>TTEST(AS464:AW464,AI464:AM464,2,2)</f>
        <v>#DIV/0!</v>
      </c>
      <c r="CC464" t="e">
        <f>TTEST(AD464:AH464,AI464:AM464,2,2)</f>
        <v>#DIV/0!</v>
      </c>
      <c r="CD464" t="e">
        <f>TTEST(AN464:AR464,AI464:AM464,2,2)</f>
        <v>#DIV/0!</v>
      </c>
      <c r="CE464" t="e">
        <f>TTEST(AX464:BB464,AI464:AM464,2,2)</f>
        <v>#DIV/0!</v>
      </c>
      <c r="CF464">
        <v>463</v>
      </c>
      <c r="CG464">
        <v>463</v>
      </c>
      <c r="CH464">
        <v>463</v>
      </c>
      <c r="CI464">
        <v>463</v>
      </c>
      <c r="CJ464">
        <f>0.05*CF464/464</f>
        <v>4.9892241379310351E-2</v>
      </c>
      <c r="CK464">
        <f>0.05*CG464/464</f>
        <v>4.9892241379310351E-2</v>
      </c>
      <c r="CL464">
        <f>0.05*CH464/464</f>
        <v>4.9892241379310351E-2</v>
      </c>
      <c r="CM464">
        <f>0.05*CI464/464</f>
        <v>4.9892241379310351E-2</v>
      </c>
      <c r="CN464" t="e">
        <f>IF(CB464&lt;CJ464,"yes","no")</f>
        <v>#DIV/0!</v>
      </c>
      <c r="CO464" t="e">
        <f>IF(CC464&lt;CK464,"yes","no")</f>
        <v>#DIV/0!</v>
      </c>
      <c r="CP464" t="e">
        <f>IF(CD464&lt;CL464,"yes","no")</f>
        <v>#DIV/0!</v>
      </c>
      <c r="CQ464" t="e">
        <f>IF(CE464&lt;CM464,"yes","no")</f>
        <v>#DIV/0!</v>
      </c>
      <c r="CR464" t="e">
        <f>TTEST(AS464:AW464,AD464:AH464,2,2)</f>
        <v>#DIV/0!</v>
      </c>
      <c r="CS464" t="e">
        <f>TTEST(AS464:AW464,AN464:AR464,2,2)</f>
        <v>#DIV/0!</v>
      </c>
      <c r="CT464" t="e">
        <f>TTEST(AS464:AW464,AX464:BB464,2,2)</f>
        <v>#DIV/0!</v>
      </c>
      <c r="CU464">
        <v>463</v>
      </c>
      <c r="CV464">
        <v>463</v>
      </c>
      <c r="CW464">
        <v>463</v>
      </c>
      <c r="CX464">
        <f t="shared" si="21"/>
        <v>4.9892241379310351E-2</v>
      </c>
      <c r="CY464">
        <f t="shared" si="22"/>
        <v>4.9892241379310351E-2</v>
      </c>
      <c r="CZ464">
        <f t="shared" si="23"/>
        <v>4.9892241379310351E-2</v>
      </c>
      <c r="DA464" t="e">
        <f>IF(CR464&lt;CX464,"yes","no")</f>
        <v>#DIV/0!</v>
      </c>
      <c r="DB464" t="e">
        <f>IF(CS464&lt;CY464,"yes","no")</f>
        <v>#DIV/0!</v>
      </c>
      <c r="DC464" t="e">
        <f>IF(CT464&lt;CZ464,"yes","no")</f>
        <v>#DIV/0!</v>
      </c>
    </row>
    <row r="465" spans="1:107" x14ac:dyDescent="0.2">
      <c r="A465" s="2" t="b">
        <v>0</v>
      </c>
      <c r="B465" s="2" t="s">
        <v>79</v>
      </c>
      <c r="C465" s="2" t="s">
        <v>80</v>
      </c>
      <c r="D465" s="2" t="s">
        <v>1674</v>
      </c>
      <c r="E465" s="2" t="s">
        <v>1675</v>
      </c>
      <c r="F465" s="2">
        <v>1</v>
      </c>
      <c r="G465" s="2">
        <v>1</v>
      </c>
      <c r="H465" s="2">
        <v>74.3</v>
      </c>
      <c r="I465" s="2">
        <v>6.98</v>
      </c>
      <c r="J465" s="2" t="s">
        <v>1091</v>
      </c>
      <c r="K465" s="2" t="s">
        <v>1676</v>
      </c>
      <c r="L465" s="2" t="s">
        <v>315</v>
      </c>
      <c r="M465" s="2" t="s">
        <v>83</v>
      </c>
      <c r="N465" s="2" t="s">
        <v>1677</v>
      </c>
      <c r="O465" s="2">
        <v>100</v>
      </c>
      <c r="P465" s="2" t="s">
        <v>83</v>
      </c>
      <c r="Q465" s="2" t="s">
        <v>83</v>
      </c>
      <c r="R465" s="2">
        <v>0.01</v>
      </c>
      <c r="S465" s="2">
        <v>0.109</v>
      </c>
      <c r="T465" s="2">
        <v>0.01</v>
      </c>
      <c r="U465" s="2">
        <v>0.01</v>
      </c>
      <c r="V465" s="2">
        <v>0.01</v>
      </c>
      <c r="W465" s="2">
        <v>0.01</v>
      </c>
      <c r="X465" s="2" t="s">
        <v>83</v>
      </c>
      <c r="Y465" s="2" t="s">
        <v>83</v>
      </c>
      <c r="Z465" s="2">
        <v>450.9</v>
      </c>
      <c r="AA465" s="2">
        <v>49.1</v>
      </c>
      <c r="AB465" s="2" t="s">
        <v>83</v>
      </c>
      <c r="AC465" s="2" t="s">
        <v>83</v>
      </c>
      <c r="AD465" s="2" t="s">
        <v>83</v>
      </c>
      <c r="AE465" s="2" t="s">
        <v>83</v>
      </c>
      <c r="AF465" s="2" t="s">
        <v>83</v>
      </c>
      <c r="AG465" s="2" t="s">
        <v>83</v>
      </c>
      <c r="AH465" s="2" t="s">
        <v>83</v>
      </c>
      <c r="AI465" s="2" t="s">
        <v>83</v>
      </c>
      <c r="AJ465" s="2" t="s">
        <v>83</v>
      </c>
      <c r="AK465" s="2" t="s">
        <v>83</v>
      </c>
      <c r="AL465" s="2">
        <v>56080.48828125</v>
      </c>
      <c r="AM465" s="2" t="s">
        <v>83</v>
      </c>
      <c r="AN465" s="2" t="s">
        <v>83</v>
      </c>
      <c r="AO465" s="2" t="s">
        <v>83</v>
      </c>
      <c r="AP465" s="2">
        <v>4828.3271484375</v>
      </c>
      <c r="AQ465" s="2" t="s">
        <v>83</v>
      </c>
      <c r="AR465" s="2" t="s">
        <v>83</v>
      </c>
      <c r="AS465" s="2" t="s">
        <v>83</v>
      </c>
      <c r="AT465" s="2" t="s">
        <v>83</v>
      </c>
      <c r="AU465" s="2" t="s">
        <v>83</v>
      </c>
      <c r="AV465" s="2" t="s">
        <v>83</v>
      </c>
      <c r="AW465" s="2" t="s">
        <v>83</v>
      </c>
      <c r="AX465" s="2" t="s">
        <v>83</v>
      </c>
      <c r="AY465" s="2" t="s">
        <v>83</v>
      </c>
      <c r="AZ465" s="2" t="s">
        <v>83</v>
      </c>
      <c r="BA465" s="2" t="s">
        <v>83</v>
      </c>
      <c r="BB465" s="2" t="s">
        <v>83</v>
      </c>
      <c r="BC465" s="2" t="s">
        <v>98</v>
      </c>
      <c r="BD465" s="2" t="s">
        <v>98</v>
      </c>
      <c r="BE465" s="2" t="s">
        <v>98</v>
      </c>
      <c r="BF465" s="2" t="s">
        <v>98</v>
      </c>
      <c r="BG465" s="2" t="s">
        <v>98</v>
      </c>
      <c r="BH465" s="2" t="s">
        <v>98</v>
      </c>
      <c r="BI465" s="2" t="s">
        <v>98</v>
      </c>
      <c r="BJ465" s="2" t="s">
        <v>98</v>
      </c>
      <c r="BK465" s="2" t="s">
        <v>79</v>
      </c>
      <c r="BL465" s="2" t="s">
        <v>98</v>
      </c>
      <c r="BM465" s="2" t="s">
        <v>98</v>
      </c>
      <c r="BN465" s="2" t="s">
        <v>98</v>
      </c>
      <c r="BO465" s="2" t="s">
        <v>91</v>
      </c>
      <c r="BP465" s="2" t="s">
        <v>98</v>
      </c>
      <c r="BQ465" s="2" t="s">
        <v>98</v>
      </c>
      <c r="BR465" s="2" t="s">
        <v>98</v>
      </c>
      <c r="BS465" s="2" t="s">
        <v>98</v>
      </c>
      <c r="BT465" s="2" t="s">
        <v>98</v>
      </c>
      <c r="BU465" s="2" t="s">
        <v>98</v>
      </c>
      <c r="BV465" s="2" t="s">
        <v>98</v>
      </c>
      <c r="BW465" s="2" t="s">
        <v>98</v>
      </c>
      <c r="BX465" s="2" t="s">
        <v>98</v>
      </c>
      <c r="BY465" s="2" t="s">
        <v>98</v>
      </c>
      <c r="BZ465" s="2" t="s">
        <v>98</v>
      </c>
      <c r="CA465" s="2" t="s">
        <v>98</v>
      </c>
      <c r="CB465" t="e">
        <f>TTEST(AS465:AW465,AI465:AM465,2,2)</f>
        <v>#DIV/0!</v>
      </c>
      <c r="CC465" t="e">
        <f>TTEST(AD465:AH465,AI465:AM465,2,2)</f>
        <v>#DIV/0!</v>
      </c>
      <c r="CD465" t="e">
        <f>TTEST(AN465:AR465,AI465:AM465,2,2)</f>
        <v>#DIV/0!</v>
      </c>
      <c r="CE465" t="e">
        <f>TTEST(AX465:BB465,AI465:AM465,2,2)</f>
        <v>#DIV/0!</v>
      </c>
      <c r="CF465">
        <v>464</v>
      </c>
      <c r="CG465">
        <v>464</v>
      </c>
      <c r="CH465">
        <v>464</v>
      </c>
      <c r="CI465">
        <v>464</v>
      </c>
      <c r="CJ465">
        <f>0.05*CF465/464</f>
        <v>0.05</v>
      </c>
      <c r="CK465">
        <f>0.05*CG465/464</f>
        <v>0.05</v>
      </c>
      <c r="CL465">
        <f>0.05*CH465/464</f>
        <v>0.05</v>
      </c>
      <c r="CM465">
        <f>0.05*CI465/464</f>
        <v>0.05</v>
      </c>
      <c r="CN465" t="e">
        <f>IF(CB465&lt;CJ465,"yes","no")</f>
        <v>#DIV/0!</v>
      </c>
      <c r="CO465" t="e">
        <f>IF(CC465&lt;CK465,"yes","no")</f>
        <v>#DIV/0!</v>
      </c>
      <c r="CP465" t="e">
        <f>IF(CD465&lt;CL465,"yes","no")</f>
        <v>#DIV/0!</v>
      </c>
      <c r="CQ465" t="e">
        <f>IF(CE465&lt;CM465,"yes","no")</f>
        <v>#DIV/0!</v>
      </c>
      <c r="CR465" t="e">
        <f>TTEST(AS465:AW465,AD465:AH465,2,2)</f>
        <v>#DIV/0!</v>
      </c>
      <c r="CS465" t="e">
        <f>TTEST(AS465:AW465,AN465:AR465,2,2)</f>
        <v>#DIV/0!</v>
      </c>
      <c r="CT465" t="e">
        <f>TTEST(AS465:AW465,AX465:BB465,2,2)</f>
        <v>#DIV/0!</v>
      </c>
      <c r="CU465">
        <v>464</v>
      </c>
      <c r="CV465">
        <v>464</v>
      </c>
      <c r="CW465">
        <v>464</v>
      </c>
      <c r="CX465">
        <f t="shared" si="21"/>
        <v>0.05</v>
      </c>
      <c r="CY465">
        <f t="shared" si="22"/>
        <v>0.05</v>
      </c>
      <c r="CZ465">
        <f t="shared" si="23"/>
        <v>0.05</v>
      </c>
      <c r="DA465" t="e">
        <f>IF(CR465&lt;CX465,"yes","no")</f>
        <v>#DIV/0!</v>
      </c>
      <c r="DB465" t="e">
        <f>IF(CS465&lt;CY465,"yes","no")</f>
        <v>#DIV/0!</v>
      </c>
      <c r="DC465" t="e">
        <f>IF(CT465&lt;CZ465,"yes","no")</f>
        <v>#DIV/0!</v>
      </c>
    </row>
    <row r="466" spans="1:107" x14ac:dyDescent="0.2">
      <c r="CW466">
        <v>465</v>
      </c>
      <c r="CZ466">
        <f t="shared" si="23"/>
        <v>5.0107758620689655E-2</v>
      </c>
      <c r="DC466" t="str">
        <f>IF(CT466&lt;CZ466,"yes","no")</f>
        <v>yes</v>
      </c>
    </row>
  </sheetData>
  <sortState xmlns:xlrd2="http://schemas.microsoft.com/office/spreadsheetml/2017/richdata2" ref="A2:DB466">
    <sortCondition ref="CT2:CT4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Exported from file 20241021_MI_BG.pdResult using Thermo Proteome Discoverer 3.1.0.638</dc:description>
  <cp:lastModifiedBy>Housley, Nick</cp:lastModifiedBy>
  <dcterms:created xsi:type="dcterms:W3CDTF">2024-10-23T21:41:39Z</dcterms:created>
  <dcterms:modified xsi:type="dcterms:W3CDTF">2024-11-24T03:05:07Z</dcterms:modified>
</cp:coreProperties>
</file>