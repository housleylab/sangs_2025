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Dropbox (GaTech)/papers_dropbox/tumor_agnostic_delivery/data/figure_2/"/>
    </mc:Choice>
  </mc:AlternateContent>
  <xr:revisionPtr revIDLastSave="0" documentId="13_ncr:1_{E9CF58C0-0584-E544-A21B-3AED4FA622B3}" xr6:coauthVersionLast="36" xr6:coauthVersionMax="36" xr10:uidLastSave="{00000000-0000-0000-0000-000000000000}"/>
  <bookViews>
    <workbookView xWindow="0" yWindow="500" windowWidth="33100" windowHeight="20500" xr2:uid="{E22B1F31-32D7-C044-93CE-B1AEA5F14966}"/>
  </bookViews>
  <sheets>
    <sheet name="Sheet1" sheetId="1" r:id="rId1"/>
    <sheet name="Sheet3" sheetId="3" r:id="rId2"/>
  </sheets>
  <definedNames>
    <definedName name="_xlnm._FilterDatabase" localSheetId="0" hidden="1">Sheet1!$A$1:$R$183</definedName>
  </definedName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3" i="1" l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35" i="1" l="1"/>
  <c r="Q74" i="1"/>
  <c r="Q69" i="1"/>
  <c r="Q64" i="1"/>
  <c r="Q59" i="1"/>
  <c r="Q58" i="1"/>
  <c r="Q134" i="1"/>
  <c r="Q132" i="1"/>
  <c r="Q130" i="1"/>
  <c r="Q128" i="1"/>
  <c r="Q78" i="1"/>
  <c r="Q73" i="1"/>
  <c r="Q68" i="1"/>
  <c r="Q63" i="1"/>
  <c r="Q49" i="1"/>
  <c r="Q38" i="1"/>
  <c r="Q18" i="1"/>
  <c r="Q3" i="1"/>
  <c r="Q23" i="1"/>
  <c r="Q50" i="1"/>
  <c r="Q62" i="1"/>
  <c r="Q67" i="1"/>
  <c r="Q72" i="1"/>
  <c r="Q77" i="1"/>
  <c r="Q127" i="1"/>
  <c r="Q129" i="1"/>
  <c r="Q131" i="1"/>
  <c r="Q133" i="1"/>
  <c r="Q8" i="1"/>
  <c r="Q75" i="1"/>
  <c r="Q70" i="1"/>
  <c r="Q65" i="1"/>
  <c r="Q60" i="1"/>
  <c r="Q52" i="1"/>
  <c r="Q76" i="1"/>
  <c r="Q71" i="1"/>
  <c r="Q66" i="1"/>
  <c r="Q61" i="1"/>
  <c r="Q51" i="1"/>
  <c r="Q33" i="1"/>
  <c r="Q28" i="1"/>
  <c r="Q13" i="1"/>
  <c r="Q142" i="1"/>
  <c r="Q140" i="1"/>
  <c r="Q138" i="1"/>
  <c r="Q136" i="1"/>
  <c r="Q100" i="1"/>
  <c r="Q95" i="1"/>
  <c r="Q90" i="1"/>
  <c r="Q85" i="1"/>
  <c r="Q80" i="1"/>
  <c r="Q48" i="1"/>
  <c r="Q39" i="1"/>
  <c r="Q9" i="1"/>
  <c r="Q143" i="1"/>
  <c r="Q141" i="1"/>
  <c r="Q139" i="1"/>
  <c r="Q137" i="1"/>
  <c r="Q101" i="1"/>
  <c r="Q96" i="1"/>
  <c r="Q91" i="1"/>
  <c r="Q86" i="1"/>
  <c r="Q81" i="1"/>
  <c r="Q55" i="1"/>
  <c r="Q47" i="1"/>
  <c r="Q4" i="1"/>
  <c r="Q97" i="1"/>
  <c r="Q92" i="1"/>
  <c r="Q87" i="1"/>
  <c r="Q82" i="1"/>
  <c r="Q54" i="1"/>
  <c r="Q34" i="1"/>
  <c r="Q29" i="1"/>
  <c r="Q19" i="1"/>
  <c r="Q98" i="1"/>
  <c r="Q93" i="1"/>
  <c r="Q88" i="1"/>
  <c r="Q83" i="1"/>
  <c r="Q53" i="1"/>
  <c r="Q24" i="1"/>
  <c r="Q14" i="1"/>
  <c r="Q144" i="1"/>
  <c r="Q102" i="1"/>
  <c r="Q99" i="1"/>
  <c r="Q94" i="1"/>
  <c r="Q89" i="1"/>
  <c r="Q84" i="1"/>
  <c r="Q79" i="1"/>
  <c r="Q151" i="1"/>
  <c r="Q149" i="1"/>
  <c r="Q147" i="1"/>
  <c r="Q145" i="1"/>
  <c r="Q124" i="1"/>
  <c r="Q119" i="1"/>
  <c r="Q114" i="1"/>
  <c r="Q109" i="1"/>
  <c r="Q104" i="1"/>
  <c r="Q46" i="1"/>
  <c r="Q40" i="1"/>
  <c r="Q5" i="1"/>
  <c r="Q152" i="1"/>
  <c r="Q150" i="1"/>
  <c r="Q148" i="1"/>
  <c r="Q146" i="1"/>
  <c r="Q125" i="1"/>
  <c r="Q120" i="1"/>
  <c r="Q115" i="1"/>
  <c r="Q110" i="1"/>
  <c r="Q105" i="1"/>
  <c r="Q45" i="1"/>
  <c r="Q10" i="1"/>
  <c r="Q126" i="1"/>
  <c r="Q121" i="1"/>
  <c r="Q116" i="1"/>
  <c r="Q111" i="1"/>
  <c r="Q106" i="1"/>
  <c r="Q57" i="1"/>
  <c r="Q30" i="1"/>
  <c r="Q15" i="1"/>
  <c r="Q122" i="1"/>
  <c r="Q117" i="1"/>
  <c r="Q112" i="1"/>
  <c r="Q107" i="1"/>
  <c r="Q56" i="1"/>
  <c r="Q35" i="1"/>
  <c r="Q25" i="1"/>
  <c r="Q20" i="1"/>
  <c r="Q166" i="1" l="1"/>
  <c r="Q162" i="1"/>
  <c r="Q158" i="1"/>
  <c r="Q154" i="1"/>
  <c r="Q21" i="1"/>
  <c r="Q16" i="1"/>
  <c r="Q163" i="1"/>
  <c r="Q159" i="1"/>
  <c r="Q155" i="1"/>
  <c r="Q44" i="1"/>
  <c r="Q41" i="1"/>
  <c r="Q6" i="1"/>
  <c r="Q168" i="1"/>
  <c r="Q164" i="1"/>
  <c r="Q160" i="1"/>
  <c r="Q156" i="1"/>
  <c r="Q43" i="1"/>
  <c r="Q36" i="1"/>
  <c r="Q31" i="1"/>
  <c r="Q169" i="1"/>
  <c r="Q167" i="1"/>
  <c r="Q165" i="1"/>
  <c r="Q161" i="1"/>
  <c r="Q157" i="1"/>
  <c r="Q42" i="1"/>
  <c r="Q26" i="1"/>
  <c r="Q11" i="1"/>
</calcChain>
</file>

<file path=xl/sharedStrings.xml><?xml version="1.0" encoding="utf-8"?>
<sst xmlns="http://schemas.openxmlformats.org/spreadsheetml/2006/main" count="1852" uniqueCount="119">
  <si>
    <t>tissue</t>
  </si>
  <si>
    <t>animalNum</t>
  </si>
  <si>
    <t>dyeType</t>
  </si>
  <si>
    <t>use</t>
  </si>
  <si>
    <t>imagedAlone</t>
  </si>
  <si>
    <t>folderName</t>
  </si>
  <si>
    <t>time_hrs</t>
  </si>
  <si>
    <t>colon_tumor</t>
  </si>
  <si>
    <t>r105</t>
  </si>
  <si>
    <t>irDye</t>
  </si>
  <si>
    <t>yes</t>
  </si>
  <si>
    <t>ex_vivo_irDye_colon_all_Times_horiz_1</t>
  </si>
  <si>
    <t>SNH20230403191933_001</t>
  </si>
  <si>
    <t>ROI 1</t>
  </si>
  <si>
    <t>Overlay</t>
  </si>
  <si>
    <t>r118</t>
  </si>
  <si>
    <t>ROI 2</t>
  </si>
  <si>
    <t>r132</t>
  </si>
  <si>
    <t>ROI 3</t>
  </si>
  <si>
    <t>r157</t>
  </si>
  <si>
    <t>ROI 4</t>
  </si>
  <si>
    <t>r114</t>
  </si>
  <si>
    <t>ROI 5</t>
  </si>
  <si>
    <t>ex_vivo_irDye_colon_all_Times_horiz_2_post_cut_3</t>
  </si>
  <si>
    <t>SNH20230403194701_001</t>
  </si>
  <si>
    <t>r128</t>
  </si>
  <si>
    <t>r163</t>
  </si>
  <si>
    <t>r111</t>
  </si>
  <si>
    <t>r112</t>
  </si>
  <si>
    <t>r101</t>
  </si>
  <si>
    <t>texasRed</t>
  </si>
  <si>
    <t>ex_vivo_texasRed_colon_all_Times_horiz_1</t>
  </si>
  <si>
    <t>SNH20230403200139_001</t>
  </si>
  <si>
    <t>r130</t>
  </si>
  <si>
    <t>r109</t>
  </si>
  <si>
    <t>r108</t>
  </si>
  <si>
    <t>r115</t>
  </si>
  <si>
    <t>no</t>
  </si>
  <si>
    <t>ex_vivo_texasRed_colon_all_Times_horiz_2</t>
  </si>
  <si>
    <t>SNH20230403201106_001</t>
  </si>
  <si>
    <t>r110</t>
  </si>
  <si>
    <t>r107</t>
  </si>
  <si>
    <t>kidney</t>
  </si>
  <si>
    <t>r164</t>
  </si>
  <si>
    <t>ex_vivo_texas_red_kidney</t>
  </si>
  <si>
    <t>SNH20230403202738_001</t>
  </si>
  <si>
    <t>ROI 6</t>
  </si>
  <si>
    <t>ROI 7</t>
  </si>
  <si>
    <t>ROI 8</t>
  </si>
  <si>
    <t>ROI 9</t>
  </si>
  <si>
    <t>r113</t>
  </si>
  <si>
    <t>ROI 10</t>
  </si>
  <si>
    <t>ex_vivo_irDye_kidney_1</t>
  </si>
  <si>
    <t>SNH20230403203406_001</t>
  </si>
  <si>
    <t>ex_vivo_irDye_kidney_2</t>
  </si>
  <si>
    <t>SNH20230403204139_001</t>
  </si>
  <si>
    <t>ex_viv_irDye_7days</t>
  </si>
  <si>
    <t>SNH20230403185659_001</t>
  </si>
  <si>
    <t>ex_vivo_irDye_48hr</t>
  </si>
  <si>
    <t>SNH20230403183542_001</t>
  </si>
  <si>
    <t>SNH20230403182458_001</t>
  </si>
  <si>
    <t>ex_vivo_texasRed_4hr</t>
  </si>
  <si>
    <t>SNH20230403180218_001</t>
  </si>
  <si>
    <t>r129</t>
  </si>
  <si>
    <t>ex_vivo_texasRed_24hr</t>
  </si>
  <si>
    <t>SNH20230403181714_001</t>
  </si>
  <si>
    <t>ex_vivo_texasRed_48hr</t>
  </si>
  <si>
    <t>SNH20230403183725_001</t>
  </si>
  <si>
    <t>healthy_colon</t>
  </si>
  <si>
    <t>ROI 25</t>
  </si>
  <si>
    <t>heart</t>
  </si>
  <si>
    <t>lungs</t>
  </si>
  <si>
    <t>ROI 11</t>
  </si>
  <si>
    <t>ROI 12</t>
  </si>
  <si>
    <t>ROI 13</t>
  </si>
  <si>
    <t>ROI 14</t>
  </si>
  <si>
    <t>spleen</t>
  </si>
  <si>
    <t>ROI 15</t>
  </si>
  <si>
    <t>ROI 16</t>
  </si>
  <si>
    <t>ROI 17</t>
  </si>
  <si>
    <t>ROI 18</t>
  </si>
  <si>
    <t>ROI 19</t>
  </si>
  <si>
    <t>liver</t>
  </si>
  <si>
    <t>ROI 20</t>
  </si>
  <si>
    <t>ROI 21</t>
  </si>
  <si>
    <t>ROI 22</t>
  </si>
  <si>
    <t>ROI 23</t>
  </si>
  <si>
    <t>ROI 24</t>
  </si>
  <si>
    <t>r102</t>
  </si>
  <si>
    <t>ROI 26</t>
  </si>
  <si>
    <t>ROI 27</t>
  </si>
  <si>
    <t>ROI 28</t>
  </si>
  <si>
    <t>ex_vivo_irDye_4hr</t>
  </si>
  <si>
    <t>SNH20230403175957_001</t>
  </si>
  <si>
    <t>ex_vivo_irDye_24hr</t>
  </si>
  <si>
    <t>ex_vivo_irDye_7days</t>
  </si>
  <si>
    <t>image_Number</t>
  </si>
  <si>
    <t>roi</t>
  </si>
  <si>
    <t>image_Layer</t>
  </si>
  <si>
    <t>total_radiance_efficency</t>
  </si>
  <si>
    <t>avg_radiance_efficency</t>
  </si>
  <si>
    <r>
      <t>stdev</t>
    </r>
    <r>
      <rPr>
        <b/>
        <sz val="12"/>
        <color theme="1"/>
        <rFont val="Calibri"/>
        <family val="2"/>
        <scheme val="minor"/>
      </rPr>
      <t>_radiance_efficency</t>
    </r>
  </si>
  <si>
    <t>min_radiance_efficency</t>
  </si>
  <si>
    <t>max_radiance_efficency</t>
  </si>
  <si>
    <t>Grand Total</t>
  </si>
  <si>
    <t>Row Labels</t>
  </si>
  <si>
    <t>fold_change_within_animal</t>
  </si>
  <si>
    <t>Average of fold_change_within_animal</t>
  </si>
  <si>
    <t>Average of fold_change_within_tissue</t>
  </si>
  <si>
    <t>Count of fold_change_within_animal</t>
  </si>
  <si>
    <t>Count of fold_change_within_tissue</t>
  </si>
  <si>
    <t>animalType</t>
  </si>
  <si>
    <t>pirc</t>
  </si>
  <si>
    <t>control</t>
  </si>
  <si>
    <t>StdDevp of fold_change_within_animal</t>
  </si>
  <si>
    <t>r0171</t>
  </si>
  <si>
    <t>ex_vivo_7days_texas_red</t>
  </si>
  <si>
    <t>SNH20230429192007_001</t>
  </si>
  <si>
    <t>r0123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</si>
</sst>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039.66677048611" createdVersion="6" refreshedVersion="6" minRefreshableVersion="3" recordCount="170" xr:uid="{A8A98635-3913-404E-9ADB-66F786256A2A}">
  <cacheSource type="worksheet">
    <worksheetSource ref="A1:R1048576" sheet="Sheet1"/>
  </cacheSource>
  <cacheFields count="18">
    <cacheField name="tissue" numFmtId="0">
      <sharedItems containsBlank="1" count="8">
        <s v="colon_tumor"/>
        <s v="kidney"/>
        <s v="healthy_colon"/>
        <s v="heart"/>
        <s v="lungs"/>
        <s v="spleen"/>
        <s v="liver"/>
        <m/>
      </sharedItems>
    </cacheField>
    <cacheField name="animalNum" numFmtId="0">
      <sharedItems containsBlank="1"/>
    </cacheField>
    <cacheField name="animalType" numFmtId="0">
      <sharedItems containsBlank="1"/>
    </cacheField>
    <cacheField name="dyeType" numFmtId="0">
      <sharedItems containsBlank="1"/>
    </cacheField>
    <cacheField name="use" numFmtId="0">
      <sharedItems containsBlank="1" count="3">
        <s v="yes"/>
        <s v="no"/>
        <m/>
      </sharedItems>
    </cacheField>
    <cacheField name="imagedAlone" numFmtId="0">
      <sharedItems containsBlank="1"/>
    </cacheField>
    <cacheField name="folderName" numFmtId="0">
      <sharedItems containsBlank="1"/>
    </cacheField>
    <cacheField name="time_hrs" numFmtId="0">
      <sharedItems containsString="0" containsBlank="1" containsNumber="1" containsInteger="1" minValue="0" maxValue="288" count="6">
        <n v="0"/>
        <n v="4"/>
        <n v="24"/>
        <n v="48"/>
        <n v="288"/>
        <m/>
      </sharedItems>
    </cacheField>
    <cacheField name="image_Number" numFmtId="0">
      <sharedItems containsBlank="1"/>
    </cacheField>
    <cacheField name="roi" numFmtId="0">
      <sharedItems containsBlank="1"/>
    </cacheField>
    <cacheField name="image_Layer" numFmtId="0">
      <sharedItems containsBlank="1"/>
    </cacheField>
    <cacheField name="total_radiance_efficency" numFmtId="0">
      <sharedItems containsString="0" containsBlank="1" containsNumber="1" containsInteger="1" minValue="565000000" maxValue="476000000000"/>
    </cacheField>
    <cacheField name="avg_radiance_efficency" numFmtId="0">
      <sharedItems containsString="0" containsBlank="1" containsNumber="1" containsInteger="1" minValue="9090000" maxValue="2020000000"/>
    </cacheField>
    <cacheField name="stdev_radiance_efficency" numFmtId="0">
      <sharedItems containsString="0" containsBlank="1" containsNumber="1" containsInteger="1" minValue="3620000" maxValue="1730000000"/>
    </cacheField>
    <cacheField name="min_radiance_efficency" numFmtId="0">
      <sharedItems containsString="0" containsBlank="1" containsNumber="1" containsInteger="1" minValue="-167000000" maxValue="51100000"/>
    </cacheField>
    <cacheField name="max_radiance_efficency" numFmtId="0">
      <sharedItems containsString="0" containsBlank="1" containsNumber="1" containsInteger="1" minValue="34400000" maxValue="6230000000"/>
    </cacheField>
    <cacheField name="fold_change_within_animal" numFmtId="0">
      <sharedItems containsString="0" containsBlank="1" containsNumber="1" minValue="6.1651376146788991E-2" maxValue="54.965357967667437"/>
    </cacheField>
    <cacheField name="fold_change_within_tissue" numFmtId="0">
      <sharedItems containsString="0" containsBlank="1" containsNumber="1" minValue="0.31233766233766236" maxValue="68.2926829268292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x v="0"/>
    <s v="r105"/>
    <s v="control"/>
    <s v="irDye"/>
    <x v="0"/>
    <s v="yes"/>
    <s v="ex_vivo_irDye_colon_all_Times_horiz_1"/>
    <x v="0"/>
    <s v="SNH20230403191933_001"/>
    <s v="ROI 1"/>
    <s v="Overlay"/>
    <n v="3040000000"/>
    <n v="35500000"/>
    <n v="19400000"/>
    <n v="14400000"/>
    <n v="108000000"/>
    <m/>
    <m/>
  </r>
  <r>
    <x v="0"/>
    <s v="r118"/>
    <s v="pirc"/>
    <s v="irDye"/>
    <x v="0"/>
    <s v="yes"/>
    <s v="ex_vivo_irDye_colon_all_Times_horiz_1"/>
    <x v="1"/>
    <s v="SNH20230403191933_001"/>
    <s v="ROI 2"/>
    <s v="Overlay"/>
    <n v="35700000000"/>
    <n v="610000000"/>
    <n v="723000000"/>
    <n v="23600000"/>
    <n v="2250000000"/>
    <n v="6.1445783132530121"/>
    <n v="5.1219512195121952"/>
  </r>
  <r>
    <x v="0"/>
    <s v="r132"/>
    <s v="pirc"/>
    <s v="irDye"/>
    <x v="0"/>
    <s v="yes"/>
    <s v="ex_vivo_irDye_colon_all_Times_horiz_1"/>
    <x v="2"/>
    <s v="SNH20230403191933_001"/>
    <s v="ROI 3"/>
    <s v="Overlay"/>
    <n v="49400000000"/>
    <n v="507000000"/>
    <n v="988000000"/>
    <n v="21100000"/>
    <n v="4170000000"/>
    <n v="4.5321100917431192"/>
    <n v="6.8044077134986223"/>
  </r>
  <r>
    <x v="0"/>
    <s v="r157"/>
    <s v="pirc"/>
    <s v="irDye"/>
    <x v="0"/>
    <s v="yes"/>
    <s v="ex_vivo_irDye_colon_all_Times_horiz_1"/>
    <x v="3"/>
    <s v="SNH20230403191933_001"/>
    <s v="ROI 4"/>
    <s v="Overlay"/>
    <n v="87500000000"/>
    <n v="1320000000"/>
    <n v="1470000000"/>
    <n v="26700000"/>
    <n v="4530000000"/>
    <n v="11.528326745718051"/>
    <n v="11.467889908256881"/>
  </r>
  <r>
    <x v="0"/>
    <s v="r114"/>
    <s v="pirc"/>
    <s v="irDye"/>
    <x v="1"/>
    <s v="yes"/>
    <s v="ex_vivo_irDye_colon_all_Times_horiz_1"/>
    <x v="4"/>
    <s v="SNH20230403191933_001"/>
    <s v="ROI 5"/>
    <s v="Overlay"/>
    <n v="59400000000"/>
    <n v="1330000000"/>
    <n v="1300000000"/>
    <n v="23000000"/>
    <n v="4120000000"/>
    <n v="5.0338983050847457"/>
    <n v="6.1554404145077717"/>
  </r>
  <r>
    <x v="0"/>
    <s v="r105"/>
    <s v="control"/>
    <s v="irDye"/>
    <x v="0"/>
    <s v="yes"/>
    <s v="ex_vivo_irDye_colon_all_Times_horiz_2_post_cut_3"/>
    <x v="0"/>
    <s v="SNH20230403194701_001"/>
    <s v="ROI 1"/>
    <s v="Overlay"/>
    <n v="1830000000"/>
    <n v="30700000"/>
    <n v="18400000"/>
    <n v="11300000"/>
    <n v="95100000"/>
    <m/>
    <m/>
  </r>
  <r>
    <x v="0"/>
    <s v="r128"/>
    <m/>
    <s v="irDye"/>
    <x v="0"/>
    <s v="yes"/>
    <s v="ex_vivo_irDye_colon_all_Times_horiz_2_post_cut_3"/>
    <x v="1"/>
    <s v="SNH20230403194701_001"/>
    <s v="ROI 2"/>
    <s v="Overlay"/>
    <n v="32700000000"/>
    <n v="558000000"/>
    <n v="763000000"/>
    <n v="18100000"/>
    <n v="2480000000"/>
    <n v="4.3311258278145699"/>
    <n v="4.691535150645624"/>
  </r>
  <r>
    <x v="0"/>
    <s v="r163"/>
    <s v="pirc"/>
    <s v="irDye"/>
    <x v="0"/>
    <s v="yes"/>
    <s v="ex_vivo_irDye_colon_all_Times_horiz_2_post_cut_3"/>
    <x v="2"/>
    <s v="SNH20230403194701_001"/>
    <s v="ROI 3"/>
    <s v="Overlay"/>
    <n v="37800000000"/>
    <n v="478000000"/>
    <n v="649000000"/>
    <n v="18000000"/>
    <n v="2320000000"/>
    <n v="6.5739130434782611"/>
    <n v="5.2066115702479339"/>
  </r>
  <r>
    <x v="0"/>
    <s v="r111"/>
    <s v="pirc"/>
    <s v="irDye"/>
    <x v="0"/>
    <s v="yes"/>
    <s v="ex_vivo_irDye_colon_all_Times_horiz_2_post_cut_3"/>
    <x v="3"/>
    <s v="SNH20230403194701_001"/>
    <s v="ROI 4"/>
    <s v="Overlay"/>
    <n v="25700000000"/>
    <n v="721000000"/>
    <n v="901000000"/>
    <n v="20200000"/>
    <n v="3270000000"/>
    <n v="8.4539473684210531"/>
    <n v="3.3682830930537353"/>
  </r>
  <r>
    <x v="0"/>
    <s v="r112"/>
    <s v="pirc"/>
    <s v="irDye"/>
    <x v="1"/>
    <s v="yes"/>
    <s v="ex_vivo_irDye_colon_all_Times_horiz_2_post_cut_3"/>
    <x v="4"/>
    <s v="SNH20230403194701_001"/>
    <s v="ROI 5"/>
    <s v="Overlay"/>
    <n v="36100000000"/>
    <n v="844000000"/>
    <n v="866000000"/>
    <n v="17100000"/>
    <n v="2740000000"/>
    <n v="4.5294855708908406"/>
    <n v="3.7409326424870466"/>
  </r>
  <r>
    <x v="0"/>
    <s v="r101"/>
    <m/>
    <s v="texasRed"/>
    <x v="0"/>
    <s v="yes"/>
    <s v="ex_vivo_texasRed_colon_all_Times_horiz_1"/>
    <x v="0"/>
    <s v="SNH20230403200139_001"/>
    <s v="ROI 1"/>
    <s v="Overlay"/>
    <n v="2570000000"/>
    <n v="54400000"/>
    <n v="82000000"/>
    <n v="2550000"/>
    <n v="313000000"/>
    <m/>
    <m/>
  </r>
  <r>
    <x v="0"/>
    <s v="r130"/>
    <s v="pirc"/>
    <s v="texasRed"/>
    <x v="0"/>
    <s v="yes"/>
    <s v="ex_vivo_texasRed_colon_all_Times_horiz_1"/>
    <x v="1"/>
    <s v="SNH20230403200139_001"/>
    <s v="ROI 2"/>
    <s v="Overlay"/>
    <n v="6450000000"/>
    <n v="124000000"/>
    <n v="167000000"/>
    <n v="1390000"/>
    <n v="533000000"/>
    <n v="1.0173501577287065"/>
    <n v="0.92539454806312771"/>
  </r>
  <r>
    <x v="0"/>
    <s v="r109"/>
    <s v="pirc"/>
    <s v="texasRed"/>
    <x v="0"/>
    <s v="yes"/>
    <s v="ex_vivo_texasRed_colon_all_Times_horiz_1"/>
    <x v="2"/>
    <s v="SNH20230403200139_001"/>
    <s v="ROI 3"/>
    <s v="Overlay"/>
    <n v="14700000000"/>
    <n v="253000000"/>
    <n v="306000000"/>
    <n v="3390000"/>
    <n v="970000000"/>
    <n v="3.3182844243792324"/>
    <n v="2.0247933884297522"/>
  </r>
  <r>
    <x v="0"/>
    <s v="r108"/>
    <s v="pirc"/>
    <s v="texasRed"/>
    <x v="0"/>
    <s v="yes"/>
    <s v="ex_vivo_texasRed_colon_all_Times_horiz_1"/>
    <x v="3"/>
    <s v="SNH20230403200139_001"/>
    <s v="ROI 4"/>
    <s v="Overlay"/>
    <n v="44700000000"/>
    <n v="503000000"/>
    <n v="579000000"/>
    <n v="6610000"/>
    <n v="1930000000"/>
    <n v="10.252293577981652"/>
    <n v="5.8584534731323723"/>
  </r>
  <r>
    <x v="0"/>
    <s v="r115"/>
    <s v="pirc"/>
    <s v="texasRed"/>
    <x v="1"/>
    <s v="yes"/>
    <s v="ex_vivo_texasRed_colon_all_Times_horiz_1"/>
    <x v="4"/>
    <s v="SNH20230403200139_001"/>
    <s v="ROI 5"/>
    <s v="Overlay"/>
    <n v="13000000000"/>
    <n v="136000000"/>
    <n v="187000000"/>
    <n v="3650000"/>
    <n v="667000000"/>
    <n v="2.1885521885521886"/>
    <n v="1.3471502590673574"/>
  </r>
  <r>
    <x v="0"/>
    <s v="r101"/>
    <m/>
    <s v="texasRed"/>
    <x v="0"/>
    <s v="yes"/>
    <s v="ex_vivo_texasRed_colon_all_Times_horiz_2"/>
    <x v="0"/>
    <s v="SNH20230403201106_001"/>
    <s v="ROI 1"/>
    <s v="Overlay"/>
    <n v="2380000000"/>
    <n v="50200000"/>
    <n v="76700000"/>
    <n v="3570000"/>
    <n v="297000000"/>
    <m/>
    <m/>
  </r>
  <r>
    <x v="0"/>
    <s v="r118"/>
    <s v="pirc"/>
    <s v="texasRed"/>
    <x v="0"/>
    <s v="yes"/>
    <s v="ex_vivo_texasRed_colon_all_Times_horiz_2"/>
    <x v="1"/>
    <s v="SNH20230403201106_001"/>
    <s v="ROI 2"/>
    <s v="Overlay"/>
    <n v="9230000000"/>
    <n v="133000000"/>
    <n v="180000000"/>
    <n v="4000000"/>
    <n v="689000000"/>
    <n v="1.5886402753872633"/>
    <n v="1.3242467718794835"/>
  </r>
  <r>
    <x v="0"/>
    <s v="r110"/>
    <s v="pirc"/>
    <s v="texasRed"/>
    <x v="0"/>
    <s v="yes"/>
    <s v="ex_vivo_texasRed_colon_all_Times_horiz_2"/>
    <x v="2"/>
    <s v="SNH20230403201106_001"/>
    <s v="ROI 3"/>
    <s v="Overlay"/>
    <n v="10400000000"/>
    <n v="200000000"/>
    <n v="292000000"/>
    <n v="4640000"/>
    <n v="959000000"/>
    <n v="2.6804123711340204"/>
    <n v="1.4325068870523416"/>
  </r>
  <r>
    <x v="0"/>
    <s v="r107"/>
    <s v="pirc"/>
    <s v="texasRed"/>
    <x v="1"/>
    <s v="yes"/>
    <s v="ex_vivo_texasRed_colon_all_Times_horiz_2"/>
    <x v="3"/>
    <s v="SNH20230403201106_001"/>
    <s v="ROI 4"/>
    <s v="Overlay"/>
    <n v="16500000000"/>
    <n v="179000000"/>
    <n v="306000000"/>
    <n v="5460000"/>
    <n v="1060000000"/>
    <n v="4.7826086956521738"/>
    <n v="2.1625163826998688"/>
  </r>
  <r>
    <x v="0"/>
    <s v="r115"/>
    <s v="pirc"/>
    <s v="texasRed"/>
    <x v="1"/>
    <s v="yes"/>
    <s v="ex_vivo_texasRed_colon_all_Times_horiz_2"/>
    <x v="4"/>
    <s v="SNH20230403201106_001"/>
    <s v="ROI 5"/>
    <s v="Overlay"/>
    <n v="12200000000"/>
    <n v="124000000"/>
    <n v="177000000"/>
    <n v="4030000"/>
    <n v="647000000"/>
    <n v="2.0538720538720541"/>
    <n v="1.2642487046632125"/>
  </r>
  <r>
    <x v="1"/>
    <s v="r164"/>
    <m/>
    <s v="texasRed"/>
    <x v="0"/>
    <s v="yes"/>
    <s v="ex_vivo_texas_red_kidney"/>
    <x v="0"/>
    <s v="SNH20230403202738_001"/>
    <s v="ROI 1"/>
    <s v="Overlay"/>
    <n v="3660000000"/>
    <n v="123000000"/>
    <n v="93500000"/>
    <n v="5490000"/>
    <n v="311000000"/>
    <m/>
    <m/>
  </r>
  <r>
    <x v="1"/>
    <s v="r128"/>
    <m/>
    <s v="texasRed"/>
    <x v="0"/>
    <s v="yes"/>
    <s v="ex_vivo_texas_red_kidney"/>
    <x v="1"/>
    <s v="SNH20230403202738_001"/>
    <s v="ROI 2"/>
    <s v="Overlay"/>
    <n v="17400000000"/>
    <n v="583000000"/>
    <n v="490000000"/>
    <n v="3810000"/>
    <n v="1430000000"/>
    <n v="1.7058823529411764"/>
    <n v="1"/>
  </r>
  <r>
    <x v="1"/>
    <s v="r109"/>
    <s v="pirc"/>
    <s v="texasRed"/>
    <x v="0"/>
    <s v="yes"/>
    <s v="ex_vivo_texas_red_kidney"/>
    <x v="2"/>
    <s v="SNH20230403202738_001"/>
    <s v="ROI 3"/>
    <s v="Overlay"/>
    <n v="4340000000"/>
    <n v="107000000"/>
    <n v="89300000"/>
    <n v="2050000"/>
    <n v="264000000"/>
    <n v="0.97968397291196385"/>
    <n v="2.6144578313253013"/>
  </r>
  <r>
    <x v="1"/>
    <s v="r107"/>
    <s v="pirc"/>
    <s v="texasRed"/>
    <x v="0"/>
    <s v="yes"/>
    <s v="ex_vivo_texas_red_kidney"/>
    <x v="3"/>
    <s v="SNH20230403202738_001"/>
    <s v="ROI 4"/>
    <s v="Overlay"/>
    <n v="8600000000"/>
    <n v="188000000"/>
    <n v="147000000"/>
    <n v="2620000"/>
    <n v="503000000"/>
    <n v="2.4927536231884058"/>
    <n v="2.8571428571428572"/>
  </r>
  <r>
    <x v="1"/>
    <s v="r112"/>
    <s v="pirc"/>
    <s v="texasRed"/>
    <x v="0"/>
    <s v="yes"/>
    <s v="ex_vivo_texas_red_kidney"/>
    <x v="4"/>
    <s v="SNH20230403202738_001"/>
    <s v="ROI 5"/>
    <s v="Overlay"/>
    <n v="1400000000"/>
    <n v="38600000"/>
    <n v="27000000"/>
    <n v="1640000"/>
    <n v="99000000"/>
    <n v="0.17565872020075282"/>
    <m/>
  </r>
  <r>
    <x v="1"/>
    <s v="r105"/>
    <s v="control"/>
    <s v="texasRed"/>
    <x v="0"/>
    <s v="yes"/>
    <s v="ex_vivo_texas_red_kidney"/>
    <x v="0"/>
    <s v="SNH20230403202738_001"/>
    <s v="ROI 6"/>
    <s v="Overlay"/>
    <n v="2320000000"/>
    <n v="75100000"/>
    <n v="49300000"/>
    <n v="1590000"/>
    <n v="221000000"/>
    <m/>
    <m/>
  </r>
  <r>
    <x v="1"/>
    <s v="r130"/>
    <s v="pirc"/>
    <s v="texasRed"/>
    <x v="0"/>
    <s v="yes"/>
    <s v="ex_vivo_texas_red_kidney"/>
    <x v="1"/>
    <s v="SNH20230403202738_001"/>
    <s v="ROI 7"/>
    <s v="Overlay"/>
    <n v="13400000000"/>
    <n v="449000000"/>
    <n v="477000000"/>
    <n v="3280000"/>
    <n v="1500000000"/>
    <n v="2.1135646687697163"/>
    <n v="0.77011494252873558"/>
  </r>
  <r>
    <x v="1"/>
    <s v="r110"/>
    <s v="pirc"/>
    <s v="texasRed"/>
    <x v="0"/>
    <s v="yes"/>
    <s v="ex_vivo_texas_red_kidney"/>
    <x v="2"/>
    <s v="SNH20230403202738_001"/>
    <s v="ROI 8"/>
    <s v="Overlay"/>
    <n v="4310000000"/>
    <n v="145000000"/>
    <n v="122000000"/>
    <n v="2710000"/>
    <n v="393000000"/>
    <n v="1.1108247422680413"/>
    <n v="2.5963855421686746"/>
  </r>
  <r>
    <x v="1"/>
    <s v="r108"/>
    <s v="pirc"/>
    <s v="texasRed"/>
    <x v="0"/>
    <s v="yes"/>
    <s v="ex_vivo_texas_red_kidney"/>
    <x v="3"/>
    <s v="SNH20230403202738_001"/>
    <s v="ROI 9"/>
    <s v="Overlay"/>
    <n v="9180000000"/>
    <n v="308000000"/>
    <n v="224000000"/>
    <n v="1960000"/>
    <n v="700000000"/>
    <n v="2.1055045871559632"/>
    <n v="3.0498338870431896"/>
  </r>
  <r>
    <x v="1"/>
    <s v="r113"/>
    <s v="pirc"/>
    <s v="texasRed"/>
    <x v="0"/>
    <s v="yes"/>
    <s v="ex_vivo_texas_red_kidney"/>
    <x v="4"/>
    <s v="SNH20230403202738_001"/>
    <s v="ROI 10"/>
    <s v="Overlay"/>
    <n v="1060000000"/>
    <n v="35500000"/>
    <n v="24300000"/>
    <n v="1920000"/>
    <n v="75900000"/>
    <n v="0.17785234899328858"/>
    <m/>
  </r>
  <r>
    <x v="1"/>
    <s v="r164"/>
    <m/>
    <s v="irDye"/>
    <x v="0"/>
    <s v="yes"/>
    <s v="ex_vivo_irDye_kidney_1"/>
    <x v="0"/>
    <s v="SNH20230403203406_001"/>
    <s v="ROI 1"/>
    <s v="Overlay"/>
    <n v="3390000000"/>
    <n v="89200000"/>
    <n v="51500000"/>
    <n v="28700000"/>
    <n v="212000000"/>
    <m/>
    <m/>
  </r>
  <r>
    <x v="1"/>
    <s v="r130"/>
    <s v="pirc"/>
    <s v="irDye"/>
    <x v="0"/>
    <s v="yes"/>
    <s v="ex_vivo_irDye_kidney_1"/>
    <x v="1"/>
    <s v="SNH20230403203406_001"/>
    <s v="ROI 2"/>
    <s v="Overlay"/>
    <n v="5790000000"/>
    <n v="152000000"/>
    <n v="91600000"/>
    <n v="46900000"/>
    <n v="348000000"/>
    <n v="0.91324921135646686"/>
    <n v="0.33275862068965517"/>
  </r>
  <r>
    <x v="1"/>
    <s v="r110"/>
    <s v="pirc"/>
    <s v="irDye"/>
    <x v="1"/>
    <s v="yes"/>
    <s v="ex_vivo_irDye_kidney_1"/>
    <x v="2"/>
    <s v="SNH20230403203406_001"/>
    <s v="ROI 3"/>
    <s v="Overlay"/>
    <n v="75100000000"/>
    <n v="1440000000"/>
    <n v="1730000000"/>
    <n v="51100000"/>
    <n v="4690000000"/>
    <n v="19.355670103092784"/>
    <n v="45.24096385542169"/>
  </r>
  <r>
    <x v="1"/>
    <s v="r107"/>
    <s v="pirc"/>
    <s v="irDye"/>
    <x v="1"/>
    <s v="yes"/>
    <s v="ex_vivo_irDye_kidney_1"/>
    <x v="3"/>
    <s v="SNH20230403203406_001"/>
    <s v="ROI 4"/>
    <s v="Overlay"/>
    <n v="47500000000"/>
    <n v="1480000000"/>
    <n v="1690000000"/>
    <n v="43300000"/>
    <n v="5130000000"/>
    <n v="13.768115942028986"/>
    <n v="15.780730897009967"/>
  </r>
  <r>
    <x v="1"/>
    <s v="r113"/>
    <s v="pirc"/>
    <s v="irDye"/>
    <x v="0"/>
    <s v="yes"/>
    <s v="ex_vivo_irDye_kidney_1"/>
    <x v="4"/>
    <s v="SNH20230403203406_001"/>
    <s v="ROI 5"/>
    <s v="Overlay"/>
    <n v="46000000000"/>
    <n v="1350000000"/>
    <n v="1280000000"/>
    <n v="40100000"/>
    <n v="3820000000"/>
    <n v="7.7181208053691277"/>
    <m/>
  </r>
  <r>
    <x v="1"/>
    <s v="r164"/>
    <m/>
    <s v="irDye"/>
    <x v="0"/>
    <s v="yes"/>
    <s v="ex_vivo_irDye_kidney_2"/>
    <x v="0"/>
    <s v="SNH20230403204139_001"/>
    <s v="ROI 1"/>
    <s v="Overlay"/>
    <n v="2180000000"/>
    <n v="70700000"/>
    <n v="48400000"/>
    <n v="15800000"/>
    <n v="164000000"/>
    <m/>
    <m/>
  </r>
  <r>
    <x v="1"/>
    <s v="r118"/>
    <s v="pirc"/>
    <s v="irDye"/>
    <x v="0"/>
    <s v="yes"/>
    <s v="ex_vivo_irDye_kidney_2"/>
    <x v="1"/>
    <s v="SNH20230403204139_001"/>
    <s v="ROI 2"/>
    <s v="Overlay"/>
    <n v="38900000000"/>
    <n v="1100000000"/>
    <n v="878000000"/>
    <n v="17300000"/>
    <n v="2480000000"/>
    <n v="6.6953528399311528"/>
    <n v="2.235632183908046"/>
  </r>
  <r>
    <x v="1"/>
    <s v="r163"/>
    <s v="pirc"/>
    <s v="irDye"/>
    <x v="1"/>
    <s v="yes"/>
    <s v="ex_vivo_irDye_kidney_2"/>
    <x v="2"/>
    <s v="SNH20230403204139_001"/>
    <s v="ROI 3"/>
    <s v="Overlay"/>
    <n v="60000000000"/>
    <n v="2020000000"/>
    <n v="1580000000"/>
    <n v="24200000"/>
    <n v="4200000000"/>
    <n v="10.434782608695652"/>
    <n v="36.144578313253014"/>
  </r>
  <r>
    <x v="1"/>
    <s v="r157"/>
    <s v="pirc"/>
    <s v="irDye"/>
    <x v="0"/>
    <s v="yes"/>
    <s v="ex_vivo_irDye_kidney_2"/>
    <x v="3"/>
    <s v="SNH20230403204139_001"/>
    <s v="ROI 4"/>
    <s v="Overlay"/>
    <n v="41100000000"/>
    <n v="1380000000"/>
    <n v="1530000000"/>
    <n v="20000000"/>
    <n v="4670000000"/>
    <n v="5.4150197628458496"/>
    <n v="13.654485049833887"/>
  </r>
  <r>
    <x v="1"/>
    <s v="r114"/>
    <s v="pirc"/>
    <s v="irDye"/>
    <x v="0"/>
    <s v="yes"/>
    <s v="ex_vivo_irDye_kidney_2"/>
    <x v="4"/>
    <s v="SNH20230403204139_001"/>
    <s v="ROI 5"/>
    <s v="Overlay"/>
    <n v="40900000000"/>
    <n v="1370000000"/>
    <n v="1180000000"/>
    <n v="20500000"/>
    <n v="3600000000"/>
    <n v="3.4661016949152543"/>
    <m/>
  </r>
  <r>
    <x v="0"/>
    <s v="r112"/>
    <s v="pirc"/>
    <s v="irDye"/>
    <x v="0"/>
    <s v="no"/>
    <s v="ex_viv_irDye_7days"/>
    <x v="4"/>
    <s v="SNH20230403185659_001"/>
    <s v="ROI 1"/>
    <s v="Overlay"/>
    <n v="330000000000"/>
    <n v="1380000000"/>
    <n v="1500000000"/>
    <n v="30900000"/>
    <n v="6230000000"/>
    <n v="41.405269761606021"/>
    <n v="34.196891191709845"/>
  </r>
  <r>
    <x v="0"/>
    <s v="r113"/>
    <s v="pirc"/>
    <s v="irDye"/>
    <x v="0"/>
    <s v="no"/>
    <s v="ex_viv_irDye_7days"/>
    <x v="4"/>
    <s v="SNH20230403185659_001"/>
    <s v="ROI 2"/>
    <s v="Overlay"/>
    <n v="186000000000"/>
    <n v="836000000"/>
    <n v="1080000000"/>
    <n v="30700000"/>
    <n v="4330000000"/>
    <n v="31.208053691275168"/>
    <n v="19.274611398963732"/>
  </r>
  <r>
    <x v="0"/>
    <s v="r114"/>
    <s v="pirc"/>
    <s v="irDye"/>
    <x v="0"/>
    <s v="no"/>
    <s v="ex_viv_irDye_7days"/>
    <x v="4"/>
    <s v="SNH20230403185659_001"/>
    <s v="ROI 3"/>
    <s v="Overlay"/>
    <n v="340000000000"/>
    <n v="1200000000"/>
    <n v="1350000000"/>
    <n v="30700000"/>
    <n v="5000000000"/>
    <n v="28.8135593220339"/>
    <n v="35.233160621761655"/>
  </r>
  <r>
    <x v="0"/>
    <s v="r111"/>
    <s v="pirc"/>
    <s v="irDye"/>
    <x v="0"/>
    <s v="no"/>
    <s v="ex_vivo_irDye_48hr"/>
    <x v="3"/>
    <s v="SNH20230403183542_001"/>
    <s v="ROI 1"/>
    <s v="Overlay"/>
    <n v="116000000000"/>
    <n v="425000000"/>
    <n v="640000000"/>
    <n v="17400000"/>
    <n v="3400000000"/>
    <n v="38.157894736842103"/>
    <n v="15.203145478374836"/>
  </r>
  <r>
    <x v="0"/>
    <s v="r157"/>
    <s v="pirc"/>
    <s v="irDye"/>
    <x v="0"/>
    <s v="no"/>
    <s v="ex_vivo_irDye_48hr"/>
    <x v="3"/>
    <s v="SNH20230403183542_001"/>
    <s v="ROI 2"/>
    <s v="Overlay"/>
    <n v="402000000000"/>
    <n v="1320000000"/>
    <n v="1470000000"/>
    <n v="20500000"/>
    <n v="5350000000"/>
    <n v="52.964426877470359"/>
    <n v="52.686762778505894"/>
  </r>
  <r>
    <x v="0"/>
    <s v="r132"/>
    <s v="pirc"/>
    <s v="irDye"/>
    <x v="0"/>
    <s v="no"/>
    <s v="ex_vivo_irDye_48hr"/>
    <x v="2"/>
    <s v="SNH20230403182458_001"/>
    <s v="ROI 1"/>
    <s v="Overlay"/>
    <n v="218000000000"/>
    <n v="718000000"/>
    <n v="871000000"/>
    <n v="19300000"/>
    <n v="3460000000"/>
    <n v="20"/>
    <n v="30.02754820936639"/>
  </r>
  <r>
    <x v="0"/>
    <s v="r163"/>
    <s v="pirc"/>
    <s v="irDye"/>
    <x v="0"/>
    <s v="no"/>
    <s v="ex_vivo_irDye_48hr"/>
    <x v="2"/>
    <s v="SNH20230403182458_001"/>
    <s v="ROI 2"/>
    <s v="Overlay"/>
    <n v="238000000000"/>
    <n v="934000000"/>
    <n v="1140000000"/>
    <n v="22100000"/>
    <n v="5810000000"/>
    <n v="41.391304347826086"/>
    <n v="32.782369146005507"/>
  </r>
  <r>
    <x v="0"/>
    <s v="r118"/>
    <s v="pirc"/>
    <s v="texasRed"/>
    <x v="0"/>
    <s v="no"/>
    <s v="ex_vivo_texasRed_4hr"/>
    <x v="1"/>
    <s v="SNH20230403180218_001"/>
    <s v="ROI 1"/>
    <s v="Overlay"/>
    <n v="69700000000"/>
    <n v="329000000"/>
    <n v="298000000"/>
    <n v="2100000"/>
    <n v="1120000000"/>
    <n v="11.996557659208262"/>
    <n v="10"/>
  </r>
  <r>
    <x v="0"/>
    <s v="r128"/>
    <m/>
    <s v="texasRed"/>
    <x v="0"/>
    <s v="no"/>
    <s v="ex_vivo_texasRed_4hr"/>
    <x v="1"/>
    <s v="SNH20230403180218_001"/>
    <s v="ROI 2"/>
    <s v="Overlay"/>
    <n v="180000000000"/>
    <n v="1010000000"/>
    <n v="986000000"/>
    <n v="11200000"/>
    <n v="3180000000"/>
    <n v="17.647058823529413"/>
    <n v="25.82496413199426"/>
  </r>
  <r>
    <x v="0"/>
    <s v="r130"/>
    <s v="pirc"/>
    <s v="texasRed"/>
    <x v="0"/>
    <s v="no"/>
    <s v="ex_vivo_texasRed_4hr"/>
    <x v="1"/>
    <s v="SNH20230403180218_001"/>
    <s v="ROI 3"/>
    <s v="Overlay"/>
    <n v="89400000000"/>
    <n v="550000000"/>
    <n v="549000000"/>
    <n v="11500000"/>
    <n v="2130000000"/>
    <n v="14.100946372239747"/>
    <n v="12.826398852223816"/>
  </r>
  <r>
    <x v="0"/>
    <s v="r129"/>
    <s v="pirc"/>
    <s v="texasRed"/>
    <x v="1"/>
    <s v="no"/>
    <s v="ex_vivo_texasRed_4hr"/>
    <x v="1"/>
    <s v="SNH20230403180218_001"/>
    <s v="ROI 4"/>
    <s v="Overlay"/>
    <n v="476000000000"/>
    <n v="1510000000"/>
    <n v="1730000000"/>
    <n v="-167000000"/>
    <n v="6100000000"/>
    <n v="54.965357967667437"/>
    <n v="68.292682926829272"/>
  </r>
  <r>
    <x v="0"/>
    <s v="r109"/>
    <s v="pirc"/>
    <s v="texasRed"/>
    <x v="0"/>
    <s v="no"/>
    <s v="ex_vivo_texasRed_24hr"/>
    <x v="2"/>
    <s v="SNH20230403181714_001"/>
    <s v="ROI 2"/>
    <s v="Overlay"/>
    <n v="27700000000"/>
    <n v="227000000"/>
    <n v="280000000"/>
    <n v="3570000"/>
    <n v="971000000"/>
    <n v="6.2528216704288937"/>
    <n v="3.8154269972451789"/>
  </r>
  <r>
    <x v="0"/>
    <s v="r110"/>
    <s v="pirc"/>
    <s v="texasRed"/>
    <x v="0"/>
    <s v="no"/>
    <s v="ex_vivo_texasRed_24hr"/>
    <x v="2"/>
    <s v="SNH20230403181714_001"/>
    <s v="ROI 3"/>
    <s v="Overlay"/>
    <n v="69000000000"/>
    <n v="260000000"/>
    <n v="281000000"/>
    <n v="2920000"/>
    <n v="1100000000"/>
    <n v="17.783505154639176"/>
    <n v="9.5041322314049594"/>
  </r>
  <r>
    <x v="0"/>
    <s v="r132"/>
    <s v="pirc"/>
    <s v="texasRed"/>
    <x v="0"/>
    <s v="no"/>
    <s v="ex_vivo_texasRed_24hr"/>
    <x v="2"/>
    <s v="SNH20230403181714_001"/>
    <s v="ROI 4"/>
    <s v="Overlay"/>
    <n v="31400000000"/>
    <n v="107000000"/>
    <n v="134000000"/>
    <n v="2490000"/>
    <n v="583000000"/>
    <n v="2.8807339449541285"/>
    <n v="4.3250688705234159"/>
  </r>
  <r>
    <x v="0"/>
    <s v="r107"/>
    <s v="pirc"/>
    <s v="texasRed"/>
    <x v="0"/>
    <s v="no"/>
    <s v="ex_vivo_texasRed_48hr"/>
    <x v="3"/>
    <s v="SNH20230403183725_001"/>
    <s v="ROI 1"/>
    <s v="Overlay"/>
    <n v="33200000000"/>
    <n v="425000000"/>
    <n v="334000000"/>
    <n v="11400000"/>
    <n v="1380000000"/>
    <n v="9.6231884057971016"/>
    <n v="4.3512450851900395"/>
  </r>
  <r>
    <x v="0"/>
    <s v="r108"/>
    <s v="pirc"/>
    <s v="texasRed"/>
    <x v="0"/>
    <s v="no"/>
    <s v="ex_vivo_texasRed_48hr"/>
    <x v="3"/>
    <s v="SNH20230403183725_001"/>
    <s v="ROI 2"/>
    <s v="Overlay"/>
    <n v="53700000000"/>
    <n v="428000000"/>
    <n v="537000000"/>
    <n v="4020000"/>
    <n v="1850000000"/>
    <n v="12.31651376146789"/>
    <n v="7.0380078636959373"/>
  </r>
  <r>
    <x v="2"/>
    <s v="r101"/>
    <s v="control"/>
    <s v="texasRed"/>
    <x v="1"/>
    <s v="no"/>
    <s v="ex_vivo_texasRed_4hr"/>
    <x v="1"/>
    <s v="SNH20230403180218_001"/>
    <s v="ROI 25"/>
    <s v="Overlay"/>
    <n v="15800000000"/>
    <n v="130000000"/>
    <n v="149000000"/>
    <n v="6640000"/>
    <n v="543000000"/>
    <n v="6.5020576131687244"/>
    <n v="2.2668579626972742"/>
  </r>
  <r>
    <x v="3"/>
    <s v="r101"/>
    <s v="control"/>
    <s v="texasRed"/>
    <x v="0"/>
    <s v="no"/>
    <s v="ex_vivo_texasRed_4hr"/>
    <x v="1"/>
    <s v="SNH20230403180218_001"/>
    <s v="ROI 5"/>
    <s v="Overlay"/>
    <n v="2430000000"/>
    <n v="45900000"/>
    <n v="49900000"/>
    <n v="8030000"/>
    <n v="220000000"/>
    <n v="1"/>
    <m/>
  </r>
  <r>
    <x v="3"/>
    <s v="r129"/>
    <s v="pirc"/>
    <s v="texasRed"/>
    <x v="0"/>
    <s v="no"/>
    <s v="ex_vivo_texasRed_4hr"/>
    <x v="1"/>
    <s v="SNH20230403180218_001"/>
    <s v="ROI 6"/>
    <s v="Overlay"/>
    <n v="8660000000"/>
    <n v="273000000"/>
    <n v="329000000"/>
    <n v="8420000"/>
    <n v="997000000"/>
    <n v="1"/>
    <m/>
  </r>
  <r>
    <x v="3"/>
    <s v="r130"/>
    <s v="pirc"/>
    <s v="texasRed"/>
    <x v="0"/>
    <s v="no"/>
    <s v="ex_vivo_texasRed_4hr"/>
    <x v="1"/>
    <s v="SNH20230403180218_001"/>
    <s v="ROI 7"/>
    <s v="Overlay"/>
    <n v="6340000000"/>
    <n v="182000000"/>
    <n v="186000000"/>
    <n v="9610000"/>
    <n v="642000000"/>
    <n v="1"/>
    <m/>
  </r>
  <r>
    <x v="3"/>
    <s v="r128"/>
    <m/>
    <s v="texasRed"/>
    <x v="0"/>
    <s v="no"/>
    <s v="ex_vivo_texasRed_4hr"/>
    <x v="1"/>
    <s v="SNH20230403180218_001"/>
    <s v="ROI 8"/>
    <s v="Overlay"/>
    <n v="7550000000"/>
    <n v="210000000"/>
    <n v="259000000"/>
    <n v="14300000"/>
    <n v="939000000"/>
    <n v="0.74019607843137258"/>
    <m/>
  </r>
  <r>
    <x v="3"/>
    <s v="r118"/>
    <s v="pirc"/>
    <s v="texasRed"/>
    <x v="0"/>
    <s v="no"/>
    <s v="ex_vivo_texasRed_4hr"/>
    <x v="1"/>
    <s v="SNH20230403180218_001"/>
    <s v="ROI 9"/>
    <s v="Overlay"/>
    <n v="5810000000"/>
    <n v="147000000"/>
    <n v="153000000"/>
    <n v="4510000"/>
    <n v="477000000"/>
    <n v="1"/>
    <m/>
  </r>
  <r>
    <x v="4"/>
    <s v="r101"/>
    <s v="control"/>
    <s v="texasRed"/>
    <x v="0"/>
    <s v="no"/>
    <s v="ex_vivo_texasRed_4hr"/>
    <x v="1"/>
    <s v="SNH20230403180218_001"/>
    <s v="ROI 10"/>
    <s v="Overlay"/>
    <n v="1080000000"/>
    <n v="21400000"/>
    <n v="8200000"/>
    <n v="4060000"/>
    <n v="52900000"/>
    <n v="0.44444444444444442"/>
    <m/>
  </r>
  <r>
    <x v="4"/>
    <s v="r129"/>
    <s v="pirc"/>
    <s v="texasRed"/>
    <x v="0"/>
    <s v="no"/>
    <s v="ex_vivo_texasRed_4hr"/>
    <x v="1"/>
    <s v="SNH20230403180218_001"/>
    <s v="ROI 11"/>
    <s v="Overlay"/>
    <n v="7610000000"/>
    <n v="103000000"/>
    <n v="100000000"/>
    <n v="7480000"/>
    <n v="446000000"/>
    <n v="0.8787528868360277"/>
    <m/>
  </r>
  <r>
    <x v="4"/>
    <s v="r130"/>
    <s v="pirc"/>
    <s v="texasRed"/>
    <x v="0"/>
    <s v="no"/>
    <s v="ex_vivo_texasRed_4hr"/>
    <x v="1"/>
    <s v="SNH20230403180218_001"/>
    <s v="ROI 12"/>
    <s v="Overlay"/>
    <n v="5750000000"/>
    <n v="108000000"/>
    <n v="74100000"/>
    <n v="10200000"/>
    <n v="272000000"/>
    <n v="0.90694006309148267"/>
    <m/>
  </r>
  <r>
    <x v="4"/>
    <s v="r128"/>
    <m/>
    <s v="texasRed"/>
    <x v="0"/>
    <s v="no"/>
    <s v="ex_vivo_texasRed_4hr"/>
    <x v="1"/>
    <s v="SNH20230403180218_001"/>
    <s v="ROI 13"/>
    <s v="Overlay"/>
    <n v="8560000000"/>
    <n v="141000000"/>
    <n v="129000000"/>
    <n v="9720000"/>
    <n v="736000000"/>
    <n v="0.83921568627450982"/>
    <m/>
  </r>
  <r>
    <x v="4"/>
    <s v="r118"/>
    <s v="pirc"/>
    <s v="texasRed"/>
    <x v="0"/>
    <s v="no"/>
    <s v="ex_vivo_texasRed_4hr"/>
    <x v="1"/>
    <s v="SNH20230403180218_001"/>
    <s v="ROI 14"/>
    <s v="Overlay"/>
    <n v="5640000000"/>
    <n v="72600000"/>
    <n v="54500000"/>
    <n v="5880000"/>
    <n v="211000000"/>
    <n v="0.97074010327022375"/>
    <m/>
  </r>
  <r>
    <x v="5"/>
    <s v="r101"/>
    <s v="control"/>
    <s v="texasRed"/>
    <x v="0"/>
    <s v="no"/>
    <s v="ex_vivo_texasRed_4hr"/>
    <x v="1"/>
    <s v="SNH20230403180218_001"/>
    <s v="ROI 15"/>
    <s v="Overlay"/>
    <n v="830000000"/>
    <n v="26500000"/>
    <n v="22000000"/>
    <n v="5690000"/>
    <n v="117000000"/>
    <n v="0.34156378600823045"/>
    <m/>
  </r>
  <r>
    <x v="5"/>
    <s v="r129"/>
    <s v="pirc"/>
    <s v="texasRed"/>
    <x v="0"/>
    <s v="no"/>
    <s v="ex_vivo_texasRed_4hr"/>
    <x v="1"/>
    <s v="SNH20230403180218_001"/>
    <s v="ROI 16"/>
    <s v="Overlay"/>
    <n v="5660000000"/>
    <n v="137000000"/>
    <n v="189000000"/>
    <n v="10000000"/>
    <n v="877000000"/>
    <n v="0.6535796766743649"/>
    <m/>
  </r>
  <r>
    <x v="5"/>
    <s v="r130"/>
    <s v="pirc"/>
    <s v="texasRed"/>
    <x v="0"/>
    <s v="no"/>
    <s v="ex_vivo_texasRed_4hr"/>
    <x v="1"/>
    <s v="SNH20230403180218_001"/>
    <s v="ROI 17"/>
    <s v="Overlay"/>
    <n v="1720000000"/>
    <n v="37400000"/>
    <n v="43200000"/>
    <n v="7330000"/>
    <n v="205000000"/>
    <n v="0.27129337539432175"/>
    <m/>
  </r>
  <r>
    <x v="5"/>
    <s v="r128"/>
    <m/>
    <s v="texasRed"/>
    <x v="0"/>
    <s v="no"/>
    <s v="ex_vivo_texasRed_4hr"/>
    <x v="1"/>
    <s v="SNH20230403180218_001"/>
    <s v="ROI 18"/>
    <s v="Overlay"/>
    <n v="2220000000"/>
    <n v="52000000"/>
    <n v="63200000"/>
    <n v="6210000"/>
    <n v="447000000"/>
    <n v="0.21764705882352942"/>
    <m/>
  </r>
  <r>
    <x v="5"/>
    <s v="r118"/>
    <s v="pirc"/>
    <s v="texasRed"/>
    <x v="0"/>
    <s v="no"/>
    <s v="ex_vivo_texasRed_4hr"/>
    <x v="1"/>
    <s v="SNH20230403180218_001"/>
    <s v="ROI 19"/>
    <s v="Overlay"/>
    <n v="2420000000"/>
    <n v="34400000"/>
    <n v="42100000"/>
    <n v="3430000"/>
    <n v="339000000"/>
    <n v="0.41652323580034423"/>
    <m/>
  </r>
  <r>
    <x v="6"/>
    <s v="r101"/>
    <s v="control"/>
    <s v="texasRed"/>
    <x v="0"/>
    <s v="no"/>
    <s v="ex_vivo_texasRed_4hr"/>
    <x v="1"/>
    <s v="SNH20230403180218_001"/>
    <s v="ROI 20"/>
    <s v="Overlay"/>
    <n v="4430000000"/>
    <n v="81800000"/>
    <n v="67300000"/>
    <n v="5330000"/>
    <n v="259000000"/>
    <n v="1.823045267489712"/>
    <n v="1"/>
  </r>
  <r>
    <x v="6"/>
    <s v="r129"/>
    <s v="pirc"/>
    <s v="texasRed"/>
    <x v="0"/>
    <s v="no"/>
    <s v="ex_vivo_texasRed_4hr"/>
    <x v="1"/>
    <s v="SNH20230403180218_001"/>
    <s v="ROI 21"/>
    <s v="Overlay"/>
    <n v="36300000000"/>
    <n v="662000000"/>
    <n v="715000000"/>
    <n v="11200000"/>
    <n v="1940000000"/>
    <n v="4.1916859122401844"/>
    <n v="8.1941309255079009"/>
  </r>
  <r>
    <x v="6"/>
    <s v="r130"/>
    <s v="pirc"/>
    <s v="texasRed"/>
    <x v="0"/>
    <s v="no"/>
    <s v="ex_vivo_texasRed_4hr"/>
    <x v="1"/>
    <s v="SNH20230403180218_001"/>
    <s v="ROI 22"/>
    <s v="Overlay"/>
    <n v="21000000000"/>
    <n v="373000000"/>
    <n v="342000000"/>
    <n v="9410000"/>
    <n v="1270000000"/>
    <n v="3.3123028391167191"/>
    <n v="4.7404063205417604"/>
  </r>
  <r>
    <x v="6"/>
    <s v="r128"/>
    <m/>
    <s v="texasRed"/>
    <x v="0"/>
    <s v="no"/>
    <s v="ex_vivo_texasRed_4hr"/>
    <x v="1"/>
    <s v="SNH20230403180218_001"/>
    <s v="ROI 23"/>
    <s v="Overlay"/>
    <n v="34300000000"/>
    <n v="645000000"/>
    <n v="590000000"/>
    <n v="13800000"/>
    <n v="1780000000"/>
    <n v="3.3627450980392157"/>
    <n v="7.7426636568848757"/>
  </r>
  <r>
    <x v="6"/>
    <s v="r118"/>
    <s v="pirc"/>
    <s v="texasRed"/>
    <x v="0"/>
    <s v="no"/>
    <s v="ex_vivo_texasRed_4hr"/>
    <x v="1"/>
    <s v="SNH20230403180218_001"/>
    <s v="ROI 24"/>
    <s v="Overlay"/>
    <n v="43900000000"/>
    <n v="396000000"/>
    <n v="259000000"/>
    <n v="6060000"/>
    <n v="836000000"/>
    <n v="7.555938037865749"/>
    <n v="9.9097065462753946"/>
  </r>
  <r>
    <x v="3"/>
    <s v="r102"/>
    <s v="control"/>
    <s v="texasRed"/>
    <x v="0"/>
    <s v="no"/>
    <s v="ex_vivo_texasRed_24hr"/>
    <x v="2"/>
    <s v="SNH20230403181714_001"/>
    <s v="ROI 5"/>
    <s v="Overlay"/>
    <n v="2610000000"/>
    <n v="147000000"/>
    <n v="138000000"/>
    <n v="6840000"/>
    <n v="524000000"/>
    <n v="1"/>
    <m/>
  </r>
  <r>
    <x v="3"/>
    <s v="r163"/>
    <s v="pirc"/>
    <s v="texasRed"/>
    <x v="0"/>
    <s v="no"/>
    <s v="ex_vivo_texasRed_24hr"/>
    <x v="2"/>
    <s v="SNH20230403181714_001"/>
    <s v="ROI 6"/>
    <s v="Overlay"/>
    <n v="565000000"/>
    <n v="17900000"/>
    <n v="10200000"/>
    <n v="6280000"/>
    <n v="58600000"/>
    <n v="9.8260869565217387E-2"/>
    <m/>
  </r>
  <r>
    <x v="3"/>
    <s v="r132"/>
    <s v="pirc"/>
    <s v="texasRed"/>
    <x v="0"/>
    <s v="no"/>
    <s v="ex_vivo_texasRed_24hr"/>
    <x v="2"/>
    <s v="SNH20230403181714_001"/>
    <s v="ROI 7"/>
    <s v="Overlay"/>
    <n v="1530000000"/>
    <n v="44000000"/>
    <n v="44200000"/>
    <n v="3440000"/>
    <n v="223000000"/>
    <n v="0.14036697247706423"/>
    <m/>
  </r>
  <r>
    <x v="3"/>
    <s v="r110"/>
    <s v="pirc"/>
    <s v="texasRed"/>
    <x v="0"/>
    <s v="no"/>
    <s v="ex_vivo_texasRed_24hr"/>
    <x v="2"/>
    <s v="SNH20230403181714_001"/>
    <s v="ROI 8"/>
    <s v="Overlay"/>
    <n v="3880000000"/>
    <n v="87900000"/>
    <n v="110000000"/>
    <n v="8250000"/>
    <n v="383000000"/>
    <n v="1"/>
    <m/>
  </r>
  <r>
    <x v="3"/>
    <s v="r109"/>
    <s v="pirc"/>
    <s v="texasRed"/>
    <x v="0"/>
    <s v="no"/>
    <s v="ex_vivo_texasRed_24hr"/>
    <x v="2"/>
    <s v="SNH20230403181714_001"/>
    <s v="ROI 9"/>
    <s v="Overlay"/>
    <n v="4430000000"/>
    <n v="111000000"/>
    <n v="133000000"/>
    <n v="3260000"/>
    <n v="420000000"/>
    <n v="1"/>
    <m/>
  </r>
  <r>
    <x v="4"/>
    <s v="r102"/>
    <s v="control"/>
    <s v="texasRed"/>
    <x v="0"/>
    <s v="no"/>
    <s v="ex_vivo_texasRed_24hr"/>
    <x v="2"/>
    <s v="SNH20230403181714_001"/>
    <s v="ROI 10"/>
    <s v="Overlay"/>
    <n v="1880000000"/>
    <n v="32600000"/>
    <n v="22800000"/>
    <n v="5080000"/>
    <n v="173000000"/>
    <n v="0.72030651340996166"/>
    <m/>
  </r>
  <r>
    <x v="4"/>
    <s v="r163"/>
    <s v="pirc"/>
    <s v="texasRed"/>
    <x v="0"/>
    <s v="no"/>
    <s v="ex_vivo_texasRed_24hr"/>
    <x v="2"/>
    <s v="SNH20230403181714_001"/>
    <s v="ROI 11"/>
    <s v="Overlay"/>
    <n v="879000000"/>
    <n v="14200000"/>
    <n v="4330000"/>
    <n v="6910000"/>
    <n v="52900000"/>
    <n v="0.15286956521739131"/>
    <m/>
  </r>
  <r>
    <x v="4"/>
    <s v="r132"/>
    <s v="pirc"/>
    <s v="texasRed"/>
    <x v="0"/>
    <s v="no"/>
    <s v="ex_vivo_texasRed_24hr"/>
    <x v="2"/>
    <s v="SNH20230403181714_001"/>
    <s v="ROI 12"/>
    <s v="Overlay"/>
    <n v="732000000"/>
    <n v="13800000"/>
    <n v="6440000"/>
    <n v="4370000"/>
    <n v="50100000"/>
    <n v="6.7155963302752295E-2"/>
    <m/>
  </r>
  <r>
    <x v="4"/>
    <s v="r110"/>
    <s v="pirc"/>
    <s v="texasRed"/>
    <x v="0"/>
    <s v="no"/>
    <s v="ex_vivo_texasRed_24hr"/>
    <x v="2"/>
    <s v="SNH20230403181714_001"/>
    <s v="ROI 13"/>
    <s v="Overlay"/>
    <n v="2360000000"/>
    <n v="39000000"/>
    <n v="48300000"/>
    <n v="4100000"/>
    <n v="189000000"/>
    <n v="0.60824742268041232"/>
    <m/>
  </r>
  <r>
    <x v="4"/>
    <s v="r109"/>
    <s v="pirc"/>
    <s v="texasRed"/>
    <x v="0"/>
    <s v="no"/>
    <s v="ex_vivo_texasRed_24hr"/>
    <x v="2"/>
    <s v="SNH20230403181714_001"/>
    <s v="ROI 14"/>
    <s v="Overlay"/>
    <n v="2940000000"/>
    <n v="46900000"/>
    <n v="51000000"/>
    <n v="3410000"/>
    <n v="206000000"/>
    <n v="0.66365688487584651"/>
    <m/>
  </r>
  <r>
    <x v="5"/>
    <s v="r102"/>
    <s v="control"/>
    <s v="texasRed"/>
    <x v="0"/>
    <s v="no"/>
    <s v="ex_vivo_texasRed_24hr"/>
    <x v="2"/>
    <s v="SNH20230403181714_001"/>
    <s v="ROI 15"/>
    <s v="Overlay"/>
    <n v="766000000"/>
    <n v="19400000"/>
    <n v="26600000"/>
    <n v="5250000"/>
    <n v="232000000"/>
    <n v="0.29348659003831418"/>
    <m/>
  </r>
  <r>
    <x v="5"/>
    <s v="r163"/>
    <s v="pirc"/>
    <s v="texasRed"/>
    <x v="0"/>
    <s v="no"/>
    <s v="ex_vivo_texasRed_24hr"/>
    <x v="2"/>
    <s v="SNH20230403181714_001"/>
    <s v="ROI 16"/>
    <s v="Overlay"/>
    <n v="660000000"/>
    <n v="11100000"/>
    <n v="4520000"/>
    <n v="4830000"/>
    <n v="34400000"/>
    <n v="0.11478260869565217"/>
    <m/>
  </r>
  <r>
    <x v="5"/>
    <s v="r132"/>
    <s v="pirc"/>
    <s v="texasRed"/>
    <x v="0"/>
    <s v="no"/>
    <s v="ex_vivo_texasRed_24hr"/>
    <x v="2"/>
    <s v="SNH20230403181714_001"/>
    <s v="ROI 17"/>
    <s v="Overlay"/>
    <n v="672000000"/>
    <n v="9090000"/>
    <n v="7090000"/>
    <n v="4000000"/>
    <n v="54900000"/>
    <n v="6.1651376146788991E-2"/>
    <m/>
  </r>
  <r>
    <x v="5"/>
    <s v="r110"/>
    <s v="pirc"/>
    <s v="texasRed"/>
    <x v="0"/>
    <s v="no"/>
    <s v="ex_vivo_texasRed_24hr"/>
    <x v="2"/>
    <s v="SNH20230403181714_001"/>
    <s v="ROI 18"/>
    <s v="Overlay"/>
    <n v="1370000000"/>
    <n v="26300000"/>
    <n v="31800000"/>
    <n v="3870000"/>
    <n v="236000000"/>
    <n v="0.35309278350515466"/>
    <m/>
  </r>
  <r>
    <x v="5"/>
    <s v="r109"/>
    <s v="pirc"/>
    <s v="texasRed"/>
    <x v="0"/>
    <s v="no"/>
    <s v="ex_vivo_texasRed_24hr"/>
    <x v="2"/>
    <s v="SNH20230403181714_001"/>
    <s v="ROI 19"/>
    <s v="Overlay"/>
    <n v="1340000000"/>
    <n v="24900000"/>
    <n v="42500000"/>
    <n v="3430000"/>
    <n v="281000000"/>
    <n v="0.30248306997742663"/>
    <m/>
  </r>
  <r>
    <x v="6"/>
    <s v="r102"/>
    <s v="control"/>
    <s v="texasRed"/>
    <x v="0"/>
    <s v="no"/>
    <s v="ex_vivo_texasRed_24hr"/>
    <x v="2"/>
    <s v="SNH20230403181714_001"/>
    <s v="ROI 20"/>
    <s v="Overlay"/>
    <n v="9280000000"/>
    <n v="174000000"/>
    <n v="146000000"/>
    <n v="4360000"/>
    <n v="408000000"/>
    <n v="3.5555555555555554"/>
    <n v="1"/>
  </r>
  <r>
    <x v="6"/>
    <s v="r163"/>
    <s v="pirc"/>
    <s v="texasRed"/>
    <x v="0"/>
    <s v="no"/>
    <s v="ex_vivo_texasRed_24hr"/>
    <x v="2"/>
    <s v="SNH20230403181714_001"/>
    <s v="ROI 21"/>
    <s v="Overlay"/>
    <n v="3590000000"/>
    <n v="40700000"/>
    <n v="28700000"/>
    <n v="5520000"/>
    <n v="128000000"/>
    <n v="0.62434782608695649"/>
    <n v="0.38685344827586204"/>
  </r>
  <r>
    <x v="6"/>
    <s v="r132"/>
    <s v="pirc"/>
    <s v="texasRed"/>
    <x v="0"/>
    <s v="no"/>
    <s v="ex_vivo_texasRed_24hr"/>
    <x v="2"/>
    <s v="SNH20230403181714_001"/>
    <s v="ROI 22"/>
    <s v="Overlay"/>
    <n v="4360000000"/>
    <n v="67000000"/>
    <n v="60900000"/>
    <n v="5420000"/>
    <n v="292000000"/>
    <n v="0.4"/>
    <n v="0.46982758620689657"/>
  </r>
  <r>
    <x v="6"/>
    <s v="r110"/>
    <s v="pirc"/>
    <s v="texasRed"/>
    <x v="0"/>
    <s v="no"/>
    <s v="ex_vivo_texasRed_24hr"/>
    <x v="2"/>
    <s v="SNH20230403181714_001"/>
    <s v="ROI 23"/>
    <s v="Overlay"/>
    <n v="13300000000"/>
    <n v="155000000"/>
    <n v="133000000"/>
    <n v="6570000"/>
    <n v="432000000"/>
    <n v="3.4278350515463916"/>
    <n v="1.4331896551724137"/>
  </r>
  <r>
    <x v="6"/>
    <s v="r109"/>
    <s v="pirc"/>
    <s v="texasRed"/>
    <x v="0"/>
    <s v="no"/>
    <s v="ex_vivo_texasRed_24hr"/>
    <x v="2"/>
    <s v="SNH20230403181714_001"/>
    <s v="ROI 24"/>
    <s v="Overlay"/>
    <n v="27100000000"/>
    <n v="290000000"/>
    <n v="150000000"/>
    <n v="5420000"/>
    <n v="483000000"/>
    <n v="6.1173814898419865"/>
    <n v="2.9202586206896552"/>
  </r>
  <r>
    <x v="1"/>
    <s v="r102"/>
    <s v="control"/>
    <s v="texasRed"/>
    <x v="0"/>
    <s v="no"/>
    <s v="ex_vivo_texasRed_24hr"/>
    <x v="2"/>
    <s v="SNH20230403181714_001"/>
    <s v="ROI 25"/>
    <s v="Overlay"/>
    <n v="1660000000"/>
    <n v="30300000"/>
    <n v="39500000"/>
    <n v="3590000"/>
    <n v="178000000"/>
    <n v="0.63601532567049812"/>
    <n v="1"/>
  </r>
  <r>
    <x v="1"/>
    <s v="r163"/>
    <s v="pirc"/>
    <s v="texasRed"/>
    <x v="0"/>
    <s v="no"/>
    <s v="ex_vivo_texasRed_24hr"/>
    <x v="2"/>
    <s v="SNH20230403181714_001"/>
    <s v="ROI 26"/>
    <s v="Overlay"/>
    <n v="2230000000"/>
    <n v="42800000"/>
    <n v="42600000"/>
    <n v="3510000"/>
    <n v="138000000"/>
    <n v="0.38782608695652177"/>
    <n v="1.3433734939759037"/>
  </r>
  <r>
    <x v="1"/>
    <s v="r132"/>
    <s v="pirc"/>
    <s v="texasRed"/>
    <x v="0"/>
    <s v="no"/>
    <s v="ex_vivo_texasRed_24hr"/>
    <x v="2"/>
    <s v="SNH20230403181714_001"/>
    <s v="ROI 27"/>
    <s v="Overlay"/>
    <n v="1660000000"/>
    <n v="30600000"/>
    <n v="35300000"/>
    <n v="3500000"/>
    <n v="145000000"/>
    <n v="0.15229357798165138"/>
    <n v="1"/>
  </r>
  <r>
    <x v="2"/>
    <s v="r102"/>
    <s v="control"/>
    <s v="texasRed"/>
    <x v="0"/>
    <s v="no"/>
    <s v="ex_vivo_texasRed_24hr"/>
    <x v="2"/>
    <s v="SNH20230403181714_001"/>
    <s v="ROI 28"/>
    <s v="Overlay"/>
    <n v="8610000000"/>
    <n v="95000000"/>
    <n v="143000000"/>
    <n v="3860000"/>
    <n v="490000000"/>
    <n v="3.2988505747126435"/>
    <n v="1.1859504132231404"/>
  </r>
  <r>
    <x v="3"/>
    <s v="r105"/>
    <s v="control"/>
    <s v="texasRed"/>
    <x v="0"/>
    <s v="no"/>
    <s v="ex_vivo_texasRed_48hr"/>
    <x v="3"/>
    <s v="SNH20230403183725_001"/>
    <s v="ROI 3"/>
    <s v="Overlay"/>
    <n v="4350000000"/>
    <n v="121000000"/>
    <n v="119000000"/>
    <n v="3970000"/>
    <n v="335000000"/>
    <m/>
    <m/>
  </r>
  <r>
    <x v="3"/>
    <s v="r157"/>
    <s v="pirc"/>
    <s v="texasRed"/>
    <x v="0"/>
    <s v="no"/>
    <s v="ex_vivo_texasRed_48hr"/>
    <x v="3"/>
    <s v="SNH20230403183725_001"/>
    <s v="ROI 4"/>
    <s v="Overlay"/>
    <n v="673000000"/>
    <n v="17700000"/>
    <n v="9540000"/>
    <n v="5840000"/>
    <n v="45700000"/>
    <n v="8.866930171277998E-2"/>
    <m/>
  </r>
  <r>
    <x v="3"/>
    <s v="r111"/>
    <s v="pirc"/>
    <s v="texasRed"/>
    <x v="0"/>
    <s v="no"/>
    <s v="ex_vivo_texasRed_48hr"/>
    <x v="3"/>
    <s v="SNH20230403183725_001"/>
    <s v="ROI 5"/>
    <s v="Overlay"/>
    <n v="4070000000"/>
    <n v="120000000"/>
    <n v="155000000"/>
    <n v="4960000"/>
    <n v="549000000"/>
    <n v="1.3388157894736843"/>
    <m/>
  </r>
  <r>
    <x v="3"/>
    <s v="r108"/>
    <s v="pirc"/>
    <s v="texasRed"/>
    <x v="0"/>
    <s v="no"/>
    <s v="ex_vivo_texasRed_48hr"/>
    <x v="3"/>
    <s v="SNH20230403183725_001"/>
    <s v="ROI 6"/>
    <s v="Overlay"/>
    <n v="4360000000"/>
    <n v="104000000"/>
    <n v="104000000"/>
    <n v="5630000"/>
    <n v="348000000"/>
    <n v="1"/>
    <m/>
  </r>
  <r>
    <x v="3"/>
    <s v="r107"/>
    <s v="pirc"/>
    <s v="texasRed"/>
    <x v="0"/>
    <s v="no"/>
    <s v="ex_vivo_texasRed_48hr"/>
    <x v="3"/>
    <s v="SNH20230403183725_001"/>
    <s v="ROI 7"/>
    <s v="Overlay"/>
    <n v="3450000000"/>
    <n v="74700000"/>
    <n v="89500000"/>
    <n v="3300000"/>
    <n v="341000000"/>
    <n v="1"/>
    <m/>
  </r>
  <r>
    <x v="4"/>
    <s v="r105"/>
    <s v="control"/>
    <s v="texasRed"/>
    <x v="0"/>
    <s v="no"/>
    <s v="ex_vivo_texasRed_48hr"/>
    <x v="3"/>
    <s v="SNH20230403183725_001"/>
    <s v="ROI 8"/>
    <s v="Overlay"/>
    <n v="2840000000"/>
    <n v="38300000"/>
    <n v="45100000"/>
    <n v="2520000"/>
    <n v="237000000"/>
    <m/>
    <m/>
  </r>
  <r>
    <x v="4"/>
    <s v="r157"/>
    <s v="pirc"/>
    <s v="texasRed"/>
    <x v="0"/>
    <s v="no"/>
    <s v="ex_vivo_texasRed_48hr"/>
    <x v="3"/>
    <s v="SNH20230403183725_001"/>
    <s v="ROI 9"/>
    <s v="Overlay"/>
    <n v="1010000000"/>
    <n v="19000000"/>
    <n v="10700000"/>
    <n v="10300000"/>
    <n v="95600000"/>
    <n v="0.13306982872200263"/>
    <m/>
  </r>
  <r>
    <x v="4"/>
    <s v="r111"/>
    <s v="pirc"/>
    <s v="texasRed"/>
    <x v="0"/>
    <s v="no"/>
    <s v="ex_vivo_texasRed_48hr"/>
    <x v="3"/>
    <s v="SNH20230403183725_001"/>
    <s v="ROI 10"/>
    <s v="Overlay"/>
    <n v="1410000000"/>
    <n v="32900000"/>
    <n v="23900000"/>
    <n v="3690000"/>
    <n v="143000000"/>
    <n v="0.46381578947368424"/>
    <m/>
  </r>
  <r>
    <x v="4"/>
    <s v="r108"/>
    <s v="pirc"/>
    <s v="texasRed"/>
    <x v="0"/>
    <s v="no"/>
    <s v="ex_vivo_texasRed_48hr"/>
    <x v="3"/>
    <s v="SNH20230403183725_001"/>
    <s v="ROI 11"/>
    <s v="Overlay"/>
    <n v="1450000000"/>
    <n v="40900000"/>
    <n v="39900000"/>
    <n v="4970000"/>
    <n v="156000000"/>
    <n v="0.33256880733944955"/>
    <m/>
  </r>
  <r>
    <x v="4"/>
    <s v="r107"/>
    <s v="pirc"/>
    <s v="texasRed"/>
    <x v="0"/>
    <s v="no"/>
    <s v="ex_vivo_texasRed_48hr"/>
    <x v="3"/>
    <s v="SNH20230403183725_001"/>
    <s v="ROI 12"/>
    <s v="Overlay"/>
    <n v="1760000000"/>
    <n v="38400000"/>
    <n v="35900000"/>
    <n v="2150000"/>
    <n v="111000000"/>
    <n v="0.51014492753623186"/>
    <m/>
  </r>
  <r>
    <x v="5"/>
    <s v="r105"/>
    <s v="control"/>
    <s v="texasRed"/>
    <x v="0"/>
    <s v="no"/>
    <s v="ex_vivo_texasRed_48hr"/>
    <x v="3"/>
    <s v="SNH20230403183725_001"/>
    <s v="ROI 13"/>
    <s v="Overlay"/>
    <n v="1400000000"/>
    <n v="35200000"/>
    <n v="43700000"/>
    <n v="4170000"/>
    <n v="208000000"/>
    <m/>
    <m/>
  </r>
  <r>
    <x v="5"/>
    <s v="r157"/>
    <s v="pirc"/>
    <s v="texasRed"/>
    <x v="0"/>
    <s v="no"/>
    <s v="ex_vivo_texasRed_48hr"/>
    <x v="3"/>
    <s v="SNH20230403183725_001"/>
    <s v="ROI 14"/>
    <s v="Overlay"/>
    <n v="829000000"/>
    <n v="15400000"/>
    <n v="3620000"/>
    <n v="6690000"/>
    <n v="35700000"/>
    <n v="0.10922266139657444"/>
    <m/>
  </r>
  <r>
    <x v="5"/>
    <s v="r111"/>
    <s v="pirc"/>
    <s v="texasRed"/>
    <x v="0"/>
    <s v="no"/>
    <s v="ex_vivo_texasRed_48hr"/>
    <x v="3"/>
    <s v="SNH20230403183725_001"/>
    <s v="ROI 15"/>
    <s v="Overlay"/>
    <n v="603000000"/>
    <n v="12000000"/>
    <n v="7150000"/>
    <n v="4560000"/>
    <n v="64100000"/>
    <n v="0.19835526315789473"/>
    <m/>
  </r>
  <r>
    <x v="5"/>
    <s v="r108"/>
    <s v="pirc"/>
    <s v="texasRed"/>
    <x v="0"/>
    <s v="no"/>
    <s v="ex_vivo_texasRed_48hr"/>
    <x v="3"/>
    <s v="SNH20230403183725_001"/>
    <s v="ROI 16"/>
    <s v="Overlay"/>
    <n v="2480000000"/>
    <n v="47600000"/>
    <n v="46000000"/>
    <n v="5030000"/>
    <n v="179000000"/>
    <n v="0.56880733944954132"/>
    <m/>
  </r>
  <r>
    <x v="5"/>
    <s v="r107"/>
    <s v="pirc"/>
    <s v="texasRed"/>
    <x v="0"/>
    <s v="no"/>
    <s v="ex_vivo_texasRed_48hr"/>
    <x v="3"/>
    <s v="SNH20230403183725_001"/>
    <s v="ROI 17"/>
    <s v="Overlay"/>
    <n v="1610000000"/>
    <n v="35100000"/>
    <n v="33400000"/>
    <n v="3530000"/>
    <n v="123000000"/>
    <n v="0.46666666666666667"/>
    <m/>
  </r>
  <r>
    <x v="6"/>
    <s v="r105"/>
    <s v="control"/>
    <s v="texasRed"/>
    <x v="0"/>
    <s v="no"/>
    <s v="ex_vivo_texasRed_48hr"/>
    <x v="3"/>
    <s v="SNH20230403183725_001"/>
    <s v="ROI 18"/>
    <s v="Overlay"/>
    <n v="15400000000"/>
    <n v="186000000"/>
    <n v="108000000"/>
    <n v="2450000"/>
    <n v="354000000"/>
    <m/>
    <n v="1"/>
  </r>
  <r>
    <x v="6"/>
    <s v="r157"/>
    <s v="pirc"/>
    <s v="texasRed"/>
    <x v="0"/>
    <s v="no"/>
    <s v="ex_vivo_texasRed_48hr"/>
    <x v="3"/>
    <s v="SNH20230403183725_001"/>
    <s v="ROI 19"/>
    <s v="Overlay"/>
    <n v="4810000000"/>
    <n v="58100000"/>
    <n v="50300000"/>
    <n v="5590000"/>
    <n v="227000000"/>
    <n v="0.63372859025032935"/>
    <n v="0.31233766233766236"/>
  </r>
  <r>
    <x v="6"/>
    <s v="r111"/>
    <s v="pirc"/>
    <s v="texasRed"/>
    <x v="0"/>
    <s v="no"/>
    <s v="ex_vivo_texasRed_48hr"/>
    <x v="3"/>
    <s v="SNH20230403183725_001"/>
    <s v="ROI 20"/>
    <s v="Overlay"/>
    <n v="7060000000"/>
    <n v="82300000"/>
    <n v="106000000"/>
    <n v="5190000"/>
    <n v="383000000"/>
    <n v="2.3223684210526314"/>
    <n v="0.45844155844155843"/>
  </r>
  <r>
    <x v="6"/>
    <s v="r108"/>
    <s v="pirc"/>
    <s v="texasRed"/>
    <x v="0"/>
    <s v="no"/>
    <s v="ex_vivo_texasRed_48hr"/>
    <x v="3"/>
    <s v="SNH20230403183725_001"/>
    <s v="ROI 21"/>
    <s v="Overlay"/>
    <n v="23000000000"/>
    <n v="268000000"/>
    <n v="142000000"/>
    <n v="7680000"/>
    <n v="544000000"/>
    <n v="5.2752293577981648"/>
    <n v="1.4935064935064934"/>
  </r>
  <r>
    <x v="6"/>
    <s v="r107"/>
    <s v="pirc"/>
    <s v="texasRed"/>
    <x v="0"/>
    <s v="no"/>
    <s v="ex_vivo_texasRed_48hr"/>
    <x v="3"/>
    <s v="SNH20230403183725_001"/>
    <s v="ROI 22"/>
    <s v="Overlay"/>
    <n v="20600000000"/>
    <n v="249000000"/>
    <n v="176000000"/>
    <n v="4760000"/>
    <n v="529000000"/>
    <n v="5.9710144927536231"/>
    <n v="1.3376623376623376"/>
  </r>
  <r>
    <x v="1"/>
    <s v="r105"/>
    <s v="control"/>
    <s v="texasRed"/>
    <x v="0"/>
    <s v="no"/>
    <s v="ex_vivo_texasRed_48hr"/>
    <x v="3"/>
    <s v="SNH20230403183725_001"/>
    <s v="ROI 23"/>
    <s v="Overlay"/>
    <n v="3010000000"/>
    <n v="62400000"/>
    <n v="54200000"/>
    <n v="4790000"/>
    <n v="264000000"/>
    <m/>
    <n v="1"/>
  </r>
  <r>
    <x v="1"/>
    <s v="r157"/>
    <s v="pirc"/>
    <s v="texasRed"/>
    <x v="0"/>
    <s v="no"/>
    <s v="ex_vivo_texasRed_48hr"/>
    <x v="3"/>
    <s v="SNH20230403183725_001"/>
    <s v="ROI 24"/>
    <s v="Overlay"/>
    <n v="2430000000"/>
    <n v="50400000"/>
    <n v="41900000"/>
    <n v="6900000"/>
    <n v="155000000"/>
    <n v="0.3201581027667984"/>
    <n v="0.80730897009966773"/>
  </r>
  <r>
    <x v="1"/>
    <s v="r111"/>
    <s v="pirc"/>
    <s v="texasRed"/>
    <x v="0"/>
    <s v="no"/>
    <s v="ex_vivo_texasRed_48hr"/>
    <x v="3"/>
    <s v="SNH20230403183725_001"/>
    <s v="ROI 25"/>
    <s v="Overlay"/>
    <n v="2700000000"/>
    <n v="76100000"/>
    <n v="87300000"/>
    <n v="4850000"/>
    <n v="281000000"/>
    <n v="0.88815789473684215"/>
    <n v="0.89700996677740863"/>
  </r>
  <r>
    <x v="2"/>
    <s v="r108"/>
    <s v="pirc"/>
    <s v="texasRed"/>
    <x v="0"/>
    <s v="no"/>
    <s v="ex_vivo_texasRed_48hr"/>
    <x v="3"/>
    <s v="SNH20230403183725_001"/>
    <s v="ROI 26"/>
    <s v="Overlay"/>
    <n v="7630000000"/>
    <n v="62500000"/>
    <n v="57800000"/>
    <n v="6340000"/>
    <n v="355000000"/>
    <n v="1.75"/>
    <n v="1"/>
  </r>
  <r>
    <x v="3"/>
    <s v="r128"/>
    <m/>
    <s v="irDye"/>
    <x v="0"/>
    <s v="no"/>
    <s v="ex_vivo_irDye_4hr"/>
    <x v="1"/>
    <s v="SNH20230403175957_001"/>
    <s v="ROI 1"/>
    <s v="Overlay"/>
    <n v="10200000000"/>
    <n v="275000000"/>
    <n v="385000000"/>
    <n v="16200000"/>
    <n v="2200000000"/>
    <n v="1"/>
    <m/>
  </r>
  <r>
    <x v="3"/>
    <s v="r118"/>
    <s v="pirc"/>
    <s v="irDye"/>
    <x v="0"/>
    <s v="no"/>
    <s v="ex_vivo_irDye_4hr"/>
    <x v="1"/>
    <s v="SNH20230403175957_001"/>
    <s v="ROI 2"/>
    <s v="Overlay"/>
    <n v="5880000000"/>
    <n v="221000000"/>
    <n v="150000000"/>
    <n v="14900000"/>
    <n v="581000000"/>
    <n v="1.0120481927710843"/>
    <m/>
  </r>
  <r>
    <x v="4"/>
    <s v="r128"/>
    <m/>
    <s v="irDye"/>
    <x v="0"/>
    <s v="no"/>
    <s v="ex_vivo_irDye_4hr"/>
    <x v="1"/>
    <s v="SNH20230403175957_001"/>
    <s v="ROI 3"/>
    <s v="Overlay"/>
    <n v="9540000000"/>
    <n v="134000000"/>
    <n v="126000000"/>
    <n v="15300000"/>
    <n v="557000000"/>
    <n v="0.93529411764705883"/>
    <m/>
  </r>
  <r>
    <x v="4"/>
    <s v="r118"/>
    <s v="pirc"/>
    <s v="irDye"/>
    <x v="0"/>
    <s v="no"/>
    <s v="ex_vivo_irDye_4hr"/>
    <x v="1"/>
    <s v="SNH20230403175957_001"/>
    <s v="ROI 4"/>
    <s v="Overlay"/>
    <n v="19800000000"/>
    <n v="204000000"/>
    <n v="218000000"/>
    <n v="16600000"/>
    <n v="750000000"/>
    <n v="3.4079173838209984"/>
    <m/>
  </r>
  <r>
    <x v="5"/>
    <s v="r128"/>
    <m/>
    <s v="irDye"/>
    <x v="0"/>
    <s v="no"/>
    <s v="ex_vivo_irDye_4hr"/>
    <x v="1"/>
    <s v="SNH20230403175957_001"/>
    <s v="ROI 5"/>
    <s v="Overlay"/>
    <n v="9660000000"/>
    <n v="261000000"/>
    <n v="322000000"/>
    <n v="16600000"/>
    <n v="1130000000"/>
    <n v="0.94705882352941173"/>
    <m/>
  </r>
  <r>
    <x v="5"/>
    <s v="r118"/>
    <s v="pirc"/>
    <s v="irDye"/>
    <x v="0"/>
    <s v="no"/>
    <s v="ex_vivo_irDye_4hr"/>
    <x v="1"/>
    <s v="SNH20230403175957_001"/>
    <s v="ROI 6"/>
    <s v="Overlay"/>
    <n v="23200000000"/>
    <n v="321000000"/>
    <n v="396000000"/>
    <n v="18100000"/>
    <n v="1240000000"/>
    <n v="3.9931153184165233"/>
    <m/>
  </r>
  <r>
    <x v="6"/>
    <s v="r128"/>
    <m/>
    <s v="irDye"/>
    <x v="1"/>
    <s v="no"/>
    <s v="ex_vivo_irDye_4hr"/>
    <x v="1"/>
    <s v="SNH20230403175957_001"/>
    <s v="ROI 7"/>
    <s v="Overlay"/>
    <n v="135000000000"/>
    <n v="1250000000"/>
    <n v="862000000"/>
    <n v="21300000"/>
    <n v="2630000000"/>
    <n v="13.235294117647058"/>
    <n v="30.474040632054177"/>
  </r>
  <r>
    <x v="6"/>
    <s v="r118"/>
    <s v="pirc"/>
    <s v="irDye"/>
    <x v="1"/>
    <s v="no"/>
    <s v="ex_vivo_irDye_4hr"/>
    <x v="1"/>
    <s v="SNH20230403175957_001"/>
    <s v="ROI 8"/>
    <s v="Overlay"/>
    <n v="59400000000"/>
    <n v="1220000000"/>
    <n v="1100000000"/>
    <n v="29300000"/>
    <n v="3480000000"/>
    <n v="10.223752151462994"/>
    <n v="13.408577878103838"/>
  </r>
  <r>
    <x v="2"/>
    <s v="r101"/>
    <s v="control"/>
    <s v="irDye"/>
    <x v="0"/>
    <s v="no"/>
    <s v="ex_vivo_irDye_4hr"/>
    <x v="1"/>
    <s v="SNH20230403175957_001"/>
    <s v="ROI 9"/>
    <s v="Overlay"/>
    <n v="6970000000"/>
    <n v="31400000"/>
    <n v="11200000"/>
    <n v="10100000"/>
    <n v="72700000"/>
    <n v="2.8683127572016462"/>
    <n v="1"/>
  </r>
  <r>
    <x v="3"/>
    <s v="r163"/>
    <s v="pirc"/>
    <s v="irDye"/>
    <x v="0"/>
    <s v="no"/>
    <s v="ex_vivo_irDye_24hr"/>
    <x v="2"/>
    <s v="SNH20230403182458_001"/>
    <s v="ROI 3"/>
    <s v="Overlay"/>
    <n v="5750000000"/>
    <n v="132000000"/>
    <n v="125000000"/>
    <n v="18300000"/>
    <n v="440000000"/>
    <n v="1"/>
    <m/>
  </r>
  <r>
    <x v="3"/>
    <s v="r132"/>
    <s v="pirc"/>
    <s v="irDye"/>
    <x v="0"/>
    <s v="no"/>
    <s v="ex_vivo_irDye_24hr"/>
    <x v="2"/>
    <s v="SNH20230403182458_001"/>
    <s v="ROI 4"/>
    <s v="Overlay"/>
    <n v="10900000000"/>
    <n v="307000000"/>
    <n v="337000000"/>
    <n v="24100000"/>
    <n v="1230000000"/>
    <n v="1"/>
    <m/>
  </r>
  <r>
    <x v="4"/>
    <s v="r163"/>
    <s v="pirc"/>
    <s v="irDye"/>
    <x v="0"/>
    <s v="no"/>
    <s v="ex_vivo_irDye_24hr"/>
    <x v="2"/>
    <s v="SNH20230403182458_001"/>
    <s v="ROI 5"/>
    <s v="Overlay"/>
    <n v="9320000000"/>
    <n v="127000000"/>
    <n v="94700000"/>
    <n v="23600000"/>
    <n v="327000000"/>
    <n v="1.6208695652173912"/>
    <m/>
  </r>
  <r>
    <x v="4"/>
    <s v="r132"/>
    <s v="pirc"/>
    <s v="irDye"/>
    <x v="0"/>
    <s v="no"/>
    <s v="ex_vivo_irDye_24hr"/>
    <x v="2"/>
    <s v="SNH20230403182458_001"/>
    <s v="ROI 6"/>
    <s v="Overlay"/>
    <n v="11200000000"/>
    <n v="168000000"/>
    <n v="137000000"/>
    <n v="28100000"/>
    <n v="472000000"/>
    <n v="1.0275229357798166"/>
    <m/>
  </r>
  <r>
    <x v="5"/>
    <s v="r163"/>
    <s v="pirc"/>
    <s v="irDye"/>
    <x v="0"/>
    <s v="no"/>
    <s v="ex_vivo_irDye_24hr"/>
    <x v="2"/>
    <s v="SNH20230403182458_001"/>
    <s v="ROI 7"/>
    <s v="Overlay"/>
    <n v="9830000000"/>
    <n v="238000000"/>
    <n v="218000000"/>
    <n v="24300000"/>
    <n v="702000000"/>
    <n v="1.7095652173913043"/>
    <m/>
  </r>
  <r>
    <x v="5"/>
    <s v="r132"/>
    <s v="pirc"/>
    <s v="irDye"/>
    <x v="0"/>
    <s v="no"/>
    <s v="ex_vivo_irDye_24hr"/>
    <x v="2"/>
    <s v="SNH20230403182458_001"/>
    <s v="ROI 8"/>
    <s v="Overlay"/>
    <n v="13300000000"/>
    <n v="189000000"/>
    <n v="305000000"/>
    <n v="34800000"/>
    <n v="1240000000"/>
    <n v="1.2201834862385321"/>
    <m/>
  </r>
  <r>
    <x v="6"/>
    <s v="r163"/>
    <s v="pirc"/>
    <s v="irDye"/>
    <x v="1"/>
    <s v="no"/>
    <s v="ex_vivo_irDye_24hr"/>
    <x v="2"/>
    <s v="SNH20230403182458_001"/>
    <s v="ROI 9"/>
    <s v="Overlay"/>
    <n v="48500000000"/>
    <n v="519000000"/>
    <n v="526000000"/>
    <n v="25000000"/>
    <n v="1690000000"/>
    <n v="8.4347826086956523"/>
    <n v="5.2262931034482758"/>
  </r>
  <r>
    <x v="6"/>
    <s v="r132"/>
    <s v="pirc"/>
    <s v="irDye"/>
    <x v="0"/>
    <s v="no"/>
    <s v="ex_vivo_irDye_24hr"/>
    <x v="2"/>
    <s v="SNH20230403182458_001"/>
    <s v="ROI 10"/>
    <s v="Overlay"/>
    <n v="87000000000"/>
    <n v="1440000000"/>
    <n v="1450000000"/>
    <n v="32800000"/>
    <n v="4020000000"/>
    <n v="7.9816513761467887"/>
    <n v="9.375"/>
  </r>
  <r>
    <x v="2"/>
    <s v="r102"/>
    <s v="control"/>
    <s v="irDye"/>
    <x v="0"/>
    <s v="no"/>
    <s v="ex_vivo_irDye_24hr"/>
    <x v="2"/>
    <s v="SNH20230403182458_001"/>
    <s v="ROI 11"/>
    <s v="Overlay"/>
    <n v="7260000000"/>
    <n v="52500000"/>
    <n v="37200000"/>
    <n v="12900000"/>
    <n v="187000000"/>
    <n v="2.7816091954022988"/>
    <n v="1"/>
  </r>
  <r>
    <x v="3"/>
    <s v="r157"/>
    <s v="pirc"/>
    <s v="irDye"/>
    <x v="0"/>
    <s v="no"/>
    <s v="ex_vivo_irDye_48hr"/>
    <x v="3"/>
    <s v="SNH20230403183542_001"/>
    <s v="ROI 3"/>
    <s v="Overlay"/>
    <n v="7590000000"/>
    <n v="223000000"/>
    <n v="189000000"/>
    <n v="16400000"/>
    <n v="625000000"/>
    <n v="1"/>
    <m/>
  </r>
  <r>
    <x v="3"/>
    <s v="r111"/>
    <s v="pirc"/>
    <s v="irDye"/>
    <x v="0"/>
    <s v="no"/>
    <s v="ex_vivo_irDye_48hr"/>
    <x v="3"/>
    <s v="SNH20230403183542_001"/>
    <s v="ROI 4"/>
    <s v="Overlay"/>
    <n v="3040000000"/>
    <n v="106000000"/>
    <n v="91700000"/>
    <n v="20800000"/>
    <n v="346000000"/>
    <n v="1"/>
    <m/>
  </r>
  <r>
    <x v="4"/>
    <s v="r157"/>
    <s v="pirc"/>
    <s v="irDye"/>
    <x v="0"/>
    <s v="no"/>
    <s v="ex_vivo_irDye_48hr"/>
    <x v="3"/>
    <s v="SNH20230403183542_001"/>
    <s v="ROI 5"/>
    <s v="Overlay"/>
    <n v="15000000000"/>
    <n v="278000000"/>
    <n v="186000000"/>
    <n v="21500000"/>
    <n v="568000000"/>
    <n v="1.9762845849802371"/>
    <m/>
  </r>
  <r>
    <x v="4"/>
    <s v="r111"/>
    <s v="pirc"/>
    <s v="irDye"/>
    <x v="0"/>
    <s v="no"/>
    <s v="ex_vivo_irDye_48hr"/>
    <x v="3"/>
    <s v="SNH20230403183542_001"/>
    <s v="ROI 6"/>
    <s v="Overlay"/>
    <n v="3230000000"/>
    <n v="70400000"/>
    <n v="33400000"/>
    <n v="22900000"/>
    <n v="236000000"/>
    <n v="1.0625"/>
    <m/>
  </r>
  <r>
    <x v="5"/>
    <s v="r157"/>
    <s v="pirc"/>
    <s v="irDye"/>
    <x v="0"/>
    <s v="no"/>
    <s v="ex_vivo_irDye_48hr"/>
    <x v="3"/>
    <s v="SNH20230403183542_001"/>
    <s v="ROI 7"/>
    <s v="Overlay"/>
    <n v="8690000000"/>
    <n v="208000000"/>
    <n v="223000000"/>
    <n v="25200000"/>
    <n v="726000000"/>
    <n v="1.144927536231884"/>
    <m/>
  </r>
  <r>
    <x v="5"/>
    <s v="r111"/>
    <s v="pirc"/>
    <s v="irDye"/>
    <x v="0"/>
    <s v="no"/>
    <s v="ex_vivo_irDye_48hr"/>
    <x v="3"/>
    <s v="SNH20230403183542_001"/>
    <s v="ROI 8"/>
    <s v="Overlay"/>
    <n v="7140000000"/>
    <n v="201000000"/>
    <n v="250000000"/>
    <n v="24800000"/>
    <n v="823000000"/>
    <n v="2.3486842105263159"/>
    <m/>
  </r>
  <r>
    <x v="6"/>
    <s v="r157"/>
    <s v="pirc"/>
    <s v="irDye"/>
    <x v="1"/>
    <s v="no"/>
    <s v="ex_vivo_irDye_48hr"/>
    <x v="3"/>
    <s v="SNH20230403183542_001"/>
    <s v="ROI 9"/>
    <s v="Overlay"/>
    <n v="69100000000"/>
    <n v="902000000"/>
    <n v="843000000"/>
    <n v="26800000"/>
    <n v="2390000000"/>
    <n v="9.1040843214756251"/>
    <n v="4.4870129870129869"/>
  </r>
  <r>
    <x v="6"/>
    <s v="r111"/>
    <s v="pirc"/>
    <s v="irDye"/>
    <x v="1"/>
    <s v="no"/>
    <s v="ex_vivo_irDye_48hr"/>
    <x v="3"/>
    <s v="SNH20230403183542_001"/>
    <s v="ROI 10"/>
    <s v="Overlay"/>
    <n v="45700000000"/>
    <n v="825000000"/>
    <n v="864000000"/>
    <n v="27600000"/>
    <n v="2670000000"/>
    <n v="15.032894736842104"/>
    <n v="2.9675324675324677"/>
  </r>
  <r>
    <x v="2"/>
    <s v="r105"/>
    <s v="control"/>
    <s v="irDye"/>
    <x v="0"/>
    <s v="no"/>
    <s v="ex_vivo_irDye_48hr"/>
    <x v="3"/>
    <s v="SNH20230403183542_001"/>
    <s v="ROI 11"/>
    <s v="Overlay"/>
    <n v="9330000000"/>
    <n v="76500000"/>
    <n v="83400000"/>
    <n v="16700000"/>
    <n v="494000000"/>
    <m/>
    <m/>
  </r>
  <r>
    <x v="3"/>
    <s v="r115"/>
    <s v="pirc"/>
    <s v="irDye"/>
    <x v="0"/>
    <s v="no"/>
    <s v="ex_vivo_irDye_7days"/>
    <x v="4"/>
    <s v="SNH20230403185659_001"/>
    <s v="ROI 4"/>
    <s v="Overlay"/>
    <n v="5940000000"/>
    <n v="142000000"/>
    <n v="113000000"/>
    <n v="31700000"/>
    <n v="417000000"/>
    <n v="1"/>
    <m/>
  </r>
  <r>
    <x v="3"/>
    <s v="r114"/>
    <s v="pirc"/>
    <s v="irDye"/>
    <x v="0"/>
    <s v="no"/>
    <s v="ex_vivo_irDye_7days"/>
    <x v="4"/>
    <s v="SNH20230403185659_001"/>
    <s v="ROI 5"/>
    <s v="Overlay"/>
    <n v="11800000000"/>
    <n v="197000000"/>
    <n v="264000000"/>
    <n v="33900000"/>
    <n v="1550000000"/>
    <n v="1"/>
    <m/>
  </r>
  <r>
    <x v="3"/>
    <s v="r113"/>
    <s v="pirc"/>
    <s v="irDye"/>
    <x v="0"/>
    <s v="no"/>
    <s v="ex_vivo_irDye_7days"/>
    <x v="4"/>
    <s v="SNH20230403185659_001"/>
    <s v="ROI 6"/>
    <s v="Overlay"/>
    <n v="5960000000"/>
    <n v="135000000"/>
    <n v="143000000"/>
    <n v="28100000"/>
    <n v="558000000"/>
    <n v="1"/>
    <m/>
  </r>
  <r>
    <x v="3"/>
    <s v="r112"/>
    <s v="pirc"/>
    <s v="irDye"/>
    <x v="0"/>
    <s v="no"/>
    <s v="ex_vivo_irDye_7days"/>
    <x v="4"/>
    <s v="SNH20230403185659_001"/>
    <s v="ROI 7"/>
    <s v="Overlay"/>
    <n v="7970000000"/>
    <n v="265000000"/>
    <n v="218000000"/>
    <n v="21800000"/>
    <n v="711000000"/>
    <n v="1"/>
    <m/>
  </r>
  <r>
    <x v="4"/>
    <s v="r115"/>
    <s v="pirc"/>
    <s v="irDye"/>
    <x v="0"/>
    <s v="no"/>
    <s v="ex_vivo_irDye_7days"/>
    <x v="4"/>
    <s v="SNH20230403185659_001"/>
    <s v="ROI 8"/>
    <s v="Overlay"/>
    <n v="5960000000"/>
    <n v="131000000"/>
    <n v="108000000"/>
    <n v="32800000"/>
    <n v="371000000"/>
    <n v="1.0033670033670035"/>
    <m/>
  </r>
  <r>
    <x v="4"/>
    <s v="r114"/>
    <s v="pirc"/>
    <s v="irDye"/>
    <x v="0"/>
    <s v="no"/>
    <s v="ex_vivo_irDye_7days"/>
    <x v="4"/>
    <s v="SNH20230403185659_001"/>
    <s v="ROI 9"/>
    <s v="Overlay"/>
    <n v="11300000000"/>
    <n v="248000000"/>
    <n v="197000000"/>
    <n v="38800000"/>
    <n v="602000000"/>
    <n v="0.9576271186440678"/>
    <m/>
  </r>
  <r>
    <x v="4"/>
    <s v="r113"/>
    <s v="pirc"/>
    <s v="irDye"/>
    <x v="0"/>
    <s v="no"/>
    <s v="ex_vivo_irDye_7days"/>
    <x v="4"/>
    <s v="SNH20230403185659_001"/>
    <s v="ROI 10"/>
    <s v="Overlay"/>
    <n v="8850000000"/>
    <n v="230000000"/>
    <n v="156000000"/>
    <n v="27500000"/>
    <n v="517000000"/>
    <n v="1.4848993288590604"/>
    <m/>
  </r>
  <r>
    <x v="4"/>
    <s v="r112"/>
    <s v="pirc"/>
    <s v="irDye"/>
    <x v="0"/>
    <s v="no"/>
    <s v="ex_vivo_irDye_7days"/>
    <x v="4"/>
    <s v="SNH20230403185659_001"/>
    <s v="ROI 11"/>
    <s v="Overlay"/>
    <n v="6750000000"/>
    <n v="160000000"/>
    <n v="138000000"/>
    <n v="23700000"/>
    <n v="490000000"/>
    <n v="0.84692597239648681"/>
    <m/>
  </r>
  <r>
    <x v="5"/>
    <s v="r115"/>
    <s v="pirc"/>
    <s v="irDye"/>
    <x v="0"/>
    <s v="no"/>
    <s v="ex_vivo_irDye_7days"/>
    <x v="4"/>
    <s v="SNH20230403185659_001"/>
    <s v="ROI 12"/>
    <s v="Overlay"/>
    <n v="8460000000"/>
    <n v="191000000"/>
    <n v="169000000"/>
    <n v="32900000"/>
    <n v="556000000"/>
    <n v="1.4242424242424243"/>
    <m/>
  </r>
  <r>
    <x v="5"/>
    <s v="r114"/>
    <s v="pirc"/>
    <s v="irDye"/>
    <x v="0"/>
    <s v="no"/>
    <s v="ex_vivo_irDye_7days"/>
    <x v="4"/>
    <s v="SNH20230403185659_001"/>
    <s v="ROI 13"/>
    <s v="Overlay"/>
    <n v="14900000000"/>
    <n v="359000000"/>
    <n v="302000000"/>
    <n v="42800000"/>
    <n v="937000000"/>
    <n v="1.2627118644067796"/>
    <m/>
  </r>
  <r>
    <x v="5"/>
    <s v="r113"/>
    <s v="pirc"/>
    <s v="irDye"/>
    <x v="0"/>
    <s v="no"/>
    <s v="ex_vivo_irDye_7days"/>
    <x v="4"/>
    <s v="SNH20230403185659_001"/>
    <s v="ROI 14"/>
    <s v="Overlay"/>
    <n v="8540000000"/>
    <n v="200000000"/>
    <n v="218000000"/>
    <n v="27000000"/>
    <n v="743000000"/>
    <n v="1.4328859060402686"/>
    <m/>
  </r>
  <r>
    <x v="5"/>
    <s v="r112"/>
    <s v="pirc"/>
    <s v="irDye"/>
    <x v="0"/>
    <s v="no"/>
    <s v="ex_vivo_irDye_7days"/>
    <x v="4"/>
    <s v="SNH20230403185659_001"/>
    <s v="ROI 15"/>
    <s v="Overlay"/>
    <n v="16400000000"/>
    <n v="324000000"/>
    <n v="437000000"/>
    <n v="23700000"/>
    <n v="1620000000"/>
    <n v="2.0577164366373903"/>
    <m/>
  </r>
  <r>
    <x v="6"/>
    <s v="r115"/>
    <s v="pirc"/>
    <s v="irDye"/>
    <x v="0"/>
    <s v="no"/>
    <s v="ex_vivo_irDye_7days"/>
    <x v="4"/>
    <s v="SNH20230403185659_001"/>
    <s v="ROI 16"/>
    <s v="Overlay"/>
    <n v="39900000000"/>
    <n v="652000000"/>
    <n v="584000000"/>
    <n v="33300000"/>
    <n v="1690000000"/>
    <n v="6.7171717171717171"/>
    <m/>
  </r>
  <r>
    <x v="6"/>
    <s v="r112"/>
    <s v="pirc"/>
    <s v="irDye"/>
    <x v="0"/>
    <s v="no"/>
    <s v="ex_vivo_irDye_7days"/>
    <x v="4"/>
    <s v="SNH20230403185659_001"/>
    <s v="ROI 21"/>
    <s v="Overlay"/>
    <n v="4400000000"/>
    <n v="72400000"/>
    <n v="35600000"/>
    <n v="24600000"/>
    <n v="177000000"/>
    <n v="0.5520702634880803"/>
    <m/>
  </r>
  <r>
    <x v="6"/>
    <s v="r113"/>
    <s v="pirc"/>
    <s v="irDye"/>
    <x v="0"/>
    <s v="no"/>
    <s v="ex_vivo_irDye_7days"/>
    <x v="4"/>
    <s v="SNH20230403185659_001"/>
    <s v="ROI 18"/>
    <s v="Overlay"/>
    <n v="39900000000"/>
    <n v="465000000"/>
    <n v="594000000"/>
    <n v="28000000"/>
    <n v="1890000000"/>
    <n v="6.6946308724832218"/>
    <m/>
  </r>
  <r>
    <x v="6"/>
    <s v="r112"/>
    <s v="pirc"/>
    <s v="irDye"/>
    <x v="1"/>
    <s v="no"/>
    <s v="ex_vivo_irDye_7days"/>
    <x v="4"/>
    <s v="SNH20230403185659_001"/>
    <s v="ROI 19"/>
    <s v="Overlay"/>
    <n v="70400000000"/>
    <n v="1160000000"/>
    <n v="1290000000"/>
    <n v="28000000"/>
    <n v="3760000000"/>
    <n v="8.8331242158092849"/>
    <m/>
  </r>
  <r>
    <x v="2"/>
    <s v="r164"/>
    <s v="control"/>
    <s v="irDye"/>
    <x v="0"/>
    <s v="no"/>
    <s v="ex_vivo_irDye_7days"/>
    <x v="4"/>
    <s v="SNH20230403185659_001"/>
    <s v="ROI 20"/>
    <s v="Overlay"/>
    <n v="9650000000"/>
    <n v="65100000"/>
    <n v="38700000"/>
    <n v="20300000"/>
    <n v="235000000"/>
    <m/>
    <n v="1"/>
  </r>
  <r>
    <x v="7"/>
    <m/>
    <m/>
    <m/>
    <x v="2"/>
    <m/>
    <m/>
    <x v="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A493C-CEBE-9446-996E-14948631B0C2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F25" firstHeaderRow="0" firstDataRow="1" firstDataCol="1" rowPageCount="1" colPageCount="1"/>
  <pivotFields count="18">
    <pivotField axis="axisRow" showAll="0">
      <items count="9">
        <item x="0"/>
        <item sd="0" x="2"/>
        <item sd="0" x="3"/>
        <item x="1"/>
        <item x="6"/>
        <item sd="0" x="4"/>
        <item sd="0" x="5"/>
        <item x="7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2">
    <field x="0"/>
    <field x="7"/>
  </rowFields>
  <rowItems count="22">
    <i>
      <x/>
    </i>
    <i r="1">
      <x/>
    </i>
    <i r="1">
      <x v="1"/>
    </i>
    <i r="1">
      <x v="2"/>
    </i>
    <i r="1">
      <x v="3"/>
    </i>
    <i r="1">
      <x v="4"/>
    </i>
    <i>
      <x v="1"/>
    </i>
    <i>
      <x v="2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4" hier="-1"/>
  </pageFields>
  <dataFields count="5">
    <dataField name="Average of fold_change_within_animal" fld="16" subtotal="average" baseField="0" baseItem="0"/>
    <dataField name="StdDevp of fold_change_within_animal" fld="16" subtotal="stdDevp" baseField="0" baseItem="0"/>
    <dataField name="Count of fold_change_within_animal" fld="16" subtotal="count" baseField="0" baseItem="0"/>
    <dataField name="Average of fold_change_within_tissue" fld="17" subtotal="average" baseField="0" baseItem="0"/>
    <dataField name="Count of fold_change_within_tissue" fld="17" subtotal="count" baseField="0" baseItem="0"/>
  </dataFields>
  <formats count="3">
    <format dxfId="2">
      <pivotArea outline="0" collapsedLevelsAreSubtotals="1" fieldPosition="0"/>
    </format>
    <format dxfId="1">
      <pivotArea dataOnly="0" labelOnly="1" outline="0" fieldPosition="0">
        <references count="1">
          <reference field="4" count="0"/>
        </references>
      </pivotArea>
    </format>
    <format dxfId="0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C813-D181-964D-A7D4-667C65DD3F24}">
  <sheetPr filterMode="1"/>
  <dimension ref="A1:R183"/>
  <sheetViews>
    <sheetView tabSelected="1" zoomScale="125" workbookViewId="0">
      <pane ySplit="1" topLeftCell="A2" activePane="bottomLeft" state="frozen"/>
      <selection pane="bottomLeft" activeCell="I185" sqref="I185"/>
    </sheetView>
  </sheetViews>
  <sheetFormatPr baseColWidth="10" defaultRowHeight="16" x14ac:dyDescent="0.2"/>
  <cols>
    <col min="1" max="1" width="12.5" bestFit="1" customWidth="1"/>
    <col min="2" max="2" width="13.33203125" bestFit="1" customWidth="1"/>
    <col min="3" max="3" width="13.33203125" customWidth="1"/>
    <col min="4" max="4" width="10.33203125" bestFit="1" customWidth="1"/>
    <col min="5" max="5" width="6.5" bestFit="1" customWidth="1"/>
    <col min="6" max="6" width="14.5" bestFit="1" customWidth="1"/>
    <col min="7" max="7" width="12" customWidth="1"/>
    <col min="8" max="8" width="11" bestFit="1" customWidth="1"/>
    <col min="9" max="9" width="8" customWidth="1"/>
    <col min="10" max="10" width="6.6640625" bestFit="1" customWidth="1"/>
    <col min="11" max="11" width="14.1640625" bestFit="1" customWidth="1"/>
    <col min="12" max="13" width="11.83203125" customWidth="1"/>
    <col min="14" max="14" width="14" customWidth="1"/>
    <col min="15" max="15" width="13.33203125" customWidth="1"/>
    <col min="16" max="16" width="13.6640625" customWidth="1"/>
    <col min="17" max="17" width="17.1640625" style="2" customWidth="1"/>
  </cols>
  <sheetData>
    <row r="1" spans="1:18" s="6" customFormat="1" ht="49" customHeight="1" x14ac:dyDescent="0.2">
      <c r="A1" s="6" t="s">
        <v>0</v>
      </c>
      <c r="B1" s="6" t="s">
        <v>1</v>
      </c>
      <c r="C1" s="6" t="s">
        <v>111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96</v>
      </c>
      <c r="J1" s="6" t="s">
        <v>97</v>
      </c>
      <c r="K1" s="6" t="s">
        <v>98</v>
      </c>
      <c r="L1" s="6" t="s">
        <v>99</v>
      </c>
      <c r="M1" s="6" t="s">
        <v>100</v>
      </c>
      <c r="N1" s="6" t="s">
        <v>101</v>
      </c>
      <c r="O1" s="6" t="s">
        <v>102</v>
      </c>
      <c r="P1" s="6" t="s">
        <v>103</v>
      </c>
      <c r="Q1" s="7" t="s">
        <v>106</v>
      </c>
      <c r="R1" s="7"/>
    </row>
    <row r="2" spans="1:18" x14ac:dyDescent="0.2">
      <c r="A2" t="s">
        <v>7</v>
      </c>
      <c r="B2" t="s">
        <v>8</v>
      </c>
      <c r="C2" t="s">
        <v>113</v>
      </c>
      <c r="D2" t="s">
        <v>9</v>
      </c>
      <c r="E2" t="s">
        <v>10</v>
      </c>
      <c r="F2" t="s">
        <v>10</v>
      </c>
      <c r="G2" t="s">
        <v>11</v>
      </c>
      <c r="H2" t="s">
        <v>113</v>
      </c>
      <c r="I2" t="s">
        <v>12</v>
      </c>
      <c r="J2" t="s">
        <v>13</v>
      </c>
      <c r="K2" t="s">
        <v>14</v>
      </c>
      <c r="L2" s="1">
        <v>3040000000</v>
      </c>
      <c r="M2" s="1">
        <v>35500000</v>
      </c>
      <c r="N2" s="1">
        <v>19400000</v>
      </c>
      <c r="O2" s="1">
        <v>14400000</v>
      </c>
      <c r="P2" s="1">
        <v>108000000</v>
      </c>
      <c r="Q2"/>
    </row>
    <row r="3" spans="1:18" hidden="1" x14ac:dyDescent="0.2">
      <c r="A3" t="s">
        <v>7</v>
      </c>
      <c r="B3" t="s">
        <v>15</v>
      </c>
      <c r="C3" t="s">
        <v>112</v>
      </c>
      <c r="D3" t="s">
        <v>9</v>
      </c>
      <c r="E3" t="s">
        <v>37</v>
      </c>
      <c r="F3" t="s">
        <v>10</v>
      </c>
      <c r="G3" t="s">
        <v>11</v>
      </c>
      <c r="H3">
        <v>4</v>
      </c>
      <c r="I3" t="s">
        <v>12</v>
      </c>
      <c r="J3" t="s">
        <v>16</v>
      </c>
      <c r="K3" t="s">
        <v>14</v>
      </c>
      <c r="L3" s="1">
        <v>35700000000</v>
      </c>
      <c r="M3" s="1">
        <v>610000000</v>
      </c>
      <c r="N3" s="1">
        <v>723000000</v>
      </c>
      <c r="O3" s="1">
        <v>23600000</v>
      </c>
      <c r="P3" s="1">
        <v>2250000000</v>
      </c>
      <c r="Q3" s="2">
        <f>L3/$L$63</f>
        <v>6.1445783132530121</v>
      </c>
      <c r="R3" s="2"/>
    </row>
    <row r="4" spans="1:18" hidden="1" x14ac:dyDescent="0.2">
      <c r="A4" t="s">
        <v>7</v>
      </c>
      <c r="B4" t="s">
        <v>17</v>
      </c>
      <c r="C4" t="s">
        <v>112</v>
      </c>
      <c r="D4" t="s">
        <v>9</v>
      </c>
      <c r="E4" t="s">
        <v>37</v>
      </c>
      <c r="F4" t="s">
        <v>10</v>
      </c>
      <c r="G4" t="s">
        <v>11</v>
      </c>
      <c r="H4">
        <v>24</v>
      </c>
      <c r="I4" t="s">
        <v>12</v>
      </c>
      <c r="J4" t="s">
        <v>18</v>
      </c>
      <c r="K4" t="s">
        <v>14</v>
      </c>
      <c r="L4" s="1">
        <v>49400000000</v>
      </c>
      <c r="M4" s="1">
        <v>507000000</v>
      </c>
      <c r="N4" s="1">
        <v>988000000</v>
      </c>
      <c r="O4" s="1">
        <v>21100000</v>
      </c>
      <c r="P4" s="1">
        <v>4170000000</v>
      </c>
      <c r="Q4" s="2">
        <f>L4/$L$137</f>
        <v>4.5321100917431192</v>
      </c>
      <c r="R4" s="2"/>
    </row>
    <row r="5" spans="1:18" hidden="1" x14ac:dyDescent="0.2">
      <c r="A5" t="s">
        <v>7</v>
      </c>
      <c r="B5" t="s">
        <v>19</v>
      </c>
      <c r="C5" t="s">
        <v>112</v>
      </c>
      <c r="D5" t="s">
        <v>9</v>
      </c>
      <c r="E5" t="s">
        <v>10</v>
      </c>
      <c r="F5" t="s">
        <v>10</v>
      </c>
      <c r="G5" t="s">
        <v>11</v>
      </c>
      <c r="H5">
        <v>48</v>
      </c>
      <c r="I5" t="s">
        <v>12</v>
      </c>
      <c r="J5" t="s">
        <v>20</v>
      </c>
      <c r="K5" t="s">
        <v>14</v>
      </c>
      <c r="L5" s="1">
        <v>87500000000</v>
      </c>
      <c r="M5" s="1">
        <v>1320000000</v>
      </c>
      <c r="N5" s="1">
        <v>1470000000</v>
      </c>
      <c r="O5" s="1">
        <v>26700000</v>
      </c>
      <c r="P5" s="1">
        <v>4530000000</v>
      </c>
      <c r="Q5" s="2">
        <f>L5/$L$145</f>
        <v>11.528326745718051</v>
      </c>
      <c r="R5" s="2"/>
    </row>
    <row r="6" spans="1:18" hidden="1" x14ac:dyDescent="0.2">
      <c r="A6" t="s">
        <v>7</v>
      </c>
      <c r="B6" t="s">
        <v>21</v>
      </c>
      <c r="C6" t="s">
        <v>112</v>
      </c>
      <c r="D6" t="s">
        <v>9</v>
      </c>
      <c r="E6" t="s">
        <v>37</v>
      </c>
      <c r="F6" t="s">
        <v>10</v>
      </c>
      <c r="G6" t="s">
        <v>11</v>
      </c>
      <c r="H6">
        <v>288</v>
      </c>
      <c r="I6" t="s">
        <v>12</v>
      </c>
      <c r="J6" t="s">
        <v>22</v>
      </c>
      <c r="K6" t="s">
        <v>14</v>
      </c>
      <c r="L6" s="1">
        <v>59400000000</v>
      </c>
      <c r="M6" s="1">
        <v>1330000000</v>
      </c>
      <c r="N6" s="1">
        <v>1300000000</v>
      </c>
      <c r="O6" s="1">
        <v>23000000</v>
      </c>
      <c r="P6" s="1">
        <v>4120000000</v>
      </c>
      <c r="Q6" s="2">
        <f>L6/$L$155</f>
        <v>5.0338983050847457</v>
      </c>
      <c r="R6" s="2"/>
    </row>
    <row r="7" spans="1:18" x14ac:dyDescent="0.2">
      <c r="A7" t="s">
        <v>7</v>
      </c>
      <c r="B7" t="s">
        <v>8</v>
      </c>
      <c r="C7" t="s">
        <v>113</v>
      </c>
      <c r="D7" t="s">
        <v>9</v>
      </c>
      <c r="E7" t="s">
        <v>10</v>
      </c>
      <c r="F7" t="s">
        <v>10</v>
      </c>
      <c r="G7" t="s">
        <v>23</v>
      </c>
      <c r="H7" t="s">
        <v>113</v>
      </c>
      <c r="I7" t="s">
        <v>24</v>
      </c>
      <c r="J7" t="s">
        <v>13</v>
      </c>
      <c r="K7" t="s">
        <v>14</v>
      </c>
      <c r="L7" s="1">
        <v>1830000000</v>
      </c>
      <c r="M7" s="1">
        <v>30700000</v>
      </c>
      <c r="N7" s="1">
        <v>18400000</v>
      </c>
      <c r="O7" s="1">
        <v>11300000</v>
      </c>
      <c r="P7" s="1">
        <v>95100000</v>
      </c>
      <c r="Q7"/>
    </row>
    <row r="8" spans="1:18" hidden="1" x14ac:dyDescent="0.2">
      <c r="A8" t="s">
        <v>7</v>
      </c>
      <c r="B8" t="s">
        <v>25</v>
      </c>
      <c r="D8" t="s">
        <v>9</v>
      </c>
      <c r="E8" t="s">
        <v>37</v>
      </c>
      <c r="F8" t="s">
        <v>10</v>
      </c>
      <c r="G8" t="s">
        <v>23</v>
      </c>
      <c r="H8">
        <v>4</v>
      </c>
      <c r="I8" t="s">
        <v>24</v>
      </c>
      <c r="J8" t="s">
        <v>16</v>
      </c>
      <c r="K8" t="s">
        <v>14</v>
      </c>
      <c r="L8" s="1">
        <v>32700000000</v>
      </c>
      <c r="M8" s="1">
        <v>558000000</v>
      </c>
      <c r="N8" s="1">
        <v>763000000</v>
      </c>
      <c r="O8" s="1">
        <v>18100000</v>
      </c>
      <c r="P8" s="1">
        <v>2480000000</v>
      </c>
      <c r="Q8" s="2">
        <f>L8/$L$62</f>
        <v>4.3311258278145699</v>
      </c>
      <c r="R8" s="2"/>
    </row>
    <row r="9" spans="1:18" hidden="1" x14ac:dyDescent="0.2">
      <c r="A9" t="s">
        <v>7</v>
      </c>
      <c r="B9" t="s">
        <v>26</v>
      </c>
      <c r="C9" t="s">
        <v>112</v>
      </c>
      <c r="D9" t="s">
        <v>9</v>
      </c>
      <c r="E9" t="s">
        <v>37</v>
      </c>
      <c r="F9" t="s">
        <v>10</v>
      </c>
      <c r="G9" t="s">
        <v>23</v>
      </c>
      <c r="H9">
        <v>24</v>
      </c>
      <c r="I9" t="s">
        <v>24</v>
      </c>
      <c r="J9" t="s">
        <v>18</v>
      </c>
      <c r="K9" t="s">
        <v>14</v>
      </c>
      <c r="L9" s="1">
        <v>37800000000</v>
      </c>
      <c r="M9" s="1">
        <v>478000000</v>
      </c>
      <c r="N9" s="1">
        <v>649000000</v>
      </c>
      <c r="O9" s="1">
        <v>18000000</v>
      </c>
      <c r="P9" s="1">
        <v>2320000000</v>
      </c>
      <c r="Q9" s="2">
        <f>L9/$L$136</f>
        <v>6.5739130434782611</v>
      </c>
      <c r="R9" s="2"/>
    </row>
    <row r="10" spans="1:18" hidden="1" x14ac:dyDescent="0.2">
      <c r="A10" t="s">
        <v>7</v>
      </c>
      <c r="B10" t="s">
        <v>27</v>
      </c>
      <c r="C10" t="s">
        <v>112</v>
      </c>
      <c r="D10" t="s">
        <v>9</v>
      </c>
      <c r="E10" t="s">
        <v>37</v>
      </c>
      <c r="F10" t="s">
        <v>10</v>
      </c>
      <c r="G10" t="s">
        <v>23</v>
      </c>
      <c r="H10">
        <v>48</v>
      </c>
      <c r="I10" t="s">
        <v>24</v>
      </c>
      <c r="J10" t="s">
        <v>20</v>
      </c>
      <c r="K10" t="s">
        <v>14</v>
      </c>
      <c r="L10" s="1">
        <v>25700000000</v>
      </c>
      <c r="M10" s="1">
        <v>721000000</v>
      </c>
      <c r="N10" s="1">
        <v>901000000</v>
      </c>
      <c r="O10" s="1">
        <v>20200000</v>
      </c>
      <c r="P10" s="1">
        <v>3270000000</v>
      </c>
      <c r="Q10" s="2">
        <f>L10/$L$146</f>
        <v>8.4539473684210531</v>
      </c>
      <c r="R10" s="2"/>
    </row>
    <row r="11" spans="1:18" hidden="1" x14ac:dyDescent="0.2">
      <c r="A11" t="s">
        <v>7</v>
      </c>
      <c r="B11" t="s">
        <v>28</v>
      </c>
      <c r="C11" t="s">
        <v>112</v>
      </c>
      <c r="D11" t="s">
        <v>9</v>
      </c>
      <c r="E11" t="s">
        <v>37</v>
      </c>
      <c r="F11" t="s">
        <v>10</v>
      </c>
      <c r="G11" t="s">
        <v>23</v>
      </c>
      <c r="H11">
        <v>288</v>
      </c>
      <c r="I11" t="s">
        <v>24</v>
      </c>
      <c r="J11" t="s">
        <v>22</v>
      </c>
      <c r="K11" t="s">
        <v>14</v>
      </c>
      <c r="L11" s="1">
        <v>36100000000</v>
      </c>
      <c r="M11" s="1">
        <v>844000000</v>
      </c>
      <c r="N11" s="1">
        <v>866000000</v>
      </c>
      <c r="O11" s="1">
        <v>17100000</v>
      </c>
      <c r="P11" s="1">
        <v>2740000000</v>
      </c>
      <c r="Q11" s="2">
        <f>L11/$L$157</f>
        <v>4.5294855708908406</v>
      </c>
      <c r="R11" s="2"/>
    </row>
    <row r="12" spans="1:18" x14ac:dyDescent="0.2">
      <c r="A12" t="s">
        <v>7</v>
      </c>
      <c r="B12" t="s">
        <v>29</v>
      </c>
      <c r="D12" t="s">
        <v>30</v>
      </c>
      <c r="E12" t="s">
        <v>10</v>
      </c>
      <c r="F12" t="s">
        <v>10</v>
      </c>
      <c r="G12" t="s">
        <v>31</v>
      </c>
      <c r="H12" t="s">
        <v>113</v>
      </c>
      <c r="I12" t="s">
        <v>32</v>
      </c>
      <c r="J12" t="s">
        <v>13</v>
      </c>
      <c r="K12" t="s">
        <v>14</v>
      </c>
      <c r="L12" s="1">
        <v>2570000000</v>
      </c>
      <c r="M12" s="1">
        <v>54400000</v>
      </c>
      <c r="N12" s="1">
        <v>82000000</v>
      </c>
      <c r="O12" s="1">
        <v>2550000</v>
      </c>
      <c r="P12" s="1">
        <v>313000000</v>
      </c>
      <c r="Q12"/>
    </row>
    <row r="13" spans="1:18" hidden="1" x14ac:dyDescent="0.2">
      <c r="A13" t="s">
        <v>7</v>
      </c>
      <c r="B13" t="s">
        <v>33</v>
      </c>
      <c r="C13" t="s">
        <v>112</v>
      </c>
      <c r="D13" t="s">
        <v>30</v>
      </c>
      <c r="E13" t="s">
        <v>37</v>
      </c>
      <c r="F13" t="s">
        <v>10</v>
      </c>
      <c r="G13" t="s">
        <v>31</v>
      </c>
      <c r="H13">
        <v>4</v>
      </c>
      <c r="I13" t="s">
        <v>32</v>
      </c>
      <c r="J13" t="s">
        <v>16</v>
      </c>
      <c r="K13" t="s">
        <v>14</v>
      </c>
      <c r="L13" s="1">
        <v>6450000000</v>
      </c>
      <c r="M13" s="1">
        <v>124000000</v>
      </c>
      <c r="N13" s="1">
        <v>167000000</v>
      </c>
      <c r="O13" s="1">
        <v>1390000</v>
      </c>
      <c r="P13" s="1">
        <v>533000000</v>
      </c>
      <c r="Q13" s="2">
        <f>L13/$L$61</f>
        <v>1.0173501577287065</v>
      </c>
      <c r="R13" s="2"/>
    </row>
    <row r="14" spans="1:18" hidden="1" x14ac:dyDescent="0.2">
      <c r="A14" t="s">
        <v>7</v>
      </c>
      <c r="B14" t="s">
        <v>34</v>
      </c>
      <c r="C14" t="s">
        <v>112</v>
      </c>
      <c r="D14" t="s">
        <v>30</v>
      </c>
      <c r="E14" t="s">
        <v>37</v>
      </c>
      <c r="F14" t="s">
        <v>10</v>
      </c>
      <c r="G14" t="s">
        <v>31</v>
      </c>
      <c r="H14">
        <v>24</v>
      </c>
      <c r="I14" t="s">
        <v>32</v>
      </c>
      <c r="J14" t="s">
        <v>18</v>
      </c>
      <c r="K14" t="s">
        <v>14</v>
      </c>
      <c r="L14" s="1">
        <v>14700000000</v>
      </c>
      <c r="M14" s="1">
        <v>253000000</v>
      </c>
      <c r="N14" s="1">
        <v>306000000</v>
      </c>
      <c r="O14" s="1">
        <v>3390000</v>
      </c>
      <c r="P14" s="1">
        <v>970000000</v>
      </c>
      <c r="Q14" s="2">
        <f>L14/$L$83</f>
        <v>3.3182844243792324</v>
      </c>
      <c r="R14" s="2"/>
    </row>
    <row r="15" spans="1:18" hidden="1" x14ac:dyDescent="0.2">
      <c r="A15" t="s">
        <v>7</v>
      </c>
      <c r="B15" t="s">
        <v>35</v>
      </c>
      <c r="C15" t="s">
        <v>112</v>
      </c>
      <c r="D15" t="s">
        <v>30</v>
      </c>
      <c r="E15" t="s">
        <v>10</v>
      </c>
      <c r="F15" t="s">
        <v>10</v>
      </c>
      <c r="G15" t="s">
        <v>31</v>
      </c>
      <c r="H15">
        <v>48</v>
      </c>
      <c r="I15" t="s">
        <v>32</v>
      </c>
      <c r="J15" t="s">
        <v>20</v>
      </c>
      <c r="K15" t="s">
        <v>14</v>
      </c>
      <c r="L15" s="1">
        <v>44700000000</v>
      </c>
      <c r="M15" s="1">
        <v>503000000</v>
      </c>
      <c r="N15" s="1">
        <v>579000000</v>
      </c>
      <c r="O15" s="1">
        <v>6610000</v>
      </c>
      <c r="P15" s="1">
        <v>1930000000</v>
      </c>
      <c r="Q15" s="2">
        <f>L15/$L$106</f>
        <v>10.252293577981652</v>
      </c>
      <c r="R15" s="2"/>
    </row>
    <row r="16" spans="1:18" hidden="1" x14ac:dyDescent="0.2">
      <c r="A16" t="s">
        <v>7</v>
      </c>
      <c r="B16" t="s">
        <v>36</v>
      </c>
      <c r="C16" t="s">
        <v>112</v>
      </c>
      <c r="D16" t="s">
        <v>30</v>
      </c>
      <c r="E16" t="s">
        <v>37</v>
      </c>
      <c r="F16" t="s">
        <v>10</v>
      </c>
      <c r="G16" t="s">
        <v>31</v>
      </c>
      <c r="H16">
        <v>288</v>
      </c>
      <c r="I16" t="s">
        <v>32</v>
      </c>
      <c r="J16" t="s">
        <v>22</v>
      </c>
      <c r="K16" t="s">
        <v>14</v>
      </c>
      <c r="L16" s="1">
        <v>13000000000</v>
      </c>
      <c r="M16" s="1">
        <v>136000000</v>
      </c>
      <c r="N16" s="1">
        <v>187000000</v>
      </c>
      <c r="O16" s="1">
        <v>3650000</v>
      </c>
      <c r="P16" s="1">
        <v>667000000</v>
      </c>
      <c r="Q16" s="2">
        <f>L16/$L$154</f>
        <v>2.1885521885521886</v>
      </c>
      <c r="R16" s="2"/>
    </row>
    <row r="17" spans="1:18" x14ac:dyDescent="0.2">
      <c r="A17" t="s">
        <v>7</v>
      </c>
      <c r="B17" t="s">
        <v>29</v>
      </c>
      <c r="D17" t="s">
        <v>30</v>
      </c>
      <c r="E17" t="s">
        <v>10</v>
      </c>
      <c r="F17" t="s">
        <v>10</v>
      </c>
      <c r="G17" t="s">
        <v>38</v>
      </c>
      <c r="H17" t="s">
        <v>113</v>
      </c>
      <c r="I17" t="s">
        <v>39</v>
      </c>
      <c r="J17" t="s">
        <v>13</v>
      </c>
      <c r="K17" t="s">
        <v>14</v>
      </c>
      <c r="L17" s="1">
        <v>2380000000</v>
      </c>
      <c r="M17" s="1">
        <v>50200000</v>
      </c>
      <c r="N17" s="1">
        <v>76700000</v>
      </c>
      <c r="O17" s="1">
        <v>3570000</v>
      </c>
      <c r="P17" s="1">
        <v>297000000</v>
      </c>
      <c r="Q17"/>
    </row>
    <row r="18" spans="1:18" hidden="1" x14ac:dyDescent="0.2">
      <c r="A18" t="s">
        <v>7</v>
      </c>
      <c r="B18" t="s">
        <v>15</v>
      </c>
      <c r="C18" t="s">
        <v>112</v>
      </c>
      <c r="D18" t="s">
        <v>30</v>
      </c>
      <c r="E18" t="s">
        <v>37</v>
      </c>
      <c r="F18" t="s">
        <v>10</v>
      </c>
      <c r="G18" t="s">
        <v>38</v>
      </c>
      <c r="H18">
        <v>4</v>
      </c>
      <c r="I18" t="s">
        <v>39</v>
      </c>
      <c r="J18" t="s">
        <v>16</v>
      </c>
      <c r="K18" t="s">
        <v>14</v>
      </c>
      <c r="L18" s="1">
        <v>9230000000</v>
      </c>
      <c r="M18" s="1">
        <v>133000000</v>
      </c>
      <c r="N18" s="1">
        <v>180000000</v>
      </c>
      <c r="O18" s="1">
        <v>4000000</v>
      </c>
      <c r="P18" s="1">
        <v>689000000</v>
      </c>
      <c r="Q18" s="2">
        <f>L18/$L$63</f>
        <v>1.5886402753872633</v>
      </c>
      <c r="R18" s="2"/>
    </row>
    <row r="19" spans="1:18" hidden="1" x14ac:dyDescent="0.2">
      <c r="A19" t="s">
        <v>7</v>
      </c>
      <c r="B19" t="s">
        <v>40</v>
      </c>
      <c r="C19" t="s">
        <v>112</v>
      </c>
      <c r="D19" t="s">
        <v>30</v>
      </c>
      <c r="E19" t="s">
        <v>37</v>
      </c>
      <c r="F19" t="s">
        <v>10</v>
      </c>
      <c r="G19" t="s">
        <v>38</v>
      </c>
      <c r="H19">
        <v>24</v>
      </c>
      <c r="I19" t="s">
        <v>39</v>
      </c>
      <c r="J19" t="s">
        <v>18</v>
      </c>
      <c r="K19" t="s">
        <v>14</v>
      </c>
      <c r="L19" s="1">
        <v>10400000000</v>
      </c>
      <c r="M19" s="1">
        <v>200000000</v>
      </c>
      <c r="N19" s="1">
        <v>292000000</v>
      </c>
      <c r="O19" s="1">
        <v>4640000</v>
      </c>
      <c r="P19" s="1">
        <v>959000000</v>
      </c>
      <c r="Q19" s="2">
        <f>L19/$L$82</f>
        <v>2.6804123711340204</v>
      </c>
      <c r="R19" s="2"/>
    </row>
    <row r="20" spans="1:18" hidden="1" x14ac:dyDescent="0.2">
      <c r="A20" t="s">
        <v>7</v>
      </c>
      <c r="B20" t="s">
        <v>41</v>
      </c>
      <c r="C20" t="s">
        <v>112</v>
      </c>
      <c r="D20" t="s">
        <v>30</v>
      </c>
      <c r="E20" t="s">
        <v>10</v>
      </c>
      <c r="F20" t="s">
        <v>10</v>
      </c>
      <c r="G20" t="s">
        <v>38</v>
      </c>
      <c r="H20">
        <v>48</v>
      </c>
      <c r="I20" t="s">
        <v>39</v>
      </c>
      <c r="J20" t="s">
        <v>20</v>
      </c>
      <c r="K20" t="s">
        <v>14</v>
      </c>
      <c r="L20" s="1">
        <v>165000000000</v>
      </c>
      <c r="M20" s="1">
        <v>179000000</v>
      </c>
      <c r="N20" s="1">
        <v>306000000</v>
      </c>
      <c r="O20" s="1">
        <v>5460000</v>
      </c>
      <c r="P20" s="1">
        <v>1060000000</v>
      </c>
      <c r="Q20" s="2">
        <f>L20/$L$107</f>
        <v>47.826086956521742</v>
      </c>
      <c r="R20" s="2"/>
    </row>
    <row r="21" spans="1:18" hidden="1" x14ac:dyDescent="0.2">
      <c r="A21" t="s">
        <v>7</v>
      </c>
      <c r="B21" t="s">
        <v>36</v>
      </c>
      <c r="C21" t="s">
        <v>112</v>
      </c>
      <c r="D21" t="s">
        <v>30</v>
      </c>
      <c r="E21" t="s">
        <v>37</v>
      </c>
      <c r="F21" t="s">
        <v>10</v>
      </c>
      <c r="G21" t="s">
        <v>38</v>
      </c>
      <c r="H21">
        <v>288</v>
      </c>
      <c r="I21" t="s">
        <v>39</v>
      </c>
      <c r="J21" t="s">
        <v>22</v>
      </c>
      <c r="K21" t="s">
        <v>14</v>
      </c>
      <c r="L21" s="1">
        <v>12200000000</v>
      </c>
      <c r="M21" s="1">
        <v>124000000</v>
      </c>
      <c r="N21" s="1">
        <v>177000000</v>
      </c>
      <c r="O21" s="1">
        <v>4030000</v>
      </c>
      <c r="P21" s="1">
        <v>647000000</v>
      </c>
      <c r="Q21" s="2">
        <f>L21/$L$154</f>
        <v>2.0538720538720541</v>
      </c>
      <c r="R21" s="2"/>
    </row>
    <row r="22" spans="1:18" x14ac:dyDescent="0.2">
      <c r="A22" t="s">
        <v>42</v>
      </c>
      <c r="B22" t="s">
        <v>43</v>
      </c>
      <c r="D22" t="s">
        <v>30</v>
      </c>
      <c r="E22" t="s">
        <v>10</v>
      </c>
      <c r="F22" t="s">
        <v>10</v>
      </c>
      <c r="G22" t="s">
        <v>44</v>
      </c>
      <c r="H22" t="s">
        <v>113</v>
      </c>
      <c r="I22" t="s">
        <v>45</v>
      </c>
      <c r="J22" t="s">
        <v>13</v>
      </c>
      <c r="K22" t="s">
        <v>14</v>
      </c>
      <c r="L22" s="1">
        <v>3660000000</v>
      </c>
      <c r="M22" s="1">
        <v>123000000</v>
      </c>
      <c r="N22" s="1">
        <v>93500000</v>
      </c>
      <c r="O22" s="1">
        <v>5490000</v>
      </c>
      <c r="P22" s="1">
        <v>311000000</v>
      </c>
      <c r="Q22"/>
    </row>
    <row r="23" spans="1:18" hidden="1" x14ac:dyDescent="0.2">
      <c r="A23" t="s">
        <v>42</v>
      </c>
      <c r="B23" t="s">
        <v>25</v>
      </c>
      <c r="D23" t="s">
        <v>30</v>
      </c>
      <c r="E23" t="s">
        <v>10</v>
      </c>
      <c r="F23" t="s">
        <v>10</v>
      </c>
      <c r="G23" t="s">
        <v>44</v>
      </c>
      <c r="H23">
        <v>4</v>
      </c>
      <c r="I23" t="s">
        <v>45</v>
      </c>
      <c r="J23" t="s">
        <v>16</v>
      </c>
      <c r="K23" t="s">
        <v>14</v>
      </c>
      <c r="L23" s="1">
        <v>17400000000</v>
      </c>
      <c r="M23" s="1">
        <v>583000000</v>
      </c>
      <c r="N23" s="1">
        <v>490000000</v>
      </c>
      <c r="O23" s="1">
        <v>3810000</v>
      </c>
      <c r="P23" s="1">
        <v>1430000000</v>
      </c>
      <c r="Q23" s="2">
        <f>L23/$L$127</f>
        <v>1.7058823529411764</v>
      </c>
      <c r="R23" s="2"/>
    </row>
    <row r="24" spans="1:18" hidden="1" x14ac:dyDescent="0.2">
      <c r="A24" t="s">
        <v>42</v>
      </c>
      <c r="B24" t="s">
        <v>34</v>
      </c>
      <c r="C24" t="s">
        <v>112</v>
      </c>
      <c r="D24" t="s">
        <v>30</v>
      </c>
      <c r="E24" t="s">
        <v>10</v>
      </c>
      <c r="F24" t="s">
        <v>10</v>
      </c>
      <c r="G24" t="s">
        <v>44</v>
      </c>
      <c r="H24">
        <v>24</v>
      </c>
      <c r="I24" t="s">
        <v>45</v>
      </c>
      <c r="J24" t="s">
        <v>18</v>
      </c>
      <c r="K24" t="s">
        <v>14</v>
      </c>
      <c r="L24" s="1">
        <v>4340000000</v>
      </c>
      <c r="M24" s="1">
        <v>107000000</v>
      </c>
      <c r="N24" s="1">
        <v>89300000</v>
      </c>
      <c r="O24" s="1">
        <v>2050000</v>
      </c>
      <c r="P24" s="1">
        <v>264000000</v>
      </c>
      <c r="Q24" s="2">
        <f>L24/$L$83</f>
        <v>0.97968397291196385</v>
      </c>
      <c r="R24" s="2"/>
    </row>
    <row r="25" spans="1:18" hidden="1" x14ac:dyDescent="0.2">
      <c r="A25" t="s">
        <v>42</v>
      </c>
      <c r="B25" t="s">
        <v>41</v>
      </c>
      <c r="C25" t="s">
        <v>112</v>
      </c>
      <c r="D25" t="s">
        <v>30</v>
      </c>
      <c r="E25" t="s">
        <v>10</v>
      </c>
      <c r="F25" t="s">
        <v>10</v>
      </c>
      <c r="G25" t="s">
        <v>44</v>
      </c>
      <c r="H25">
        <v>48</v>
      </c>
      <c r="I25" t="s">
        <v>45</v>
      </c>
      <c r="J25" t="s">
        <v>20</v>
      </c>
      <c r="K25" t="s">
        <v>14</v>
      </c>
      <c r="L25" s="1">
        <v>8600000000</v>
      </c>
      <c r="M25" s="1">
        <v>188000000</v>
      </c>
      <c r="N25" s="1">
        <v>147000000</v>
      </c>
      <c r="O25" s="1">
        <v>2620000</v>
      </c>
      <c r="P25" s="1">
        <v>503000000</v>
      </c>
      <c r="Q25" s="2">
        <f>L25/$L$107</f>
        <v>2.4927536231884058</v>
      </c>
      <c r="R25" s="2"/>
    </row>
    <row r="26" spans="1:18" hidden="1" x14ac:dyDescent="0.2">
      <c r="A26" t="s">
        <v>42</v>
      </c>
      <c r="B26" t="s">
        <v>28</v>
      </c>
      <c r="C26" t="s">
        <v>112</v>
      </c>
      <c r="D26" t="s">
        <v>30</v>
      </c>
      <c r="E26" t="s">
        <v>10</v>
      </c>
      <c r="F26" t="s">
        <v>10</v>
      </c>
      <c r="G26" t="s">
        <v>44</v>
      </c>
      <c r="H26">
        <v>288</v>
      </c>
      <c r="I26" t="s">
        <v>45</v>
      </c>
      <c r="J26" t="s">
        <v>22</v>
      </c>
      <c r="K26" t="s">
        <v>14</v>
      </c>
      <c r="L26" s="1">
        <v>1400000000</v>
      </c>
      <c r="M26" s="1">
        <v>38600000</v>
      </c>
      <c r="N26" s="1">
        <v>27000000</v>
      </c>
      <c r="O26" s="1">
        <v>1640000</v>
      </c>
      <c r="P26" s="1">
        <v>99000000</v>
      </c>
      <c r="Q26" s="2">
        <f>L26/$L$157</f>
        <v>0.17565872020075282</v>
      </c>
    </row>
    <row r="27" spans="1:18" x14ac:dyDescent="0.2">
      <c r="A27" t="s">
        <v>42</v>
      </c>
      <c r="B27" t="s">
        <v>8</v>
      </c>
      <c r="C27" t="s">
        <v>113</v>
      </c>
      <c r="D27" t="s">
        <v>30</v>
      </c>
      <c r="E27" t="s">
        <v>10</v>
      </c>
      <c r="F27" t="s">
        <v>10</v>
      </c>
      <c r="G27" t="s">
        <v>44</v>
      </c>
      <c r="H27" t="s">
        <v>113</v>
      </c>
      <c r="I27" t="s">
        <v>45</v>
      </c>
      <c r="J27" t="s">
        <v>46</v>
      </c>
      <c r="K27" t="s">
        <v>14</v>
      </c>
      <c r="L27" s="1">
        <v>2320000000</v>
      </c>
      <c r="M27" s="1">
        <v>75100000</v>
      </c>
      <c r="N27" s="1">
        <v>49300000</v>
      </c>
      <c r="O27" s="1">
        <v>1590000</v>
      </c>
      <c r="P27" s="1">
        <v>221000000</v>
      </c>
      <c r="Q27"/>
    </row>
    <row r="28" spans="1:18" hidden="1" x14ac:dyDescent="0.2">
      <c r="A28" t="s">
        <v>42</v>
      </c>
      <c r="B28" t="s">
        <v>33</v>
      </c>
      <c r="C28" t="s">
        <v>112</v>
      </c>
      <c r="D28" t="s">
        <v>30</v>
      </c>
      <c r="E28" t="s">
        <v>10</v>
      </c>
      <c r="F28" t="s">
        <v>10</v>
      </c>
      <c r="G28" t="s">
        <v>44</v>
      </c>
      <c r="H28">
        <v>4</v>
      </c>
      <c r="I28" t="s">
        <v>45</v>
      </c>
      <c r="J28" t="s">
        <v>47</v>
      </c>
      <c r="K28" t="s">
        <v>14</v>
      </c>
      <c r="L28" s="1">
        <v>13400000000</v>
      </c>
      <c r="M28" s="1">
        <v>449000000</v>
      </c>
      <c r="N28" s="1">
        <v>477000000</v>
      </c>
      <c r="O28" s="1">
        <v>3280000</v>
      </c>
      <c r="P28" s="1">
        <v>1500000000</v>
      </c>
      <c r="Q28" s="2">
        <f>L28/$L$61</f>
        <v>2.1135646687697163</v>
      </c>
      <c r="R28" s="2"/>
    </row>
    <row r="29" spans="1:18" hidden="1" x14ac:dyDescent="0.2">
      <c r="A29" t="s">
        <v>42</v>
      </c>
      <c r="B29" t="s">
        <v>40</v>
      </c>
      <c r="C29" t="s">
        <v>112</v>
      </c>
      <c r="D29" t="s">
        <v>30</v>
      </c>
      <c r="E29" t="s">
        <v>10</v>
      </c>
      <c r="F29" t="s">
        <v>10</v>
      </c>
      <c r="G29" t="s">
        <v>44</v>
      </c>
      <c r="H29">
        <v>24</v>
      </c>
      <c r="I29" t="s">
        <v>45</v>
      </c>
      <c r="J29" t="s">
        <v>48</v>
      </c>
      <c r="K29" t="s">
        <v>14</v>
      </c>
      <c r="L29" s="1">
        <v>4310000000</v>
      </c>
      <c r="M29" s="1">
        <v>145000000</v>
      </c>
      <c r="N29" s="1">
        <v>122000000</v>
      </c>
      <c r="O29" s="1">
        <v>2710000</v>
      </c>
      <c r="P29" s="1">
        <v>393000000</v>
      </c>
      <c r="Q29" s="2">
        <f>L29/$L$82</f>
        <v>1.1108247422680413</v>
      </c>
      <c r="R29" s="2"/>
    </row>
    <row r="30" spans="1:18" hidden="1" x14ac:dyDescent="0.2">
      <c r="A30" t="s">
        <v>42</v>
      </c>
      <c r="B30" t="s">
        <v>35</v>
      </c>
      <c r="C30" t="s">
        <v>112</v>
      </c>
      <c r="D30" t="s">
        <v>30</v>
      </c>
      <c r="E30" t="s">
        <v>10</v>
      </c>
      <c r="F30" t="s">
        <v>10</v>
      </c>
      <c r="G30" t="s">
        <v>44</v>
      </c>
      <c r="H30">
        <v>48</v>
      </c>
      <c r="I30" t="s">
        <v>45</v>
      </c>
      <c r="J30" t="s">
        <v>49</v>
      </c>
      <c r="K30" t="s">
        <v>14</v>
      </c>
      <c r="L30" s="1">
        <v>9180000000</v>
      </c>
      <c r="M30" s="1">
        <v>308000000</v>
      </c>
      <c r="N30" s="1">
        <v>224000000</v>
      </c>
      <c r="O30" s="1">
        <v>1960000</v>
      </c>
      <c r="P30" s="1">
        <v>700000000</v>
      </c>
      <c r="Q30" s="2">
        <f>L30/$L$106</f>
        <v>2.1055045871559632</v>
      </c>
      <c r="R30" s="2"/>
    </row>
    <row r="31" spans="1:18" hidden="1" x14ac:dyDescent="0.2">
      <c r="A31" t="s">
        <v>42</v>
      </c>
      <c r="B31" t="s">
        <v>50</v>
      </c>
      <c r="C31" t="s">
        <v>112</v>
      </c>
      <c r="D31" t="s">
        <v>30</v>
      </c>
      <c r="E31" t="s">
        <v>10</v>
      </c>
      <c r="F31" t="s">
        <v>10</v>
      </c>
      <c r="G31" t="s">
        <v>44</v>
      </c>
      <c r="H31">
        <v>288</v>
      </c>
      <c r="I31" t="s">
        <v>45</v>
      </c>
      <c r="J31" t="s">
        <v>51</v>
      </c>
      <c r="K31" t="s">
        <v>14</v>
      </c>
      <c r="L31" s="1">
        <v>1060000000</v>
      </c>
      <c r="M31" s="1">
        <v>35500000</v>
      </c>
      <c r="N31" s="1">
        <v>24300000</v>
      </c>
      <c r="O31" s="1">
        <v>1920000</v>
      </c>
      <c r="P31" s="1">
        <v>75900000</v>
      </c>
      <c r="Q31" s="2">
        <f>L31/$L$156</f>
        <v>0.17785234899328858</v>
      </c>
    </row>
    <row r="32" spans="1:18" x14ac:dyDescent="0.2">
      <c r="A32" t="s">
        <v>42</v>
      </c>
      <c r="B32" t="s">
        <v>43</v>
      </c>
      <c r="D32" t="s">
        <v>9</v>
      </c>
      <c r="E32" t="s">
        <v>10</v>
      </c>
      <c r="F32" t="s">
        <v>10</v>
      </c>
      <c r="G32" t="s">
        <v>52</v>
      </c>
      <c r="H32" t="s">
        <v>113</v>
      </c>
      <c r="I32" t="s">
        <v>53</v>
      </c>
      <c r="J32" t="s">
        <v>13</v>
      </c>
      <c r="K32" t="s">
        <v>14</v>
      </c>
      <c r="L32" s="1">
        <v>3390000000</v>
      </c>
      <c r="M32" s="1">
        <v>89200000</v>
      </c>
      <c r="N32" s="1">
        <v>51500000</v>
      </c>
      <c r="O32" s="1">
        <v>28700000</v>
      </c>
      <c r="P32" s="1">
        <v>212000000</v>
      </c>
      <c r="Q32"/>
    </row>
    <row r="33" spans="1:18" hidden="1" x14ac:dyDescent="0.2">
      <c r="A33" t="s">
        <v>42</v>
      </c>
      <c r="B33" t="s">
        <v>33</v>
      </c>
      <c r="C33" t="s">
        <v>112</v>
      </c>
      <c r="D33" t="s">
        <v>9</v>
      </c>
      <c r="E33" t="s">
        <v>10</v>
      </c>
      <c r="F33" t="s">
        <v>10</v>
      </c>
      <c r="G33" t="s">
        <v>52</v>
      </c>
      <c r="H33">
        <v>4</v>
      </c>
      <c r="I33" t="s">
        <v>53</v>
      </c>
      <c r="J33" t="s">
        <v>16</v>
      </c>
      <c r="K33" t="s">
        <v>14</v>
      </c>
      <c r="L33" s="1">
        <v>5790000000</v>
      </c>
      <c r="M33" s="1">
        <v>152000000</v>
      </c>
      <c r="N33" s="1">
        <v>91600000</v>
      </c>
      <c r="O33" s="1">
        <v>46900000</v>
      </c>
      <c r="P33" s="1">
        <v>348000000</v>
      </c>
      <c r="Q33" s="2">
        <f>L33/$L$61</f>
        <v>0.91324921135646686</v>
      </c>
      <c r="R33" s="2"/>
    </row>
    <row r="34" spans="1:18" hidden="1" x14ac:dyDescent="0.2">
      <c r="A34" t="s">
        <v>42</v>
      </c>
      <c r="B34" t="s">
        <v>40</v>
      </c>
      <c r="C34" t="s">
        <v>112</v>
      </c>
      <c r="D34" t="s">
        <v>9</v>
      </c>
      <c r="E34" t="s">
        <v>37</v>
      </c>
      <c r="F34" t="s">
        <v>10</v>
      </c>
      <c r="G34" t="s">
        <v>52</v>
      </c>
      <c r="H34">
        <v>24</v>
      </c>
      <c r="I34" t="s">
        <v>53</v>
      </c>
      <c r="J34" t="s">
        <v>18</v>
      </c>
      <c r="K34" t="s">
        <v>14</v>
      </c>
      <c r="L34" s="1">
        <v>75100000000</v>
      </c>
      <c r="M34" s="1">
        <v>1440000000</v>
      </c>
      <c r="N34" s="1">
        <v>1730000000</v>
      </c>
      <c r="O34" s="1">
        <v>51100000</v>
      </c>
      <c r="P34" s="1">
        <v>4690000000</v>
      </c>
      <c r="Q34" s="2">
        <f>L34/$L$82</f>
        <v>19.355670103092784</v>
      </c>
      <c r="R34" s="2"/>
    </row>
    <row r="35" spans="1:18" hidden="1" x14ac:dyDescent="0.2">
      <c r="A35" t="s">
        <v>42</v>
      </c>
      <c r="B35" t="s">
        <v>41</v>
      </c>
      <c r="C35" t="s">
        <v>112</v>
      </c>
      <c r="D35" t="s">
        <v>9</v>
      </c>
      <c r="E35" t="s">
        <v>37</v>
      </c>
      <c r="F35" t="s">
        <v>10</v>
      </c>
      <c r="G35" t="s">
        <v>52</v>
      </c>
      <c r="H35">
        <v>48</v>
      </c>
      <c r="I35" t="s">
        <v>53</v>
      </c>
      <c r="J35" t="s">
        <v>20</v>
      </c>
      <c r="K35" t="s">
        <v>14</v>
      </c>
      <c r="L35" s="1">
        <v>47500000000</v>
      </c>
      <c r="M35" s="1">
        <v>1480000000</v>
      </c>
      <c r="N35" s="1">
        <v>1690000000</v>
      </c>
      <c r="O35" s="1">
        <v>43300000</v>
      </c>
      <c r="P35" s="1">
        <v>5130000000</v>
      </c>
      <c r="Q35" s="2">
        <f>L35/$L$107</f>
        <v>13.768115942028986</v>
      </c>
      <c r="R35" s="2"/>
    </row>
    <row r="36" spans="1:18" hidden="1" x14ac:dyDescent="0.2">
      <c r="A36" t="s">
        <v>42</v>
      </c>
      <c r="B36" t="s">
        <v>50</v>
      </c>
      <c r="C36" t="s">
        <v>112</v>
      </c>
      <c r="D36" t="s">
        <v>9</v>
      </c>
      <c r="E36" t="s">
        <v>37</v>
      </c>
      <c r="F36" t="s">
        <v>10</v>
      </c>
      <c r="G36" t="s">
        <v>52</v>
      </c>
      <c r="H36">
        <v>288</v>
      </c>
      <c r="I36" t="s">
        <v>53</v>
      </c>
      <c r="J36" t="s">
        <v>22</v>
      </c>
      <c r="K36" t="s">
        <v>14</v>
      </c>
      <c r="L36" s="1">
        <v>46000000000</v>
      </c>
      <c r="M36" s="1">
        <v>1350000000</v>
      </c>
      <c r="N36" s="1">
        <v>1280000000</v>
      </c>
      <c r="O36" s="1">
        <v>40100000</v>
      </c>
      <c r="P36" s="1">
        <v>3820000000</v>
      </c>
      <c r="Q36" s="2">
        <f>L36/$L$156</f>
        <v>7.7181208053691277</v>
      </c>
    </row>
    <row r="37" spans="1:18" x14ac:dyDescent="0.2">
      <c r="A37" t="s">
        <v>42</v>
      </c>
      <c r="B37" t="s">
        <v>43</v>
      </c>
      <c r="D37" t="s">
        <v>9</v>
      </c>
      <c r="E37" t="s">
        <v>10</v>
      </c>
      <c r="F37" t="s">
        <v>10</v>
      </c>
      <c r="G37" t="s">
        <v>54</v>
      </c>
      <c r="H37" t="s">
        <v>113</v>
      </c>
      <c r="I37" t="s">
        <v>55</v>
      </c>
      <c r="J37" t="s">
        <v>13</v>
      </c>
      <c r="K37" t="s">
        <v>14</v>
      </c>
      <c r="L37" s="1">
        <v>2180000000</v>
      </c>
      <c r="M37" s="1">
        <v>70700000</v>
      </c>
      <c r="N37" s="1">
        <v>48400000</v>
      </c>
      <c r="O37" s="1">
        <v>15800000</v>
      </c>
      <c r="P37" s="1">
        <v>164000000</v>
      </c>
      <c r="Q37"/>
    </row>
    <row r="38" spans="1:18" hidden="1" x14ac:dyDescent="0.2">
      <c r="A38" t="s">
        <v>42</v>
      </c>
      <c r="B38" t="s">
        <v>15</v>
      </c>
      <c r="C38" t="s">
        <v>112</v>
      </c>
      <c r="D38" t="s">
        <v>9</v>
      </c>
      <c r="E38" t="s">
        <v>10</v>
      </c>
      <c r="F38" t="s">
        <v>10</v>
      </c>
      <c r="G38" t="s">
        <v>54</v>
      </c>
      <c r="H38">
        <v>4</v>
      </c>
      <c r="I38" t="s">
        <v>55</v>
      </c>
      <c r="J38" t="s">
        <v>16</v>
      </c>
      <c r="K38" t="s">
        <v>14</v>
      </c>
      <c r="L38" s="1">
        <v>38900000000</v>
      </c>
      <c r="M38" s="1">
        <v>1100000000</v>
      </c>
      <c r="N38" s="1">
        <v>878000000</v>
      </c>
      <c r="O38" s="1">
        <v>17300000</v>
      </c>
      <c r="P38" s="1">
        <v>2480000000</v>
      </c>
      <c r="Q38" s="2">
        <f>L38/$L$63</f>
        <v>6.6953528399311528</v>
      </c>
      <c r="R38" s="2"/>
    </row>
    <row r="39" spans="1:18" hidden="1" x14ac:dyDescent="0.2">
      <c r="A39" t="s">
        <v>42</v>
      </c>
      <c r="B39" t="s">
        <v>26</v>
      </c>
      <c r="C39" t="s">
        <v>112</v>
      </c>
      <c r="D39" t="s">
        <v>9</v>
      </c>
      <c r="E39" t="s">
        <v>37</v>
      </c>
      <c r="F39" t="s">
        <v>10</v>
      </c>
      <c r="G39" t="s">
        <v>54</v>
      </c>
      <c r="H39">
        <v>24</v>
      </c>
      <c r="I39" t="s">
        <v>55</v>
      </c>
      <c r="J39" t="s">
        <v>18</v>
      </c>
      <c r="K39" t="s">
        <v>14</v>
      </c>
      <c r="L39" s="1">
        <v>60000000000</v>
      </c>
      <c r="M39" s="1">
        <v>2020000000</v>
      </c>
      <c r="N39" s="1">
        <v>1580000000</v>
      </c>
      <c r="O39" s="1">
        <v>24200000</v>
      </c>
      <c r="P39" s="1">
        <v>4200000000</v>
      </c>
      <c r="Q39" s="2">
        <f>L39/$L$136</f>
        <v>10.434782608695652</v>
      </c>
      <c r="R39" s="2"/>
    </row>
    <row r="40" spans="1:18" hidden="1" x14ac:dyDescent="0.2">
      <c r="A40" t="s">
        <v>42</v>
      </c>
      <c r="B40" t="s">
        <v>19</v>
      </c>
      <c r="C40" t="s">
        <v>112</v>
      </c>
      <c r="D40" t="s">
        <v>9</v>
      </c>
      <c r="E40" t="s">
        <v>37</v>
      </c>
      <c r="F40" t="s">
        <v>10</v>
      </c>
      <c r="G40" t="s">
        <v>54</v>
      </c>
      <c r="H40">
        <v>48</v>
      </c>
      <c r="I40" t="s">
        <v>55</v>
      </c>
      <c r="J40" t="s">
        <v>20</v>
      </c>
      <c r="K40" t="s">
        <v>14</v>
      </c>
      <c r="L40" s="1">
        <v>41100000000</v>
      </c>
      <c r="M40" s="1">
        <v>1380000000</v>
      </c>
      <c r="N40" s="1">
        <v>1530000000</v>
      </c>
      <c r="O40" s="1">
        <v>20000000</v>
      </c>
      <c r="P40" s="1">
        <v>4670000000</v>
      </c>
      <c r="Q40" s="2">
        <f>L40/$L$145</f>
        <v>5.4150197628458496</v>
      </c>
      <c r="R40" s="2"/>
    </row>
    <row r="41" spans="1:18" hidden="1" x14ac:dyDescent="0.2">
      <c r="A41" t="s">
        <v>42</v>
      </c>
      <c r="B41" t="s">
        <v>21</v>
      </c>
      <c r="C41" t="s">
        <v>112</v>
      </c>
      <c r="D41" t="s">
        <v>9</v>
      </c>
      <c r="E41" t="s">
        <v>10</v>
      </c>
      <c r="F41" t="s">
        <v>10</v>
      </c>
      <c r="G41" t="s">
        <v>54</v>
      </c>
      <c r="H41">
        <v>288</v>
      </c>
      <c r="I41" t="s">
        <v>55</v>
      </c>
      <c r="J41" t="s">
        <v>22</v>
      </c>
      <c r="K41" t="s">
        <v>14</v>
      </c>
      <c r="L41" s="1">
        <v>40900000000</v>
      </c>
      <c r="M41" s="1">
        <v>1370000000</v>
      </c>
      <c r="N41" s="1">
        <v>1180000000</v>
      </c>
      <c r="O41" s="1">
        <v>20500000</v>
      </c>
      <c r="P41" s="1">
        <v>3600000000</v>
      </c>
      <c r="Q41" s="2">
        <f>L41/$L$155</f>
        <v>3.4661016949152543</v>
      </c>
    </row>
    <row r="42" spans="1:18" hidden="1" x14ac:dyDescent="0.2">
      <c r="A42" t="s">
        <v>7</v>
      </c>
      <c r="B42" t="s">
        <v>28</v>
      </c>
      <c r="C42" t="s">
        <v>112</v>
      </c>
      <c r="D42" t="s">
        <v>9</v>
      </c>
      <c r="E42" t="s">
        <v>10</v>
      </c>
      <c r="F42" t="s">
        <v>37</v>
      </c>
      <c r="G42" t="s">
        <v>56</v>
      </c>
      <c r="H42">
        <v>288</v>
      </c>
      <c r="I42" t="s">
        <v>57</v>
      </c>
      <c r="J42" t="s">
        <v>13</v>
      </c>
      <c r="K42" t="s">
        <v>14</v>
      </c>
      <c r="L42" s="1">
        <v>330000000000</v>
      </c>
      <c r="M42" s="1">
        <v>1380000000</v>
      </c>
      <c r="N42" s="1">
        <v>1500000000</v>
      </c>
      <c r="O42" s="1">
        <v>30900000</v>
      </c>
      <c r="P42" s="1">
        <v>6230000000</v>
      </c>
      <c r="Q42" s="2">
        <f>L42/$L$157</f>
        <v>41.405269761606021</v>
      </c>
      <c r="R42" s="2"/>
    </row>
    <row r="43" spans="1:18" hidden="1" x14ac:dyDescent="0.2">
      <c r="A43" t="s">
        <v>7</v>
      </c>
      <c r="B43" t="s">
        <v>50</v>
      </c>
      <c r="C43" t="s">
        <v>112</v>
      </c>
      <c r="D43" t="s">
        <v>9</v>
      </c>
      <c r="E43" t="s">
        <v>10</v>
      </c>
      <c r="F43" t="s">
        <v>37</v>
      </c>
      <c r="G43" t="s">
        <v>56</v>
      </c>
      <c r="H43">
        <v>288</v>
      </c>
      <c r="I43" t="s">
        <v>57</v>
      </c>
      <c r="J43" t="s">
        <v>16</v>
      </c>
      <c r="K43" t="s">
        <v>14</v>
      </c>
      <c r="L43" s="1">
        <v>186000000000</v>
      </c>
      <c r="M43" s="1">
        <v>836000000</v>
      </c>
      <c r="N43" s="1">
        <v>1080000000</v>
      </c>
      <c r="O43" s="1">
        <v>30700000</v>
      </c>
      <c r="P43" s="1">
        <v>4330000000</v>
      </c>
      <c r="Q43" s="2">
        <f>L43/$L$156</f>
        <v>31.208053691275168</v>
      </c>
      <c r="R43" s="2"/>
    </row>
    <row r="44" spans="1:18" hidden="1" x14ac:dyDescent="0.2">
      <c r="A44" t="s">
        <v>7</v>
      </c>
      <c r="B44" t="s">
        <v>21</v>
      </c>
      <c r="C44" t="s">
        <v>112</v>
      </c>
      <c r="D44" t="s">
        <v>9</v>
      </c>
      <c r="E44" t="s">
        <v>10</v>
      </c>
      <c r="F44" t="s">
        <v>37</v>
      </c>
      <c r="G44" t="s">
        <v>56</v>
      </c>
      <c r="H44">
        <v>288</v>
      </c>
      <c r="I44" t="s">
        <v>57</v>
      </c>
      <c r="J44" t="s">
        <v>18</v>
      </c>
      <c r="K44" t="s">
        <v>14</v>
      </c>
      <c r="L44" s="1">
        <v>340000000000</v>
      </c>
      <c r="M44" s="1">
        <v>1200000000</v>
      </c>
      <c r="N44" s="1">
        <v>1350000000</v>
      </c>
      <c r="O44" s="1">
        <v>30700000</v>
      </c>
      <c r="P44" s="1">
        <v>5000000000</v>
      </c>
      <c r="Q44" s="2">
        <f>L44/$L$155</f>
        <v>28.8135593220339</v>
      </c>
      <c r="R44" s="2"/>
    </row>
    <row r="45" spans="1:18" hidden="1" x14ac:dyDescent="0.2">
      <c r="A45" t="s">
        <v>7</v>
      </c>
      <c r="B45" t="s">
        <v>27</v>
      </c>
      <c r="C45" t="s">
        <v>112</v>
      </c>
      <c r="D45" t="s">
        <v>9</v>
      </c>
      <c r="E45" t="s">
        <v>10</v>
      </c>
      <c r="F45" t="s">
        <v>37</v>
      </c>
      <c r="G45" t="s">
        <v>58</v>
      </c>
      <c r="H45">
        <v>48</v>
      </c>
      <c r="I45" t="s">
        <v>59</v>
      </c>
      <c r="J45" t="s">
        <v>13</v>
      </c>
      <c r="K45" t="s">
        <v>14</v>
      </c>
      <c r="L45" s="1">
        <v>116000000000</v>
      </c>
      <c r="M45" s="1">
        <v>425000000</v>
      </c>
      <c r="N45" s="1">
        <v>640000000</v>
      </c>
      <c r="O45" s="1">
        <v>17400000</v>
      </c>
      <c r="P45" s="1">
        <v>3400000000</v>
      </c>
      <c r="Q45" s="2">
        <f>L45/$L$146</f>
        <v>38.157894736842103</v>
      </c>
      <c r="R45" s="2"/>
    </row>
    <row r="46" spans="1:18" hidden="1" x14ac:dyDescent="0.2">
      <c r="A46" t="s">
        <v>7</v>
      </c>
      <c r="B46" t="s">
        <v>19</v>
      </c>
      <c r="C46" t="s">
        <v>112</v>
      </c>
      <c r="D46" t="s">
        <v>9</v>
      </c>
      <c r="E46" t="s">
        <v>10</v>
      </c>
      <c r="F46" t="s">
        <v>37</v>
      </c>
      <c r="G46" t="s">
        <v>58</v>
      </c>
      <c r="H46">
        <v>48</v>
      </c>
      <c r="I46" t="s">
        <v>59</v>
      </c>
      <c r="J46" t="s">
        <v>16</v>
      </c>
      <c r="K46" t="s">
        <v>14</v>
      </c>
      <c r="L46" s="1">
        <v>402000000000</v>
      </c>
      <c r="M46" s="1">
        <v>1320000000</v>
      </c>
      <c r="N46" s="1">
        <v>1470000000</v>
      </c>
      <c r="O46" s="1">
        <v>20500000</v>
      </c>
      <c r="P46" s="1">
        <v>5350000000</v>
      </c>
      <c r="Q46" s="2">
        <f>L46/$L$145</f>
        <v>52.964426877470359</v>
      </c>
      <c r="R46" s="2"/>
    </row>
    <row r="47" spans="1:18" hidden="1" x14ac:dyDescent="0.2">
      <c r="A47" t="s">
        <v>7</v>
      </c>
      <c r="B47" t="s">
        <v>17</v>
      </c>
      <c r="C47" t="s">
        <v>112</v>
      </c>
      <c r="D47" t="s">
        <v>9</v>
      </c>
      <c r="E47" t="s">
        <v>10</v>
      </c>
      <c r="F47" t="s">
        <v>37</v>
      </c>
      <c r="G47" t="s">
        <v>58</v>
      </c>
      <c r="H47">
        <v>24</v>
      </c>
      <c r="I47" t="s">
        <v>60</v>
      </c>
      <c r="J47" t="s">
        <v>13</v>
      </c>
      <c r="K47" t="s">
        <v>14</v>
      </c>
      <c r="L47" s="1">
        <v>218000000000</v>
      </c>
      <c r="M47" s="1">
        <v>718000000</v>
      </c>
      <c r="N47" s="1">
        <v>871000000</v>
      </c>
      <c r="O47" s="1">
        <v>19300000</v>
      </c>
      <c r="P47" s="1">
        <v>3460000000</v>
      </c>
      <c r="Q47" s="2">
        <f>L47/$L$137</f>
        <v>20</v>
      </c>
      <c r="R47" s="2"/>
    </row>
    <row r="48" spans="1:18" hidden="1" x14ac:dyDescent="0.2">
      <c r="A48" t="s">
        <v>7</v>
      </c>
      <c r="B48" t="s">
        <v>26</v>
      </c>
      <c r="C48" t="s">
        <v>112</v>
      </c>
      <c r="D48" t="s">
        <v>9</v>
      </c>
      <c r="E48" t="s">
        <v>10</v>
      </c>
      <c r="F48" t="s">
        <v>37</v>
      </c>
      <c r="G48" t="s">
        <v>58</v>
      </c>
      <c r="H48">
        <v>24</v>
      </c>
      <c r="I48" t="s">
        <v>60</v>
      </c>
      <c r="J48" t="s">
        <v>16</v>
      </c>
      <c r="K48" t="s">
        <v>14</v>
      </c>
      <c r="L48" s="1">
        <v>238000000000</v>
      </c>
      <c r="M48" s="1">
        <v>934000000</v>
      </c>
      <c r="N48" s="1">
        <v>1140000000</v>
      </c>
      <c r="O48" s="1">
        <v>22100000</v>
      </c>
      <c r="P48" s="1">
        <v>5810000000</v>
      </c>
      <c r="Q48" s="2">
        <f>L48/$L$136</f>
        <v>41.391304347826086</v>
      </c>
      <c r="R48" s="2"/>
    </row>
    <row r="49" spans="1:18" hidden="1" x14ac:dyDescent="0.2">
      <c r="A49" t="s">
        <v>7</v>
      </c>
      <c r="B49" t="s">
        <v>15</v>
      </c>
      <c r="C49" t="s">
        <v>112</v>
      </c>
      <c r="D49" t="s">
        <v>30</v>
      </c>
      <c r="E49" t="s">
        <v>10</v>
      </c>
      <c r="F49" t="s">
        <v>37</v>
      </c>
      <c r="G49" t="s">
        <v>61</v>
      </c>
      <c r="H49">
        <v>4</v>
      </c>
      <c r="I49" t="s">
        <v>62</v>
      </c>
      <c r="J49" t="s">
        <v>13</v>
      </c>
      <c r="K49" t="s">
        <v>14</v>
      </c>
      <c r="L49" s="1">
        <v>69700000000</v>
      </c>
      <c r="M49" s="1">
        <v>329000000</v>
      </c>
      <c r="N49" s="1">
        <v>298000000</v>
      </c>
      <c r="O49" s="1">
        <v>2100000</v>
      </c>
      <c r="P49" s="1">
        <v>1120000000</v>
      </c>
      <c r="Q49" s="2">
        <f>L49/$L$63</f>
        <v>11.996557659208262</v>
      </c>
      <c r="R49" s="2"/>
    </row>
    <row r="50" spans="1:18" hidden="1" x14ac:dyDescent="0.2">
      <c r="A50" t="s">
        <v>7</v>
      </c>
      <c r="B50" t="s">
        <v>25</v>
      </c>
      <c r="D50" t="s">
        <v>30</v>
      </c>
      <c r="E50" t="s">
        <v>10</v>
      </c>
      <c r="F50" t="s">
        <v>37</v>
      </c>
      <c r="G50" t="s">
        <v>61</v>
      </c>
      <c r="H50">
        <v>4</v>
      </c>
      <c r="I50" t="s">
        <v>62</v>
      </c>
      <c r="J50" t="s">
        <v>16</v>
      </c>
      <c r="K50" t="s">
        <v>14</v>
      </c>
      <c r="L50" s="1">
        <v>180000000000</v>
      </c>
      <c r="M50" s="1">
        <v>1010000000</v>
      </c>
      <c r="N50" s="1">
        <v>986000000</v>
      </c>
      <c r="O50" s="1">
        <v>11200000</v>
      </c>
      <c r="P50" s="1">
        <v>3180000000</v>
      </c>
      <c r="Q50" s="2">
        <f>L50/$L$127</f>
        <v>17.647058823529413</v>
      </c>
      <c r="R50" s="2"/>
    </row>
    <row r="51" spans="1:18" hidden="1" x14ac:dyDescent="0.2">
      <c r="A51" t="s">
        <v>7</v>
      </c>
      <c r="B51" t="s">
        <v>33</v>
      </c>
      <c r="C51" t="s">
        <v>112</v>
      </c>
      <c r="D51" t="s">
        <v>30</v>
      </c>
      <c r="E51" t="s">
        <v>10</v>
      </c>
      <c r="F51" t="s">
        <v>37</v>
      </c>
      <c r="G51" t="s">
        <v>61</v>
      </c>
      <c r="H51">
        <v>4</v>
      </c>
      <c r="I51" t="s">
        <v>62</v>
      </c>
      <c r="J51" t="s">
        <v>18</v>
      </c>
      <c r="K51" t="s">
        <v>14</v>
      </c>
      <c r="L51" s="1">
        <v>89400000000</v>
      </c>
      <c r="M51" s="1">
        <v>550000000</v>
      </c>
      <c r="N51" s="1">
        <v>549000000</v>
      </c>
      <c r="O51" s="1">
        <v>11500000</v>
      </c>
      <c r="P51" s="1">
        <v>2130000000</v>
      </c>
      <c r="Q51" s="2">
        <f>L51/$L$61</f>
        <v>14.100946372239747</v>
      </c>
      <c r="R51" s="2"/>
    </row>
    <row r="52" spans="1:18" hidden="1" x14ac:dyDescent="0.2">
      <c r="A52" t="s">
        <v>7</v>
      </c>
      <c r="B52" t="s">
        <v>63</v>
      </c>
      <c r="C52" t="s">
        <v>112</v>
      </c>
      <c r="D52" t="s">
        <v>30</v>
      </c>
      <c r="E52" t="s">
        <v>37</v>
      </c>
      <c r="F52" t="s">
        <v>37</v>
      </c>
      <c r="G52" t="s">
        <v>61</v>
      </c>
      <c r="H52">
        <v>4</v>
      </c>
      <c r="I52" t="s">
        <v>62</v>
      </c>
      <c r="J52" t="s">
        <v>20</v>
      </c>
      <c r="K52" t="s">
        <v>14</v>
      </c>
      <c r="L52" s="1">
        <v>476000000000</v>
      </c>
      <c r="M52" s="1">
        <v>1510000000</v>
      </c>
      <c r="N52" s="1">
        <v>1730000000</v>
      </c>
      <c r="O52" s="1">
        <v>-167000000</v>
      </c>
      <c r="P52" s="1">
        <v>6100000000</v>
      </c>
      <c r="Q52" s="2">
        <f>L52/$L$60</f>
        <v>54.965357967667437</v>
      </c>
      <c r="R52" s="2"/>
    </row>
    <row r="53" spans="1:18" hidden="1" x14ac:dyDescent="0.2">
      <c r="A53" t="s">
        <v>7</v>
      </c>
      <c r="B53" t="s">
        <v>34</v>
      </c>
      <c r="C53" t="s">
        <v>112</v>
      </c>
      <c r="D53" t="s">
        <v>30</v>
      </c>
      <c r="E53" t="s">
        <v>37</v>
      </c>
      <c r="F53" t="s">
        <v>37</v>
      </c>
      <c r="G53" t="s">
        <v>64</v>
      </c>
      <c r="H53">
        <v>24</v>
      </c>
      <c r="I53" t="s">
        <v>65</v>
      </c>
      <c r="J53" t="s">
        <v>16</v>
      </c>
      <c r="K53" t="s">
        <v>14</v>
      </c>
      <c r="L53" s="1">
        <v>27700000000</v>
      </c>
      <c r="M53" s="1">
        <v>227000000</v>
      </c>
      <c r="N53" s="1">
        <v>280000000</v>
      </c>
      <c r="O53" s="1">
        <v>3570000</v>
      </c>
      <c r="P53" s="1">
        <v>971000000</v>
      </c>
      <c r="Q53" s="2">
        <f>L53/$L$83</f>
        <v>6.2528216704288937</v>
      </c>
      <c r="R53" s="2"/>
    </row>
    <row r="54" spans="1:18" hidden="1" x14ac:dyDescent="0.2">
      <c r="A54" t="s">
        <v>7</v>
      </c>
      <c r="B54" t="s">
        <v>40</v>
      </c>
      <c r="C54" t="s">
        <v>112</v>
      </c>
      <c r="D54" t="s">
        <v>30</v>
      </c>
      <c r="E54" t="s">
        <v>10</v>
      </c>
      <c r="F54" t="s">
        <v>37</v>
      </c>
      <c r="G54" t="s">
        <v>64</v>
      </c>
      <c r="H54">
        <v>24</v>
      </c>
      <c r="I54" t="s">
        <v>65</v>
      </c>
      <c r="J54" t="s">
        <v>18</v>
      </c>
      <c r="K54" t="s">
        <v>14</v>
      </c>
      <c r="L54" s="1">
        <v>69000000000</v>
      </c>
      <c r="M54" s="1">
        <v>260000000</v>
      </c>
      <c r="N54" s="1">
        <v>281000000</v>
      </c>
      <c r="O54" s="1">
        <v>2920000</v>
      </c>
      <c r="P54" s="1">
        <v>1100000000</v>
      </c>
      <c r="Q54" s="2">
        <f>L54/$L$82</f>
        <v>17.783505154639176</v>
      </c>
      <c r="R54" s="2"/>
    </row>
    <row r="55" spans="1:18" hidden="1" x14ac:dyDescent="0.2">
      <c r="A55" t="s">
        <v>7</v>
      </c>
      <c r="B55" t="s">
        <v>17</v>
      </c>
      <c r="C55" t="s">
        <v>112</v>
      </c>
      <c r="D55" t="s">
        <v>30</v>
      </c>
      <c r="E55" t="s">
        <v>37</v>
      </c>
      <c r="F55" t="s">
        <v>37</v>
      </c>
      <c r="G55" t="s">
        <v>64</v>
      </c>
      <c r="H55">
        <v>24</v>
      </c>
      <c r="I55" t="s">
        <v>65</v>
      </c>
      <c r="J55" t="s">
        <v>20</v>
      </c>
      <c r="K55" t="s">
        <v>14</v>
      </c>
      <c r="L55" s="1">
        <v>31400000000</v>
      </c>
      <c r="M55" s="1">
        <v>107000000</v>
      </c>
      <c r="N55" s="1">
        <v>134000000</v>
      </c>
      <c r="O55" s="1">
        <v>2490000</v>
      </c>
      <c r="P55" s="1">
        <v>583000000</v>
      </c>
      <c r="Q55" s="2">
        <f>L55/$L$137</f>
        <v>2.8807339449541285</v>
      </c>
      <c r="R55" s="2"/>
    </row>
    <row r="56" spans="1:18" hidden="1" x14ac:dyDescent="0.2">
      <c r="A56" t="s">
        <v>7</v>
      </c>
      <c r="B56" t="s">
        <v>41</v>
      </c>
      <c r="C56" t="s">
        <v>112</v>
      </c>
      <c r="D56" t="s">
        <v>30</v>
      </c>
      <c r="E56" t="s">
        <v>37</v>
      </c>
      <c r="F56" t="s">
        <v>37</v>
      </c>
      <c r="G56" t="s">
        <v>66</v>
      </c>
      <c r="H56">
        <v>48</v>
      </c>
      <c r="I56" t="s">
        <v>67</v>
      </c>
      <c r="J56" t="s">
        <v>13</v>
      </c>
      <c r="K56" t="s">
        <v>14</v>
      </c>
      <c r="L56" s="1">
        <v>33200000000</v>
      </c>
      <c r="M56" s="1">
        <v>425000000</v>
      </c>
      <c r="N56" s="1">
        <v>334000000</v>
      </c>
      <c r="O56" s="1">
        <v>11400000</v>
      </c>
      <c r="P56" s="1">
        <v>1380000000</v>
      </c>
      <c r="Q56" s="2">
        <f>L56/$L$107</f>
        <v>9.6231884057971016</v>
      </c>
      <c r="R56" s="2"/>
    </row>
    <row r="57" spans="1:18" hidden="1" x14ac:dyDescent="0.2">
      <c r="A57" t="s">
        <v>7</v>
      </c>
      <c r="B57" t="s">
        <v>35</v>
      </c>
      <c r="C57" t="s">
        <v>112</v>
      </c>
      <c r="D57" t="s">
        <v>30</v>
      </c>
      <c r="E57" t="s">
        <v>10</v>
      </c>
      <c r="F57" t="s">
        <v>37</v>
      </c>
      <c r="G57" t="s">
        <v>66</v>
      </c>
      <c r="H57">
        <v>48</v>
      </c>
      <c r="I57" t="s">
        <v>67</v>
      </c>
      <c r="J57" t="s">
        <v>16</v>
      </c>
      <c r="K57" t="s">
        <v>14</v>
      </c>
      <c r="L57" s="1">
        <v>53700000000</v>
      </c>
      <c r="M57" s="1">
        <v>428000000</v>
      </c>
      <c r="N57" s="1">
        <v>537000000</v>
      </c>
      <c r="O57" s="1">
        <v>4020000</v>
      </c>
      <c r="P57" s="1">
        <v>1850000000</v>
      </c>
      <c r="Q57" s="2">
        <f>L57/$L$106</f>
        <v>12.31651376146789</v>
      </c>
      <c r="R57" s="2"/>
    </row>
    <row r="58" spans="1:18" hidden="1" x14ac:dyDescent="0.2">
      <c r="A58" t="s">
        <v>68</v>
      </c>
      <c r="B58" t="s">
        <v>29</v>
      </c>
      <c r="C58" t="s">
        <v>113</v>
      </c>
      <c r="D58" t="s">
        <v>30</v>
      </c>
      <c r="E58" t="s">
        <v>37</v>
      </c>
      <c r="F58" t="s">
        <v>37</v>
      </c>
      <c r="G58" t="s">
        <v>61</v>
      </c>
      <c r="H58">
        <v>4</v>
      </c>
      <c r="I58" t="s">
        <v>62</v>
      </c>
      <c r="J58" t="s">
        <v>69</v>
      </c>
      <c r="K58" t="s">
        <v>14</v>
      </c>
      <c r="L58" s="1">
        <v>15800000000</v>
      </c>
      <c r="M58" s="1">
        <v>130000000</v>
      </c>
      <c r="N58" s="1">
        <v>149000000</v>
      </c>
      <c r="O58" s="1">
        <v>6640000</v>
      </c>
      <c r="P58" s="1">
        <v>543000000</v>
      </c>
      <c r="Q58" s="2">
        <f>L58/$L$59</f>
        <v>6.5020576131687244</v>
      </c>
      <c r="R58" s="2"/>
    </row>
    <row r="59" spans="1:18" hidden="1" x14ac:dyDescent="0.2">
      <c r="A59" t="s">
        <v>70</v>
      </c>
      <c r="B59" t="s">
        <v>29</v>
      </c>
      <c r="C59" t="s">
        <v>113</v>
      </c>
      <c r="D59" t="s">
        <v>30</v>
      </c>
      <c r="E59" t="s">
        <v>10</v>
      </c>
      <c r="F59" t="s">
        <v>37</v>
      </c>
      <c r="G59" t="s">
        <v>61</v>
      </c>
      <c r="H59">
        <v>4</v>
      </c>
      <c r="I59" t="s">
        <v>62</v>
      </c>
      <c r="J59" t="s">
        <v>22</v>
      </c>
      <c r="K59" t="s">
        <v>14</v>
      </c>
      <c r="L59" s="1">
        <v>2430000000</v>
      </c>
      <c r="M59" s="1">
        <v>45900000</v>
      </c>
      <c r="N59" s="1">
        <v>49900000</v>
      </c>
      <c r="O59" s="1">
        <v>8030000</v>
      </c>
      <c r="P59" s="1">
        <v>220000000</v>
      </c>
      <c r="Q59" s="2">
        <f t="shared" ref="Q59" si="0">L59/$L$59</f>
        <v>1</v>
      </c>
    </row>
    <row r="60" spans="1:18" hidden="1" x14ac:dyDescent="0.2">
      <c r="A60" t="s">
        <v>70</v>
      </c>
      <c r="B60" t="s">
        <v>63</v>
      </c>
      <c r="C60" t="s">
        <v>112</v>
      </c>
      <c r="D60" t="s">
        <v>30</v>
      </c>
      <c r="E60" t="s">
        <v>10</v>
      </c>
      <c r="F60" t="s">
        <v>37</v>
      </c>
      <c r="G60" t="s">
        <v>61</v>
      </c>
      <c r="H60">
        <v>4</v>
      </c>
      <c r="I60" t="s">
        <v>62</v>
      </c>
      <c r="J60" t="s">
        <v>46</v>
      </c>
      <c r="K60" t="s">
        <v>14</v>
      </c>
      <c r="L60" s="1">
        <v>8660000000</v>
      </c>
      <c r="M60" s="1">
        <v>273000000</v>
      </c>
      <c r="N60" s="1">
        <v>329000000</v>
      </c>
      <c r="O60" s="1">
        <v>8420000</v>
      </c>
      <c r="P60" s="1">
        <v>997000000</v>
      </c>
      <c r="Q60" s="2">
        <f>L60/$L$60</f>
        <v>1</v>
      </c>
    </row>
    <row r="61" spans="1:18" hidden="1" x14ac:dyDescent="0.2">
      <c r="A61" t="s">
        <v>70</v>
      </c>
      <c r="B61" t="s">
        <v>33</v>
      </c>
      <c r="C61" t="s">
        <v>112</v>
      </c>
      <c r="D61" t="s">
        <v>30</v>
      </c>
      <c r="E61" t="s">
        <v>10</v>
      </c>
      <c r="F61" t="s">
        <v>37</v>
      </c>
      <c r="G61" t="s">
        <v>61</v>
      </c>
      <c r="H61">
        <v>4</v>
      </c>
      <c r="I61" t="s">
        <v>62</v>
      </c>
      <c r="J61" t="s">
        <v>47</v>
      </c>
      <c r="K61" t="s">
        <v>14</v>
      </c>
      <c r="L61" s="1">
        <v>6340000000</v>
      </c>
      <c r="M61" s="1">
        <v>182000000</v>
      </c>
      <c r="N61" s="1">
        <v>186000000</v>
      </c>
      <c r="O61" s="1">
        <v>9610000</v>
      </c>
      <c r="P61" s="1">
        <v>642000000</v>
      </c>
      <c r="Q61" s="2">
        <f>L61/$L$61</f>
        <v>1</v>
      </c>
    </row>
    <row r="62" spans="1:18" hidden="1" x14ac:dyDescent="0.2">
      <c r="A62" t="s">
        <v>70</v>
      </c>
      <c r="B62" t="s">
        <v>25</v>
      </c>
      <c r="D62" t="s">
        <v>30</v>
      </c>
      <c r="E62" t="s">
        <v>10</v>
      </c>
      <c r="F62" t="s">
        <v>37</v>
      </c>
      <c r="G62" t="s">
        <v>61</v>
      </c>
      <c r="H62">
        <v>4</v>
      </c>
      <c r="I62" t="s">
        <v>62</v>
      </c>
      <c r="J62" t="s">
        <v>48</v>
      </c>
      <c r="K62" t="s">
        <v>14</v>
      </c>
      <c r="L62" s="1">
        <v>7550000000</v>
      </c>
      <c r="M62" s="1">
        <v>210000000</v>
      </c>
      <c r="N62" s="1">
        <v>259000000</v>
      </c>
      <c r="O62" s="1">
        <v>14300000</v>
      </c>
      <c r="P62" s="1">
        <v>939000000</v>
      </c>
      <c r="Q62" s="2">
        <f>L62/$L$127</f>
        <v>0.74019607843137258</v>
      </c>
    </row>
    <row r="63" spans="1:18" hidden="1" x14ac:dyDescent="0.2">
      <c r="A63" t="s">
        <v>70</v>
      </c>
      <c r="B63" t="s">
        <v>15</v>
      </c>
      <c r="C63" t="s">
        <v>112</v>
      </c>
      <c r="D63" t="s">
        <v>30</v>
      </c>
      <c r="E63" t="s">
        <v>10</v>
      </c>
      <c r="F63" t="s">
        <v>37</v>
      </c>
      <c r="G63" t="s">
        <v>61</v>
      </c>
      <c r="H63">
        <v>4</v>
      </c>
      <c r="I63" t="s">
        <v>62</v>
      </c>
      <c r="J63" t="s">
        <v>49</v>
      </c>
      <c r="K63" t="s">
        <v>14</v>
      </c>
      <c r="L63" s="1">
        <v>5810000000</v>
      </c>
      <c r="M63" s="1">
        <v>147000000</v>
      </c>
      <c r="N63" s="1">
        <v>153000000</v>
      </c>
      <c r="O63" s="1">
        <v>4510000</v>
      </c>
      <c r="P63" s="1">
        <v>477000000</v>
      </c>
      <c r="Q63" s="2">
        <f>L63/$L$63</f>
        <v>1</v>
      </c>
    </row>
    <row r="64" spans="1:18" hidden="1" x14ac:dyDescent="0.2">
      <c r="A64" t="s">
        <v>71</v>
      </c>
      <c r="B64" t="s">
        <v>29</v>
      </c>
      <c r="C64" t="s">
        <v>113</v>
      </c>
      <c r="D64" t="s">
        <v>30</v>
      </c>
      <c r="E64" t="s">
        <v>10</v>
      </c>
      <c r="F64" t="s">
        <v>37</v>
      </c>
      <c r="G64" t="s">
        <v>61</v>
      </c>
      <c r="H64">
        <v>4</v>
      </c>
      <c r="I64" t="s">
        <v>62</v>
      </c>
      <c r="J64" t="s">
        <v>51</v>
      </c>
      <c r="K64" t="s">
        <v>14</v>
      </c>
      <c r="L64" s="1">
        <v>1080000000</v>
      </c>
      <c r="M64" s="1">
        <v>21400000</v>
      </c>
      <c r="N64" s="1">
        <v>8200000</v>
      </c>
      <c r="O64" s="1">
        <v>4060000</v>
      </c>
      <c r="P64" s="1">
        <v>52900000</v>
      </c>
      <c r="Q64" s="2">
        <f>L64/$L$59</f>
        <v>0.44444444444444442</v>
      </c>
    </row>
    <row r="65" spans="1:18" hidden="1" x14ac:dyDescent="0.2">
      <c r="A65" t="s">
        <v>71</v>
      </c>
      <c r="B65" t="s">
        <v>63</v>
      </c>
      <c r="C65" t="s">
        <v>112</v>
      </c>
      <c r="D65" t="s">
        <v>30</v>
      </c>
      <c r="E65" t="s">
        <v>10</v>
      </c>
      <c r="F65" t="s">
        <v>37</v>
      </c>
      <c r="G65" t="s">
        <v>61</v>
      </c>
      <c r="H65">
        <v>4</v>
      </c>
      <c r="I65" t="s">
        <v>62</v>
      </c>
      <c r="J65" t="s">
        <v>72</v>
      </c>
      <c r="K65" t="s">
        <v>14</v>
      </c>
      <c r="L65" s="1">
        <v>7610000000</v>
      </c>
      <c r="M65" s="1">
        <v>103000000</v>
      </c>
      <c r="N65" s="1">
        <v>100000000</v>
      </c>
      <c r="O65" s="1">
        <v>7480000</v>
      </c>
      <c r="P65" s="1">
        <v>446000000</v>
      </c>
      <c r="Q65" s="2">
        <f>L65/$L$60</f>
        <v>0.8787528868360277</v>
      </c>
    </row>
    <row r="66" spans="1:18" hidden="1" x14ac:dyDescent="0.2">
      <c r="A66" t="s">
        <v>71</v>
      </c>
      <c r="B66" t="s">
        <v>33</v>
      </c>
      <c r="C66" t="s">
        <v>112</v>
      </c>
      <c r="D66" t="s">
        <v>30</v>
      </c>
      <c r="E66" t="s">
        <v>10</v>
      </c>
      <c r="F66" t="s">
        <v>37</v>
      </c>
      <c r="G66" t="s">
        <v>61</v>
      </c>
      <c r="H66">
        <v>4</v>
      </c>
      <c r="I66" t="s">
        <v>62</v>
      </c>
      <c r="J66" t="s">
        <v>73</v>
      </c>
      <c r="K66" t="s">
        <v>14</v>
      </c>
      <c r="L66" s="1">
        <v>5750000000</v>
      </c>
      <c r="M66" s="1">
        <v>108000000</v>
      </c>
      <c r="N66" s="1">
        <v>74100000</v>
      </c>
      <c r="O66" s="1">
        <v>10200000</v>
      </c>
      <c r="P66" s="1">
        <v>272000000</v>
      </c>
      <c r="Q66" s="2">
        <f>L66/$L$61</f>
        <v>0.90694006309148267</v>
      </c>
    </row>
    <row r="67" spans="1:18" hidden="1" x14ac:dyDescent="0.2">
      <c r="A67" t="s">
        <v>71</v>
      </c>
      <c r="B67" t="s">
        <v>25</v>
      </c>
      <c r="D67" t="s">
        <v>30</v>
      </c>
      <c r="E67" t="s">
        <v>10</v>
      </c>
      <c r="F67" t="s">
        <v>37</v>
      </c>
      <c r="G67" t="s">
        <v>61</v>
      </c>
      <c r="H67">
        <v>4</v>
      </c>
      <c r="I67" t="s">
        <v>62</v>
      </c>
      <c r="J67" t="s">
        <v>74</v>
      </c>
      <c r="K67" t="s">
        <v>14</v>
      </c>
      <c r="L67" s="1">
        <v>8560000000</v>
      </c>
      <c r="M67" s="1">
        <v>141000000</v>
      </c>
      <c r="N67" s="1">
        <v>129000000</v>
      </c>
      <c r="O67" s="1">
        <v>9720000</v>
      </c>
      <c r="P67" s="1">
        <v>736000000</v>
      </c>
      <c r="Q67" s="2">
        <f>L67/$L$127</f>
        <v>0.83921568627450982</v>
      </c>
    </row>
    <row r="68" spans="1:18" hidden="1" x14ac:dyDescent="0.2">
      <c r="A68" t="s">
        <v>71</v>
      </c>
      <c r="B68" t="s">
        <v>15</v>
      </c>
      <c r="C68" t="s">
        <v>112</v>
      </c>
      <c r="D68" t="s">
        <v>30</v>
      </c>
      <c r="E68" t="s">
        <v>10</v>
      </c>
      <c r="F68" t="s">
        <v>37</v>
      </c>
      <c r="G68" t="s">
        <v>61</v>
      </c>
      <c r="H68">
        <v>4</v>
      </c>
      <c r="I68" t="s">
        <v>62</v>
      </c>
      <c r="J68" t="s">
        <v>75</v>
      </c>
      <c r="K68" t="s">
        <v>14</v>
      </c>
      <c r="L68" s="1">
        <v>5640000000</v>
      </c>
      <c r="M68" s="1">
        <v>72600000</v>
      </c>
      <c r="N68" s="1">
        <v>54500000</v>
      </c>
      <c r="O68" s="1">
        <v>5880000</v>
      </c>
      <c r="P68" s="1">
        <v>211000000</v>
      </c>
      <c r="Q68" s="2">
        <f>L68/$L$63</f>
        <v>0.97074010327022375</v>
      </c>
    </row>
    <row r="69" spans="1:18" hidden="1" x14ac:dyDescent="0.2">
      <c r="A69" t="s">
        <v>76</v>
      </c>
      <c r="B69" t="s">
        <v>29</v>
      </c>
      <c r="C69" t="s">
        <v>113</v>
      </c>
      <c r="D69" t="s">
        <v>30</v>
      </c>
      <c r="E69" t="s">
        <v>10</v>
      </c>
      <c r="F69" t="s">
        <v>37</v>
      </c>
      <c r="G69" t="s">
        <v>61</v>
      </c>
      <c r="H69">
        <v>4</v>
      </c>
      <c r="I69" t="s">
        <v>62</v>
      </c>
      <c r="J69" t="s">
        <v>77</v>
      </c>
      <c r="K69" t="s">
        <v>14</v>
      </c>
      <c r="L69" s="1">
        <v>830000000</v>
      </c>
      <c r="M69" s="1">
        <v>26500000</v>
      </c>
      <c r="N69" s="1">
        <v>22000000</v>
      </c>
      <c r="O69" s="1">
        <v>5690000</v>
      </c>
      <c r="P69" s="1">
        <v>117000000</v>
      </c>
      <c r="Q69" s="2">
        <f>L69/$L$59</f>
        <v>0.34156378600823045</v>
      </c>
    </row>
    <row r="70" spans="1:18" hidden="1" x14ac:dyDescent="0.2">
      <c r="A70" t="s">
        <v>76</v>
      </c>
      <c r="B70" t="s">
        <v>63</v>
      </c>
      <c r="C70" t="s">
        <v>112</v>
      </c>
      <c r="D70" t="s">
        <v>30</v>
      </c>
      <c r="E70" t="s">
        <v>10</v>
      </c>
      <c r="F70" t="s">
        <v>37</v>
      </c>
      <c r="G70" t="s">
        <v>61</v>
      </c>
      <c r="H70">
        <v>4</v>
      </c>
      <c r="I70" t="s">
        <v>62</v>
      </c>
      <c r="J70" t="s">
        <v>78</v>
      </c>
      <c r="K70" t="s">
        <v>14</v>
      </c>
      <c r="L70" s="1">
        <v>5660000000</v>
      </c>
      <c r="M70" s="1">
        <v>137000000</v>
      </c>
      <c r="N70" s="1">
        <v>189000000</v>
      </c>
      <c r="O70" s="1">
        <v>10000000</v>
      </c>
      <c r="P70" s="1">
        <v>877000000</v>
      </c>
      <c r="Q70" s="2">
        <f>L70/$L$60</f>
        <v>0.6535796766743649</v>
      </c>
    </row>
    <row r="71" spans="1:18" hidden="1" x14ac:dyDescent="0.2">
      <c r="A71" t="s">
        <v>76</v>
      </c>
      <c r="B71" t="s">
        <v>33</v>
      </c>
      <c r="C71" t="s">
        <v>112</v>
      </c>
      <c r="D71" t="s">
        <v>30</v>
      </c>
      <c r="E71" t="s">
        <v>10</v>
      </c>
      <c r="F71" t="s">
        <v>37</v>
      </c>
      <c r="G71" t="s">
        <v>61</v>
      </c>
      <c r="H71">
        <v>4</v>
      </c>
      <c r="I71" t="s">
        <v>62</v>
      </c>
      <c r="J71" t="s">
        <v>79</v>
      </c>
      <c r="K71" t="s">
        <v>14</v>
      </c>
      <c r="L71" s="1">
        <v>1720000000</v>
      </c>
      <c r="M71" s="1">
        <v>37400000</v>
      </c>
      <c r="N71" s="1">
        <v>43200000</v>
      </c>
      <c r="O71" s="1">
        <v>7330000</v>
      </c>
      <c r="P71" s="1">
        <v>205000000</v>
      </c>
      <c r="Q71" s="2">
        <f>L71/$L$61</f>
        <v>0.27129337539432175</v>
      </c>
    </row>
    <row r="72" spans="1:18" hidden="1" x14ac:dyDescent="0.2">
      <c r="A72" t="s">
        <v>76</v>
      </c>
      <c r="B72" t="s">
        <v>25</v>
      </c>
      <c r="D72" t="s">
        <v>30</v>
      </c>
      <c r="E72" t="s">
        <v>10</v>
      </c>
      <c r="F72" t="s">
        <v>37</v>
      </c>
      <c r="G72" t="s">
        <v>61</v>
      </c>
      <c r="H72">
        <v>4</v>
      </c>
      <c r="I72" t="s">
        <v>62</v>
      </c>
      <c r="J72" t="s">
        <v>80</v>
      </c>
      <c r="K72" t="s">
        <v>14</v>
      </c>
      <c r="L72" s="1">
        <v>2220000000</v>
      </c>
      <c r="M72" s="1">
        <v>52000000</v>
      </c>
      <c r="N72" s="1">
        <v>63200000</v>
      </c>
      <c r="O72" s="1">
        <v>6210000</v>
      </c>
      <c r="P72" s="1">
        <v>447000000</v>
      </c>
      <c r="Q72" s="2">
        <f>L72/$L$127</f>
        <v>0.21764705882352942</v>
      </c>
    </row>
    <row r="73" spans="1:18" hidden="1" x14ac:dyDescent="0.2">
      <c r="A73" t="s">
        <v>76</v>
      </c>
      <c r="B73" t="s">
        <v>15</v>
      </c>
      <c r="C73" t="s">
        <v>112</v>
      </c>
      <c r="D73" t="s">
        <v>30</v>
      </c>
      <c r="E73" t="s">
        <v>10</v>
      </c>
      <c r="F73" t="s">
        <v>37</v>
      </c>
      <c r="G73" t="s">
        <v>61</v>
      </c>
      <c r="H73">
        <v>4</v>
      </c>
      <c r="I73" t="s">
        <v>62</v>
      </c>
      <c r="J73" t="s">
        <v>81</v>
      </c>
      <c r="K73" t="s">
        <v>14</v>
      </c>
      <c r="L73" s="1">
        <v>2420000000</v>
      </c>
      <c r="M73" s="1">
        <v>34400000</v>
      </c>
      <c r="N73" s="1">
        <v>42100000</v>
      </c>
      <c r="O73" s="1">
        <v>3430000</v>
      </c>
      <c r="P73" s="1">
        <v>339000000</v>
      </c>
      <c r="Q73" s="2">
        <f>L73/$L$63</f>
        <v>0.41652323580034423</v>
      </c>
    </row>
    <row r="74" spans="1:18" hidden="1" x14ac:dyDescent="0.2">
      <c r="A74" t="s">
        <v>82</v>
      </c>
      <c r="B74" t="s">
        <v>29</v>
      </c>
      <c r="C74" t="s">
        <v>113</v>
      </c>
      <c r="D74" t="s">
        <v>30</v>
      </c>
      <c r="E74" t="s">
        <v>10</v>
      </c>
      <c r="F74" t="s">
        <v>37</v>
      </c>
      <c r="G74" t="s">
        <v>61</v>
      </c>
      <c r="H74">
        <v>4</v>
      </c>
      <c r="I74" t="s">
        <v>62</v>
      </c>
      <c r="J74" t="s">
        <v>83</v>
      </c>
      <c r="K74" t="s">
        <v>14</v>
      </c>
      <c r="L74" s="1">
        <v>4430000000</v>
      </c>
      <c r="M74" s="1">
        <v>81800000</v>
      </c>
      <c r="N74" s="1">
        <v>67300000</v>
      </c>
      <c r="O74" s="1">
        <v>5330000</v>
      </c>
      <c r="P74" s="1">
        <v>259000000</v>
      </c>
      <c r="Q74" s="2">
        <f>L74/$L$59</f>
        <v>1.823045267489712</v>
      </c>
      <c r="R74" s="2"/>
    </row>
    <row r="75" spans="1:18" hidden="1" x14ac:dyDescent="0.2">
      <c r="A75" t="s">
        <v>82</v>
      </c>
      <c r="B75" t="s">
        <v>63</v>
      </c>
      <c r="C75" t="s">
        <v>112</v>
      </c>
      <c r="D75" t="s">
        <v>30</v>
      </c>
      <c r="E75" t="s">
        <v>10</v>
      </c>
      <c r="F75" t="s">
        <v>37</v>
      </c>
      <c r="G75" t="s">
        <v>61</v>
      </c>
      <c r="H75">
        <v>4</v>
      </c>
      <c r="I75" t="s">
        <v>62</v>
      </c>
      <c r="J75" t="s">
        <v>84</v>
      </c>
      <c r="K75" t="s">
        <v>14</v>
      </c>
      <c r="L75" s="1">
        <v>36300000000</v>
      </c>
      <c r="M75" s="1">
        <v>662000000</v>
      </c>
      <c r="N75" s="1">
        <v>715000000</v>
      </c>
      <c r="O75" s="1">
        <v>11200000</v>
      </c>
      <c r="P75" s="1">
        <v>1940000000</v>
      </c>
      <c r="Q75" s="2">
        <f>L75/$L$60</f>
        <v>4.1916859122401844</v>
      </c>
      <c r="R75" s="2"/>
    </row>
    <row r="76" spans="1:18" hidden="1" x14ac:dyDescent="0.2">
      <c r="A76" t="s">
        <v>82</v>
      </c>
      <c r="B76" t="s">
        <v>33</v>
      </c>
      <c r="C76" t="s">
        <v>112</v>
      </c>
      <c r="D76" t="s">
        <v>30</v>
      </c>
      <c r="E76" t="s">
        <v>10</v>
      </c>
      <c r="F76" t="s">
        <v>37</v>
      </c>
      <c r="G76" t="s">
        <v>61</v>
      </c>
      <c r="H76">
        <v>4</v>
      </c>
      <c r="I76" t="s">
        <v>62</v>
      </c>
      <c r="J76" t="s">
        <v>85</v>
      </c>
      <c r="K76" t="s">
        <v>14</v>
      </c>
      <c r="L76" s="1">
        <v>21000000000</v>
      </c>
      <c r="M76" s="1">
        <v>373000000</v>
      </c>
      <c r="N76" s="1">
        <v>342000000</v>
      </c>
      <c r="O76" s="1">
        <v>9410000</v>
      </c>
      <c r="P76" s="1">
        <v>1270000000</v>
      </c>
      <c r="Q76" s="2">
        <f>L76/$L$61</f>
        <v>3.3123028391167191</v>
      </c>
      <c r="R76" s="2"/>
    </row>
    <row r="77" spans="1:18" hidden="1" x14ac:dyDescent="0.2">
      <c r="A77" t="s">
        <v>82</v>
      </c>
      <c r="B77" t="s">
        <v>25</v>
      </c>
      <c r="D77" t="s">
        <v>30</v>
      </c>
      <c r="E77" t="s">
        <v>10</v>
      </c>
      <c r="F77" t="s">
        <v>37</v>
      </c>
      <c r="G77" t="s">
        <v>61</v>
      </c>
      <c r="H77">
        <v>4</v>
      </c>
      <c r="I77" t="s">
        <v>62</v>
      </c>
      <c r="J77" t="s">
        <v>86</v>
      </c>
      <c r="K77" t="s">
        <v>14</v>
      </c>
      <c r="L77" s="1">
        <v>34300000000</v>
      </c>
      <c r="M77" s="1">
        <v>645000000</v>
      </c>
      <c r="N77" s="1">
        <v>590000000</v>
      </c>
      <c r="O77" s="1">
        <v>13800000</v>
      </c>
      <c r="P77" s="1">
        <v>1780000000</v>
      </c>
      <c r="Q77" s="2">
        <f>L77/$L$127</f>
        <v>3.3627450980392157</v>
      </c>
      <c r="R77" s="2"/>
    </row>
    <row r="78" spans="1:18" hidden="1" x14ac:dyDescent="0.2">
      <c r="A78" t="s">
        <v>82</v>
      </c>
      <c r="B78" t="s">
        <v>15</v>
      </c>
      <c r="C78" t="s">
        <v>112</v>
      </c>
      <c r="D78" t="s">
        <v>30</v>
      </c>
      <c r="E78" t="s">
        <v>10</v>
      </c>
      <c r="F78" t="s">
        <v>37</v>
      </c>
      <c r="G78" t="s">
        <v>61</v>
      </c>
      <c r="H78">
        <v>4</v>
      </c>
      <c r="I78" t="s">
        <v>62</v>
      </c>
      <c r="J78" t="s">
        <v>87</v>
      </c>
      <c r="K78" t="s">
        <v>14</v>
      </c>
      <c r="L78" s="1">
        <v>43900000000</v>
      </c>
      <c r="M78" s="1">
        <v>396000000</v>
      </c>
      <c r="N78" s="1">
        <v>259000000</v>
      </c>
      <c r="O78" s="1">
        <v>6060000</v>
      </c>
      <c r="P78" s="1">
        <v>836000000</v>
      </c>
      <c r="Q78" s="2">
        <f>L78/$L$63</f>
        <v>7.555938037865749</v>
      </c>
      <c r="R78" s="2"/>
    </row>
    <row r="79" spans="1:18" hidden="1" x14ac:dyDescent="0.2">
      <c r="A79" t="s">
        <v>70</v>
      </c>
      <c r="B79" t="s">
        <v>88</v>
      </c>
      <c r="C79" t="s">
        <v>113</v>
      </c>
      <c r="D79" t="s">
        <v>30</v>
      </c>
      <c r="E79" t="s">
        <v>10</v>
      </c>
      <c r="F79" t="s">
        <v>37</v>
      </c>
      <c r="G79" t="s">
        <v>64</v>
      </c>
      <c r="H79">
        <v>24</v>
      </c>
      <c r="I79" t="s">
        <v>65</v>
      </c>
      <c r="J79" t="s">
        <v>22</v>
      </c>
      <c r="K79" t="s">
        <v>14</v>
      </c>
      <c r="L79" s="1">
        <v>2610000000</v>
      </c>
      <c r="M79" s="1">
        <v>147000000</v>
      </c>
      <c r="N79" s="1">
        <v>138000000</v>
      </c>
      <c r="O79" s="1">
        <v>6840000</v>
      </c>
      <c r="P79" s="1">
        <v>524000000</v>
      </c>
      <c r="Q79" s="2">
        <f>L79/$L$79</f>
        <v>1</v>
      </c>
    </row>
    <row r="80" spans="1:18" hidden="1" x14ac:dyDescent="0.2">
      <c r="A80" t="s">
        <v>70</v>
      </c>
      <c r="B80" t="s">
        <v>26</v>
      </c>
      <c r="C80" t="s">
        <v>112</v>
      </c>
      <c r="D80" t="s">
        <v>30</v>
      </c>
      <c r="E80" t="s">
        <v>10</v>
      </c>
      <c r="F80" t="s">
        <v>37</v>
      </c>
      <c r="G80" t="s">
        <v>64</v>
      </c>
      <c r="H80">
        <v>24</v>
      </c>
      <c r="I80" t="s">
        <v>65</v>
      </c>
      <c r="J80" t="s">
        <v>46</v>
      </c>
      <c r="K80" t="s">
        <v>14</v>
      </c>
      <c r="L80" s="1">
        <v>565000000</v>
      </c>
      <c r="M80" s="1">
        <v>17900000</v>
      </c>
      <c r="N80" s="1">
        <v>10200000</v>
      </c>
      <c r="O80" s="1">
        <v>6280000</v>
      </c>
      <c r="P80" s="1">
        <v>58600000</v>
      </c>
      <c r="Q80" s="2">
        <f>L80/$L$136</f>
        <v>9.8260869565217387E-2</v>
      </c>
    </row>
    <row r="81" spans="1:18" hidden="1" x14ac:dyDescent="0.2">
      <c r="A81" t="s">
        <v>70</v>
      </c>
      <c r="B81" t="s">
        <v>17</v>
      </c>
      <c r="C81" t="s">
        <v>112</v>
      </c>
      <c r="D81" t="s">
        <v>30</v>
      </c>
      <c r="E81" t="s">
        <v>10</v>
      </c>
      <c r="F81" t="s">
        <v>37</v>
      </c>
      <c r="G81" t="s">
        <v>64</v>
      </c>
      <c r="H81">
        <v>24</v>
      </c>
      <c r="I81" t="s">
        <v>65</v>
      </c>
      <c r="J81" t="s">
        <v>47</v>
      </c>
      <c r="K81" t="s">
        <v>14</v>
      </c>
      <c r="L81" s="1">
        <v>1530000000</v>
      </c>
      <c r="M81" s="1">
        <v>44000000</v>
      </c>
      <c r="N81" s="1">
        <v>44200000</v>
      </c>
      <c r="O81" s="1">
        <v>3440000</v>
      </c>
      <c r="P81" s="1">
        <v>223000000</v>
      </c>
      <c r="Q81" s="2">
        <f>L81/$L$137</f>
        <v>0.14036697247706423</v>
      </c>
    </row>
    <row r="82" spans="1:18" hidden="1" x14ac:dyDescent="0.2">
      <c r="A82" t="s">
        <v>70</v>
      </c>
      <c r="B82" t="s">
        <v>40</v>
      </c>
      <c r="C82" t="s">
        <v>112</v>
      </c>
      <c r="D82" t="s">
        <v>30</v>
      </c>
      <c r="E82" t="s">
        <v>10</v>
      </c>
      <c r="F82" t="s">
        <v>37</v>
      </c>
      <c r="G82" t="s">
        <v>64</v>
      </c>
      <c r="H82">
        <v>24</v>
      </c>
      <c r="I82" t="s">
        <v>65</v>
      </c>
      <c r="J82" t="s">
        <v>48</v>
      </c>
      <c r="K82" t="s">
        <v>14</v>
      </c>
      <c r="L82" s="1">
        <v>3880000000</v>
      </c>
      <c r="M82" s="1">
        <v>87900000</v>
      </c>
      <c r="N82" s="1">
        <v>110000000</v>
      </c>
      <c r="O82" s="1">
        <v>8250000</v>
      </c>
      <c r="P82" s="1">
        <v>383000000</v>
      </c>
      <c r="Q82" s="2">
        <f>L82/$L$82</f>
        <v>1</v>
      </c>
    </row>
    <row r="83" spans="1:18" hidden="1" x14ac:dyDescent="0.2">
      <c r="A83" t="s">
        <v>70</v>
      </c>
      <c r="B83" t="s">
        <v>34</v>
      </c>
      <c r="C83" t="s">
        <v>112</v>
      </c>
      <c r="D83" t="s">
        <v>30</v>
      </c>
      <c r="E83" t="s">
        <v>10</v>
      </c>
      <c r="F83" t="s">
        <v>37</v>
      </c>
      <c r="G83" t="s">
        <v>64</v>
      </c>
      <c r="H83">
        <v>24</v>
      </c>
      <c r="I83" t="s">
        <v>65</v>
      </c>
      <c r="J83" t="s">
        <v>49</v>
      </c>
      <c r="K83" t="s">
        <v>14</v>
      </c>
      <c r="L83" s="1">
        <v>4430000000</v>
      </c>
      <c r="M83" s="1">
        <v>111000000</v>
      </c>
      <c r="N83" s="1">
        <v>133000000</v>
      </c>
      <c r="O83" s="1">
        <v>3260000</v>
      </c>
      <c r="P83" s="1">
        <v>420000000</v>
      </c>
      <c r="Q83" s="2">
        <f>L83/$L$83</f>
        <v>1</v>
      </c>
    </row>
    <row r="84" spans="1:18" hidden="1" x14ac:dyDescent="0.2">
      <c r="A84" t="s">
        <v>71</v>
      </c>
      <c r="B84" t="s">
        <v>88</v>
      </c>
      <c r="C84" t="s">
        <v>113</v>
      </c>
      <c r="D84" t="s">
        <v>30</v>
      </c>
      <c r="E84" t="s">
        <v>10</v>
      </c>
      <c r="F84" t="s">
        <v>37</v>
      </c>
      <c r="G84" t="s">
        <v>64</v>
      </c>
      <c r="H84">
        <v>24</v>
      </c>
      <c r="I84" t="s">
        <v>65</v>
      </c>
      <c r="J84" t="s">
        <v>51</v>
      </c>
      <c r="K84" t="s">
        <v>14</v>
      </c>
      <c r="L84" s="1">
        <v>1880000000</v>
      </c>
      <c r="M84" s="1">
        <v>32600000</v>
      </c>
      <c r="N84" s="1">
        <v>22800000</v>
      </c>
      <c r="O84" s="1">
        <v>5080000</v>
      </c>
      <c r="P84" s="1">
        <v>173000000</v>
      </c>
      <c r="Q84" s="2">
        <f>L84/$L$79</f>
        <v>0.72030651340996166</v>
      </c>
    </row>
    <row r="85" spans="1:18" hidden="1" x14ac:dyDescent="0.2">
      <c r="A85" t="s">
        <v>71</v>
      </c>
      <c r="B85" t="s">
        <v>26</v>
      </c>
      <c r="C85" t="s">
        <v>112</v>
      </c>
      <c r="D85" t="s">
        <v>30</v>
      </c>
      <c r="E85" t="s">
        <v>10</v>
      </c>
      <c r="F85" t="s">
        <v>37</v>
      </c>
      <c r="G85" t="s">
        <v>64</v>
      </c>
      <c r="H85">
        <v>24</v>
      </c>
      <c r="I85" t="s">
        <v>65</v>
      </c>
      <c r="J85" t="s">
        <v>72</v>
      </c>
      <c r="K85" t="s">
        <v>14</v>
      </c>
      <c r="L85" s="1">
        <v>879000000</v>
      </c>
      <c r="M85" s="1">
        <v>14200000</v>
      </c>
      <c r="N85" s="1">
        <v>4330000</v>
      </c>
      <c r="O85" s="1">
        <v>6910000</v>
      </c>
      <c r="P85" s="1">
        <v>52900000</v>
      </c>
      <c r="Q85" s="2">
        <f>L85/$L$136</f>
        <v>0.15286956521739131</v>
      </c>
    </row>
    <row r="86" spans="1:18" hidden="1" x14ac:dyDescent="0.2">
      <c r="A86" t="s">
        <v>71</v>
      </c>
      <c r="B86" t="s">
        <v>17</v>
      </c>
      <c r="C86" t="s">
        <v>112</v>
      </c>
      <c r="D86" t="s">
        <v>30</v>
      </c>
      <c r="E86" t="s">
        <v>10</v>
      </c>
      <c r="F86" t="s">
        <v>37</v>
      </c>
      <c r="G86" t="s">
        <v>64</v>
      </c>
      <c r="H86">
        <v>24</v>
      </c>
      <c r="I86" t="s">
        <v>65</v>
      </c>
      <c r="J86" t="s">
        <v>73</v>
      </c>
      <c r="K86" t="s">
        <v>14</v>
      </c>
      <c r="L86" s="1">
        <v>732000000</v>
      </c>
      <c r="M86" s="1">
        <v>13800000</v>
      </c>
      <c r="N86" s="1">
        <v>6440000</v>
      </c>
      <c r="O86" s="1">
        <v>4370000</v>
      </c>
      <c r="P86" s="1">
        <v>50100000</v>
      </c>
      <c r="Q86" s="2">
        <f>L86/$L$137</f>
        <v>6.7155963302752295E-2</v>
      </c>
    </row>
    <row r="87" spans="1:18" hidden="1" x14ac:dyDescent="0.2">
      <c r="A87" t="s">
        <v>71</v>
      </c>
      <c r="B87" t="s">
        <v>40</v>
      </c>
      <c r="C87" t="s">
        <v>112</v>
      </c>
      <c r="D87" t="s">
        <v>30</v>
      </c>
      <c r="E87" t="s">
        <v>10</v>
      </c>
      <c r="F87" t="s">
        <v>37</v>
      </c>
      <c r="G87" t="s">
        <v>64</v>
      </c>
      <c r="H87">
        <v>24</v>
      </c>
      <c r="I87" t="s">
        <v>65</v>
      </c>
      <c r="J87" t="s">
        <v>74</v>
      </c>
      <c r="K87" t="s">
        <v>14</v>
      </c>
      <c r="L87" s="1">
        <v>2360000000</v>
      </c>
      <c r="M87" s="1">
        <v>39000000</v>
      </c>
      <c r="N87" s="1">
        <v>48300000</v>
      </c>
      <c r="O87" s="1">
        <v>4100000</v>
      </c>
      <c r="P87" s="1">
        <v>189000000</v>
      </c>
      <c r="Q87" s="2">
        <f>L87/$L$82</f>
        <v>0.60824742268041232</v>
      </c>
    </row>
    <row r="88" spans="1:18" hidden="1" x14ac:dyDescent="0.2">
      <c r="A88" t="s">
        <v>71</v>
      </c>
      <c r="B88" t="s">
        <v>34</v>
      </c>
      <c r="C88" t="s">
        <v>112</v>
      </c>
      <c r="D88" t="s">
        <v>30</v>
      </c>
      <c r="E88" t="s">
        <v>10</v>
      </c>
      <c r="F88" t="s">
        <v>37</v>
      </c>
      <c r="G88" t="s">
        <v>64</v>
      </c>
      <c r="H88">
        <v>24</v>
      </c>
      <c r="I88" t="s">
        <v>65</v>
      </c>
      <c r="J88" t="s">
        <v>75</v>
      </c>
      <c r="K88" t="s">
        <v>14</v>
      </c>
      <c r="L88" s="1">
        <v>2940000000</v>
      </c>
      <c r="M88" s="1">
        <v>46900000</v>
      </c>
      <c r="N88" s="1">
        <v>51000000</v>
      </c>
      <c r="O88" s="1">
        <v>3410000</v>
      </c>
      <c r="P88" s="1">
        <v>206000000</v>
      </c>
      <c r="Q88" s="2">
        <f>L88/$L$83</f>
        <v>0.66365688487584651</v>
      </c>
    </row>
    <row r="89" spans="1:18" hidden="1" x14ac:dyDescent="0.2">
      <c r="A89" t="s">
        <v>76</v>
      </c>
      <c r="B89" t="s">
        <v>88</v>
      </c>
      <c r="C89" t="s">
        <v>113</v>
      </c>
      <c r="D89" t="s">
        <v>30</v>
      </c>
      <c r="E89" t="s">
        <v>10</v>
      </c>
      <c r="F89" t="s">
        <v>37</v>
      </c>
      <c r="G89" t="s">
        <v>64</v>
      </c>
      <c r="H89">
        <v>24</v>
      </c>
      <c r="I89" t="s">
        <v>65</v>
      </c>
      <c r="J89" t="s">
        <v>77</v>
      </c>
      <c r="K89" t="s">
        <v>14</v>
      </c>
      <c r="L89" s="1">
        <v>766000000</v>
      </c>
      <c r="M89" s="1">
        <v>19400000</v>
      </c>
      <c r="N89" s="1">
        <v>26600000</v>
      </c>
      <c r="O89" s="1">
        <v>5250000</v>
      </c>
      <c r="P89" s="1">
        <v>232000000</v>
      </c>
      <c r="Q89" s="2">
        <f>L89/$L$79</f>
        <v>0.29348659003831418</v>
      </c>
    </row>
    <row r="90" spans="1:18" hidden="1" x14ac:dyDescent="0.2">
      <c r="A90" t="s">
        <v>76</v>
      </c>
      <c r="B90" t="s">
        <v>26</v>
      </c>
      <c r="C90" t="s">
        <v>112</v>
      </c>
      <c r="D90" t="s">
        <v>30</v>
      </c>
      <c r="E90" t="s">
        <v>10</v>
      </c>
      <c r="F90" t="s">
        <v>37</v>
      </c>
      <c r="G90" t="s">
        <v>64</v>
      </c>
      <c r="H90">
        <v>24</v>
      </c>
      <c r="I90" t="s">
        <v>65</v>
      </c>
      <c r="J90" t="s">
        <v>78</v>
      </c>
      <c r="K90" t="s">
        <v>14</v>
      </c>
      <c r="L90" s="1">
        <v>660000000</v>
      </c>
      <c r="M90" s="1">
        <v>11100000</v>
      </c>
      <c r="N90" s="1">
        <v>4520000</v>
      </c>
      <c r="O90" s="1">
        <v>4830000</v>
      </c>
      <c r="P90" s="1">
        <v>34400000</v>
      </c>
      <c r="Q90" s="2">
        <f>L90/$L$136</f>
        <v>0.11478260869565217</v>
      </c>
    </row>
    <row r="91" spans="1:18" hidden="1" x14ac:dyDescent="0.2">
      <c r="A91" t="s">
        <v>76</v>
      </c>
      <c r="B91" t="s">
        <v>17</v>
      </c>
      <c r="C91" t="s">
        <v>112</v>
      </c>
      <c r="D91" t="s">
        <v>30</v>
      </c>
      <c r="E91" t="s">
        <v>10</v>
      </c>
      <c r="F91" t="s">
        <v>37</v>
      </c>
      <c r="G91" t="s">
        <v>64</v>
      </c>
      <c r="H91">
        <v>24</v>
      </c>
      <c r="I91" t="s">
        <v>65</v>
      </c>
      <c r="J91" t="s">
        <v>79</v>
      </c>
      <c r="K91" t="s">
        <v>14</v>
      </c>
      <c r="L91" s="1">
        <v>672000000</v>
      </c>
      <c r="M91" s="1">
        <v>9090000</v>
      </c>
      <c r="N91" s="1">
        <v>7090000</v>
      </c>
      <c r="O91" s="1">
        <v>4000000</v>
      </c>
      <c r="P91" s="1">
        <v>54900000</v>
      </c>
      <c r="Q91" s="2">
        <f>L91/$L$137</f>
        <v>6.1651376146788991E-2</v>
      </c>
    </row>
    <row r="92" spans="1:18" hidden="1" x14ac:dyDescent="0.2">
      <c r="A92" t="s">
        <v>76</v>
      </c>
      <c r="B92" t="s">
        <v>40</v>
      </c>
      <c r="C92" t="s">
        <v>112</v>
      </c>
      <c r="D92" t="s">
        <v>30</v>
      </c>
      <c r="E92" t="s">
        <v>10</v>
      </c>
      <c r="F92" t="s">
        <v>37</v>
      </c>
      <c r="G92" t="s">
        <v>64</v>
      </c>
      <c r="H92">
        <v>24</v>
      </c>
      <c r="I92" t="s">
        <v>65</v>
      </c>
      <c r="J92" t="s">
        <v>80</v>
      </c>
      <c r="K92" t="s">
        <v>14</v>
      </c>
      <c r="L92" s="1">
        <v>1370000000</v>
      </c>
      <c r="M92" s="1">
        <v>26300000</v>
      </c>
      <c r="N92" s="1">
        <v>31800000</v>
      </c>
      <c r="O92" s="1">
        <v>3870000</v>
      </c>
      <c r="P92" s="1">
        <v>236000000</v>
      </c>
      <c r="Q92" s="2">
        <f>L92/$L$82</f>
        <v>0.35309278350515466</v>
      </c>
    </row>
    <row r="93" spans="1:18" hidden="1" x14ac:dyDescent="0.2">
      <c r="A93" t="s">
        <v>76</v>
      </c>
      <c r="B93" t="s">
        <v>34</v>
      </c>
      <c r="C93" t="s">
        <v>112</v>
      </c>
      <c r="D93" t="s">
        <v>30</v>
      </c>
      <c r="E93" t="s">
        <v>10</v>
      </c>
      <c r="F93" t="s">
        <v>37</v>
      </c>
      <c r="G93" t="s">
        <v>64</v>
      </c>
      <c r="H93">
        <v>24</v>
      </c>
      <c r="I93" t="s">
        <v>65</v>
      </c>
      <c r="J93" t="s">
        <v>81</v>
      </c>
      <c r="K93" t="s">
        <v>14</v>
      </c>
      <c r="L93" s="1">
        <v>1340000000</v>
      </c>
      <c r="M93" s="1">
        <v>24900000</v>
      </c>
      <c r="N93" s="1">
        <v>42500000</v>
      </c>
      <c r="O93" s="1">
        <v>3430000</v>
      </c>
      <c r="P93" s="1">
        <v>281000000</v>
      </c>
      <c r="Q93" s="2">
        <f>L93/$L$83</f>
        <v>0.30248306997742663</v>
      </c>
    </row>
    <row r="94" spans="1:18" hidden="1" x14ac:dyDescent="0.2">
      <c r="A94" t="s">
        <v>82</v>
      </c>
      <c r="B94" t="s">
        <v>88</v>
      </c>
      <c r="C94" t="s">
        <v>113</v>
      </c>
      <c r="D94" t="s">
        <v>30</v>
      </c>
      <c r="E94" t="s">
        <v>10</v>
      </c>
      <c r="F94" t="s">
        <v>37</v>
      </c>
      <c r="G94" t="s">
        <v>64</v>
      </c>
      <c r="H94">
        <v>24</v>
      </c>
      <c r="I94" t="s">
        <v>65</v>
      </c>
      <c r="J94" t="s">
        <v>83</v>
      </c>
      <c r="K94" t="s">
        <v>14</v>
      </c>
      <c r="L94" s="1">
        <v>9280000000</v>
      </c>
      <c r="M94" s="1">
        <v>174000000</v>
      </c>
      <c r="N94" s="1">
        <v>146000000</v>
      </c>
      <c r="O94" s="1">
        <v>4360000</v>
      </c>
      <c r="P94" s="1">
        <v>408000000</v>
      </c>
      <c r="Q94" s="2">
        <f>L94/$L$79</f>
        <v>3.5555555555555554</v>
      </c>
      <c r="R94" s="2"/>
    </row>
    <row r="95" spans="1:18" hidden="1" x14ac:dyDescent="0.2">
      <c r="A95" t="s">
        <v>82</v>
      </c>
      <c r="B95" t="s">
        <v>26</v>
      </c>
      <c r="C95" t="s">
        <v>112</v>
      </c>
      <c r="D95" t="s">
        <v>30</v>
      </c>
      <c r="E95" t="s">
        <v>10</v>
      </c>
      <c r="F95" t="s">
        <v>37</v>
      </c>
      <c r="G95" t="s">
        <v>64</v>
      </c>
      <c r="H95">
        <v>24</v>
      </c>
      <c r="I95" t="s">
        <v>65</v>
      </c>
      <c r="J95" t="s">
        <v>84</v>
      </c>
      <c r="K95" t="s">
        <v>14</v>
      </c>
      <c r="L95" s="1">
        <v>3590000000</v>
      </c>
      <c r="M95" s="1">
        <v>40700000</v>
      </c>
      <c r="N95" s="1">
        <v>28700000</v>
      </c>
      <c r="O95" s="1">
        <v>5520000</v>
      </c>
      <c r="P95" s="1">
        <v>128000000</v>
      </c>
      <c r="Q95" s="2">
        <f>L95/$L$136</f>
        <v>0.62434782608695649</v>
      </c>
      <c r="R95" s="2"/>
    </row>
    <row r="96" spans="1:18" hidden="1" x14ac:dyDescent="0.2">
      <c r="A96" t="s">
        <v>82</v>
      </c>
      <c r="B96" t="s">
        <v>17</v>
      </c>
      <c r="C96" t="s">
        <v>112</v>
      </c>
      <c r="D96" t="s">
        <v>30</v>
      </c>
      <c r="E96" t="s">
        <v>10</v>
      </c>
      <c r="F96" t="s">
        <v>37</v>
      </c>
      <c r="G96" t="s">
        <v>64</v>
      </c>
      <c r="H96">
        <v>24</v>
      </c>
      <c r="I96" t="s">
        <v>65</v>
      </c>
      <c r="J96" t="s">
        <v>85</v>
      </c>
      <c r="K96" t="s">
        <v>14</v>
      </c>
      <c r="L96" s="1">
        <v>4360000000</v>
      </c>
      <c r="M96" s="1">
        <v>67000000</v>
      </c>
      <c r="N96" s="1">
        <v>60900000</v>
      </c>
      <c r="O96" s="1">
        <v>5420000</v>
      </c>
      <c r="P96" s="1">
        <v>292000000</v>
      </c>
      <c r="Q96" s="2">
        <f>L96/$L$137</f>
        <v>0.4</v>
      </c>
      <c r="R96" s="2"/>
    </row>
    <row r="97" spans="1:18" hidden="1" x14ac:dyDescent="0.2">
      <c r="A97" t="s">
        <v>82</v>
      </c>
      <c r="B97" t="s">
        <v>40</v>
      </c>
      <c r="C97" t="s">
        <v>112</v>
      </c>
      <c r="D97" t="s">
        <v>30</v>
      </c>
      <c r="E97" t="s">
        <v>10</v>
      </c>
      <c r="F97" t="s">
        <v>37</v>
      </c>
      <c r="G97" t="s">
        <v>64</v>
      </c>
      <c r="H97">
        <v>24</v>
      </c>
      <c r="I97" t="s">
        <v>65</v>
      </c>
      <c r="J97" t="s">
        <v>86</v>
      </c>
      <c r="K97" t="s">
        <v>14</v>
      </c>
      <c r="L97" s="1">
        <v>13300000000</v>
      </c>
      <c r="M97" s="1">
        <v>155000000</v>
      </c>
      <c r="N97" s="1">
        <v>133000000</v>
      </c>
      <c r="O97" s="1">
        <v>6570000</v>
      </c>
      <c r="P97" s="1">
        <v>432000000</v>
      </c>
      <c r="Q97" s="2">
        <f>L97/$L$82</f>
        <v>3.4278350515463916</v>
      </c>
      <c r="R97" s="2"/>
    </row>
    <row r="98" spans="1:18" hidden="1" x14ac:dyDescent="0.2">
      <c r="A98" t="s">
        <v>82</v>
      </c>
      <c r="B98" t="s">
        <v>34</v>
      </c>
      <c r="C98" t="s">
        <v>112</v>
      </c>
      <c r="D98" t="s">
        <v>30</v>
      </c>
      <c r="E98" t="s">
        <v>10</v>
      </c>
      <c r="F98" t="s">
        <v>37</v>
      </c>
      <c r="G98" t="s">
        <v>64</v>
      </c>
      <c r="H98">
        <v>24</v>
      </c>
      <c r="I98" t="s">
        <v>65</v>
      </c>
      <c r="J98" t="s">
        <v>87</v>
      </c>
      <c r="K98" t="s">
        <v>14</v>
      </c>
      <c r="L98" s="1">
        <v>27100000000</v>
      </c>
      <c r="M98" s="1">
        <v>290000000</v>
      </c>
      <c r="N98" s="1">
        <v>150000000</v>
      </c>
      <c r="O98" s="1">
        <v>5420000</v>
      </c>
      <c r="P98" s="1">
        <v>483000000</v>
      </c>
      <c r="Q98" s="2">
        <f>L98/$L$83</f>
        <v>6.1173814898419865</v>
      </c>
      <c r="R98" s="2"/>
    </row>
    <row r="99" spans="1:18" hidden="1" x14ac:dyDescent="0.2">
      <c r="A99" t="s">
        <v>42</v>
      </c>
      <c r="B99" t="s">
        <v>88</v>
      </c>
      <c r="C99" t="s">
        <v>113</v>
      </c>
      <c r="D99" t="s">
        <v>30</v>
      </c>
      <c r="E99" t="s">
        <v>10</v>
      </c>
      <c r="F99" t="s">
        <v>37</v>
      </c>
      <c r="G99" t="s">
        <v>64</v>
      </c>
      <c r="H99">
        <v>24</v>
      </c>
      <c r="I99" t="s">
        <v>65</v>
      </c>
      <c r="J99" t="s">
        <v>69</v>
      </c>
      <c r="K99" t="s">
        <v>14</v>
      </c>
      <c r="L99" s="1">
        <v>1660000000</v>
      </c>
      <c r="M99" s="1">
        <v>30300000</v>
      </c>
      <c r="N99" s="1">
        <v>39500000</v>
      </c>
      <c r="O99" s="1">
        <v>3590000</v>
      </c>
      <c r="P99" s="1">
        <v>178000000</v>
      </c>
      <c r="Q99" s="2">
        <f>L99/$L$79</f>
        <v>0.63601532567049812</v>
      </c>
      <c r="R99" s="2"/>
    </row>
    <row r="100" spans="1:18" hidden="1" x14ac:dyDescent="0.2">
      <c r="A100" t="s">
        <v>42</v>
      </c>
      <c r="B100" t="s">
        <v>26</v>
      </c>
      <c r="C100" t="s">
        <v>112</v>
      </c>
      <c r="D100" t="s">
        <v>30</v>
      </c>
      <c r="E100" t="s">
        <v>10</v>
      </c>
      <c r="F100" t="s">
        <v>37</v>
      </c>
      <c r="G100" t="s">
        <v>64</v>
      </c>
      <c r="H100">
        <v>24</v>
      </c>
      <c r="I100" t="s">
        <v>65</v>
      </c>
      <c r="J100" t="s">
        <v>89</v>
      </c>
      <c r="K100" t="s">
        <v>14</v>
      </c>
      <c r="L100" s="1">
        <v>2230000000</v>
      </c>
      <c r="M100" s="1">
        <v>42800000</v>
      </c>
      <c r="N100" s="1">
        <v>42600000</v>
      </c>
      <c r="O100" s="1">
        <v>3510000</v>
      </c>
      <c r="P100" s="1">
        <v>138000000</v>
      </c>
      <c r="Q100" s="2">
        <f>L100/$L$136</f>
        <v>0.38782608695652177</v>
      </c>
      <c r="R100" s="2"/>
    </row>
    <row r="101" spans="1:18" hidden="1" x14ac:dyDescent="0.2">
      <c r="A101" t="s">
        <v>42</v>
      </c>
      <c r="B101" t="s">
        <v>17</v>
      </c>
      <c r="C101" t="s">
        <v>112</v>
      </c>
      <c r="D101" t="s">
        <v>30</v>
      </c>
      <c r="E101" t="s">
        <v>10</v>
      </c>
      <c r="F101" t="s">
        <v>37</v>
      </c>
      <c r="G101" t="s">
        <v>64</v>
      </c>
      <c r="H101">
        <v>24</v>
      </c>
      <c r="I101" t="s">
        <v>65</v>
      </c>
      <c r="J101" t="s">
        <v>90</v>
      </c>
      <c r="K101" t="s">
        <v>14</v>
      </c>
      <c r="L101" s="1">
        <v>1660000000</v>
      </c>
      <c r="M101" s="1">
        <v>30600000</v>
      </c>
      <c r="N101" s="1">
        <v>35300000</v>
      </c>
      <c r="O101" s="1">
        <v>3500000</v>
      </c>
      <c r="P101" s="1">
        <v>145000000</v>
      </c>
      <c r="Q101" s="2">
        <f>L101/$L$137</f>
        <v>0.15229357798165138</v>
      </c>
      <c r="R101" s="2"/>
    </row>
    <row r="102" spans="1:18" hidden="1" x14ac:dyDescent="0.2">
      <c r="A102" t="s">
        <v>68</v>
      </c>
      <c r="B102" t="s">
        <v>88</v>
      </c>
      <c r="C102" t="s">
        <v>113</v>
      </c>
      <c r="D102" t="s">
        <v>30</v>
      </c>
      <c r="E102" t="s">
        <v>10</v>
      </c>
      <c r="F102" t="s">
        <v>37</v>
      </c>
      <c r="G102" t="s">
        <v>64</v>
      </c>
      <c r="H102">
        <v>24</v>
      </c>
      <c r="I102" t="s">
        <v>65</v>
      </c>
      <c r="J102" t="s">
        <v>91</v>
      </c>
      <c r="K102" t="s">
        <v>14</v>
      </c>
      <c r="L102" s="1">
        <v>8610000000</v>
      </c>
      <c r="M102" s="1">
        <v>95000000</v>
      </c>
      <c r="N102" s="1">
        <v>143000000</v>
      </c>
      <c r="O102" s="1">
        <v>3860000</v>
      </c>
      <c r="P102" s="1">
        <v>490000000</v>
      </c>
      <c r="Q102" s="2">
        <f>L102/$L$79</f>
        <v>3.2988505747126435</v>
      </c>
      <c r="R102" s="2"/>
    </row>
    <row r="103" spans="1:18" hidden="1" x14ac:dyDescent="0.2">
      <c r="A103" t="s">
        <v>70</v>
      </c>
      <c r="B103" t="s">
        <v>8</v>
      </c>
      <c r="C103" t="s">
        <v>113</v>
      </c>
      <c r="D103" t="s">
        <v>30</v>
      </c>
      <c r="E103" t="s">
        <v>10</v>
      </c>
      <c r="F103" t="s">
        <v>37</v>
      </c>
      <c r="G103" t="s">
        <v>66</v>
      </c>
      <c r="H103">
        <v>48</v>
      </c>
      <c r="I103" t="s">
        <v>67</v>
      </c>
      <c r="J103" t="s">
        <v>18</v>
      </c>
      <c r="K103" t="s">
        <v>14</v>
      </c>
      <c r="L103" s="1">
        <v>4350000000</v>
      </c>
      <c r="M103" s="1">
        <v>121000000</v>
      </c>
      <c r="N103" s="1">
        <v>119000000</v>
      </c>
      <c r="O103" s="1">
        <v>3970000</v>
      </c>
      <c r="P103" s="1">
        <v>335000000</v>
      </c>
      <c r="Q103"/>
    </row>
    <row r="104" spans="1:18" hidden="1" x14ac:dyDescent="0.2">
      <c r="A104" t="s">
        <v>70</v>
      </c>
      <c r="B104" t="s">
        <v>19</v>
      </c>
      <c r="C104" t="s">
        <v>112</v>
      </c>
      <c r="D104" t="s">
        <v>30</v>
      </c>
      <c r="E104" t="s">
        <v>10</v>
      </c>
      <c r="F104" t="s">
        <v>37</v>
      </c>
      <c r="G104" t="s">
        <v>66</v>
      </c>
      <c r="H104">
        <v>48</v>
      </c>
      <c r="I104" t="s">
        <v>67</v>
      </c>
      <c r="J104" t="s">
        <v>20</v>
      </c>
      <c r="K104" t="s">
        <v>14</v>
      </c>
      <c r="L104" s="1">
        <v>673000000</v>
      </c>
      <c r="M104" s="1">
        <v>17700000</v>
      </c>
      <c r="N104" s="1">
        <v>9540000</v>
      </c>
      <c r="O104" s="1">
        <v>5840000</v>
      </c>
      <c r="P104" s="1">
        <v>45700000</v>
      </c>
      <c r="Q104" s="2">
        <f>L104/$L$145</f>
        <v>8.866930171277998E-2</v>
      </c>
    </row>
    <row r="105" spans="1:18" hidden="1" x14ac:dyDescent="0.2">
      <c r="A105" t="s">
        <v>70</v>
      </c>
      <c r="B105" t="s">
        <v>27</v>
      </c>
      <c r="C105" t="s">
        <v>112</v>
      </c>
      <c r="D105" t="s">
        <v>30</v>
      </c>
      <c r="E105" t="s">
        <v>10</v>
      </c>
      <c r="F105" t="s">
        <v>37</v>
      </c>
      <c r="G105" t="s">
        <v>66</v>
      </c>
      <c r="H105">
        <v>48</v>
      </c>
      <c r="I105" t="s">
        <v>67</v>
      </c>
      <c r="J105" t="s">
        <v>22</v>
      </c>
      <c r="K105" t="s">
        <v>14</v>
      </c>
      <c r="L105" s="1">
        <v>4070000000</v>
      </c>
      <c r="M105" s="1">
        <v>120000000</v>
      </c>
      <c r="N105" s="1">
        <v>155000000</v>
      </c>
      <c r="O105" s="1">
        <v>4960000</v>
      </c>
      <c r="P105" s="1">
        <v>549000000</v>
      </c>
      <c r="Q105" s="2">
        <f>L105/$L$146</f>
        <v>1.3388157894736843</v>
      </c>
    </row>
    <row r="106" spans="1:18" hidden="1" x14ac:dyDescent="0.2">
      <c r="A106" t="s">
        <v>70</v>
      </c>
      <c r="B106" t="s">
        <v>35</v>
      </c>
      <c r="C106" t="s">
        <v>112</v>
      </c>
      <c r="D106" t="s">
        <v>30</v>
      </c>
      <c r="E106" t="s">
        <v>10</v>
      </c>
      <c r="F106" t="s">
        <v>37</v>
      </c>
      <c r="G106" t="s">
        <v>66</v>
      </c>
      <c r="H106">
        <v>48</v>
      </c>
      <c r="I106" t="s">
        <v>67</v>
      </c>
      <c r="J106" t="s">
        <v>46</v>
      </c>
      <c r="K106" t="s">
        <v>14</v>
      </c>
      <c r="L106" s="1">
        <v>4360000000</v>
      </c>
      <c r="M106" s="1">
        <v>104000000</v>
      </c>
      <c r="N106" s="1">
        <v>104000000</v>
      </c>
      <c r="O106" s="1">
        <v>5630000</v>
      </c>
      <c r="P106" s="1">
        <v>348000000</v>
      </c>
      <c r="Q106" s="2">
        <f>L106/$L$106</f>
        <v>1</v>
      </c>
    </row>
    <row r="107" spans="1:18" hidden="1" x14ac:dyDescent="0.2">
      <c r="A107" t="s">
        <v>70</v>
      </c>
      <c r="B107" t="s">
        <v>41</v>
      </c>
      <c r="C107" t="s">
        <v>112</v>
      </c>
      <c r="D107" t="s">
        <v>30</v>
      </c>
      <c r="E107" t="s">
        <v>10</v>
      </c>
      <c r="F107" t="s">
        <v>37</v>
      </c>
      <c r="G107" t="s">
        <v>66</v>
      </c>
      <c r="H107">
        <v>48</v>
      </c>
      <c r="I107" t="s">
        <v>67</v>
      </c>
      <c r="J107" t="s">
        <v>47</v>
      </c>
      <c r="K107" t="s">
        <v>14</v>
      </c>
      <c r="L107" s="1">
        <v>3450000000</v>
      </c>
      <c r="M107" s="1">
        <v>74700000</v>
      </c>
      <c r="N107" s="1">
        <v>89500000</v>
      </c>
      <c r="O107" s="1">
        <v>3300000</v>
      </c>
      <c r="P107" s="1">
        <v>341000000</v>
      </c>
      <c r="Q107" s="2">
        <f>L107/$L$107</f>
        <v>1</v>
      </c>
    </row>
    <row r="108" spans="1:18" hidden="1" x14ac:dyDescent="0.2">
      <c r="A108" t="s">
        <v>71</v>
      </c>
      <c r="B108" t="s">
        <v>8</v>
      </c>
      <c r="C108" t="s">
        <v>113</v>
      </c>
      <c r="D108" t="s">
        <v>30</v>
      </c>
      <c r="E108" t="s">
        <v>10</v>
      </c>
      <c r="F108" t="s">
        <v>37</v>
      </c>
      <c r="G108" t="s">
        <v>66</v>
      </c>
      <c r="H108">
        <v>48</v>
      </c>
      <c r="I108" t="s">
        <v>67</v>
      </c>
      <c r="J108" t="s">
        <v>48</v>
      </c>
      <c r="K108" t="s">
        <v>14</v>
      </c>
      <c r="L108" s="1">
        <v>2840000000</v>
      </c>
      <c r="M108" s="1">
        <v>38300000</v>
      </c>
      <c r="N108" s="1">
        <v>45100000</v>
      </c>
      <c r="O108" s="1">
        <v>2520000</v>
      </c>
      <c r="P108" s="1">
        <v>237000000</v>
      </c>
      <c r="Q108"/>
    </row>
    <row r="109" spans="1:18" hidden="1" x14ac:dyDescent="0.2">
      <c r="A109" t="s">
        <v>71</v>
      </c>
      <c r="B109" t="s">
        <v>19</v>
      </c>
      <c r="C109" t="s">
        <v>112</v>
      </c>
      <c r="D109" t="s">
        <v>30</v>
      </c>
      <c r="E109" t="s">
        <v>10</v>
      </c>
      <c r="F109" t="s">
        <v>37</v>
      </c>
      <c r="G109" t="s">
        <v>66</v>
      </c>
      <c r="H109">
        <v>48</v>
      </c>
      <c r="I109" t="s">
        <v>67</v>
      </c>
      <c r="J109" t="s">
        <v>49</v>
      </c>
      <c r="K109" t="s">
        <v>14</v>
      </c>
      <c r="L109" s="1">
        <v>1010000000</v>
      </c>
      <c r="M109" s="1">
        <v>19000000</v>
      </c>
      <c r="N109" s="1">
        <v>10700000</v>
      </c>
      <c r="O109" s="1">
        <v>10300000</v>
      </c>
      <c r="P109" s="1">
        <v>95600000</v>
      </c>
      <c r="Q109" s="2">
        <f>L109/$L$145</f>
        <v>0.13306982872200263</v>
      </c>
    </row>
    <row r="110" spans="1:18" hidden="1" x14ac:dyDescent="0.2">
      <c r="A110" t="s">
        <v>71</v>
      </c>
      <c r="B110" t="s">
        <v>27</v>
      </c>
      <c r="C110" t="s">
        <v>112</v>
      </c>
      <c r="D110" t="s">
        <v>30</v>
      </c>
      <c r="E110" t="s">
        <v>10</v>
      </c>
      <c r="F110" t="s">
        <v>37</v>
      </c>
      <c r="G110" t="s">
        <v>66</v>
      </c>
      <c r="H110">
        <v>48</v>
      </c>
      <c r="I110" t="s">
        <v>67</v>
      </c>
      <c r="J110" t="s">
        <v>51</v>
      </c>
      <c r="K110" t="s">
        <v>14</v>
      </c>
      <c r="L110" s="1">
        <v>1410000000</v>
      </c>
      <c r="M110" s="1">
        <v>32900000</v>
      </c>
      <c r="N110" s="1">
        <v>23900000</v>
      </c>
      <c r="O110" s="1">
        <v>3690000</v>
      </c>
      <c r="P110" s="1">
        <v>143000000</v>
      </c>
      <c r="Q110" s="2">
        <f>L110/$L$146</f>
        <v>0.46381578947368424</v>
      </c>
    </row>
    <row r="111" spans="1:18" hidden="1" x14ac:dyDescent="0.2">
      <c r="A111" t="s">
        <v>71</v>
      </c>
      <c r="B111" t="s">
        <v>35</v>
      </c>
      <c r="C111" t="s">
        <v>112</v>
      </c>
      <c r="D111" t="s">
        <v>30</v>
      </c>
      <c r="E111" t="s">
        <v>10</v>
      </c>
      <c r="F111" t="s">
        <v>37</v>
      </c>
      <c r="G111" t="s">
        <v>66</v>
      </c>
      <c r="H111">
        <v>48</v>
      </c>
      <c r="I111" t="s">
        <v>67</v>
      </c>
      <c r="J111" t="s">
        <v>72</v>
      </c>
      <c r="K111" t="s">
        <v>14</v>
      </c>
      <c r="L111" s="1">
        <v>1450000000</v>
      </c>
      <c r="M111" s="1">
        <v>40900000</v>
      </c>
      <c r="N111" s="1">
        <v>39900000</v>
      </c>
      <c r="O111" s="1">
        <v>4970000</v>
      </c>
      <c r="P111" s="1">
        <v>156000000</v>
      </c>
      <c r="Q111" s="2">
        <f>L111/$L$106</f>
        <v>0.33256880733944955</v>
      </c>
    </row>
    <row r="112" spans="1:18" hidden="1" x14ac:dyDescent="0.2">
      <c r="A112" t="s">
        <v>71</v>
      </c>
      <c r="B112" t="s">
        <v>41</v>
      </c>
      <c r="C112" t="s">
        <v>112</v>
      </c>
      <c r="D112" t="s">
        <v>30</v>
      </c>
      <c r="E112" t="s">
        <v>10</v>
      </c>
      <c r="F112" t="s">
        <v>37</v>
      </c>
      <c r="G112" t="s">
        <v>66</v>
      </c>
      <c r="H112">
        <v>48</v>
      </c>
      <c r="I112" t="s">
        <v>67</v>
      </c>
      <c r="J112" t="s">
        <v>73</v>
      </c>
      <c r="K112" t="s">
        <v>14</v>
      </c>
      <c r="L112" s="1">
        <v>1760000000</v>
      </c>
      <c r="M112" s="1">
        <v>38400000</v>
      </c>
      <c r="N112" s="1">
        <v>35900000</v>
      </c>
      <c r="O112" s="1">
        <v>2150000</v>
      </c>
      <c r="P112" s="1">
        <v>111000000</v>
      </c>
      <c r="Q112" s="2">
        <f>L112/$L$107</f>
        <v>0.51014492753623186</v>
      </c>
    </row>
    <row r="113" spans="1:18" hidden="1" x14ac:dyDescent="0.2">
      <c r="A113" t="s">
        <v>76</v>
      </c>
      <c r="B113" t="s">
        <v>8</v>
      </c>
      <c r="C113" t="s">
        <v>113</v>
      </c>
      <c r="D113" t="s">
        <v>30</v>
      </c>
      <c r="E113" t="s">
        <v>10</v>
      </c>
      <c r="F113" t="s">
        <v>37</v>
      </c>
      <c r="G113" t="s">
        <v>66</v>
      </c>
      <c r="H113">
        <v>48</v>
      </c>
      <c r="I113" t="s">
        <v>67</v>
      </c>
      <c r="J113" t="s">
        <v>74</v>
      </c>
      <c r="K113" t="s">
        <v>14</v>
      </c>
      <c r="L113" s="1">
        <v>1400000000</v>
      </c>
      <c r="M113" s="1">
        <v>35200000</v>
      </c>
      <c r="N113" s="1">
        <v>43700000</v>
      </c>
      <c r="O113" s="1">
        <v>4170000</v>
      </c>
      <c r="P113" s="1">
        <v>208000000</v>
      </c>
      <c r="Q113"/>
    </row>
    <row r="114" spans="1:18" hidden="1" x14ac:dyDescent="0.2">
      <c r="A114" t="s">
        <v>76</v>
      </c>
      <c r="B114" t="s">
        <v>19</v>
      </c>
      <c r="C114" t="s">
        <v>112</v>
      </c>
      <c r="D114" t="s">
        <v>30</v>
      </c>
      <c r="E114" t="s">
        <v>10</v>
      </c>
      <c r="F114" t="s">
        <v>37</v>
      </c>
      <c r="G114" t="s">
        <v>66</v>
      </c>
      <c r="H114">
        <v>48</v>
      </c>
      <c r="I114" t="s">
        <v>67</v>
      </c>
      <c r="J114" t="s">
        <v>75</v>
      </c>
      <c r="K114" t="s">
        <v>14</v>
      </c>
      <c r="L114" s="1">
        <v>829000000</v>
      </c>
      <c r="M114" s="1">
        <v>15400000</v>
      </c>
      <c r="N114" s="1">
        <v>3620000</v>
      </c>
      <c r="O114" s="1">
        <v>6690000</v>
      </c>
      <c r="P114" s="1">
        <v>35700000</v>
      </c>
      <c r="Q114" s="2">
        <f>L114/$L$145</f>
        <v>0.10922266139657444</v>
      </c>
    </row>
    <row r="115" spans="1:18" hidden="1" x14ac:dyDescent="0.2">
      <c r="A115" t="s">
        <v>76</v>
      </c>
      <c r="B115" t="s">
        <v>27</v>
      </c>
      <c r="C115" t="s">
        <v>112</v>
      </c>
      <c r="D115" t="s">
        <v>30</v>
      </c>
      <c r="E115" t="s">
        <v>10</v>
      </c>
      <c r="F115" t="s">
        <v>37</v>
      </c>
      <c r="G115" t="s">
        <v>66</v>
      </c>
      <c r="H115">
        <v>48</v>
      </c>
      <c r="I115" t="s">
        <v>67</v>
      </c>
      <c r="J115" t="s">
        <v>77</v>
      </c>
      <c r="K115" t="s">
        <v>14</v>
      </c>
      <c r="L115" s="1">
        <v>603000000</v>
      </c>
      <c r="M115" s="1">
        <v>12000000</v>
      </c>
      <c r="N115" s="1">
        <v>7150000</v>
      </c>
      <c r="O115" s="1">
        <v>4560000</v>
      </c>
      <c r="P115" s="1">
        <v>64100000</v>
      </c>
      <c r="Q115" s="2">
        <f>L115/$L$146</f>
        <v>0.19835526315789473</v>
      </c>
    </row>
    <row r="116" spans="1:18" hidden="1" x14ac:dyDescent="0.2">
      <c r="A116" t="s">
        <v>76</v>
      </c>
      <c r="B116" t="s">
        <v>35</v>
      </c>
      <c r="C116" t="s">
        <v>112</v>
      </c>
      <c r="D116" t="s">
        <v>30</v>
      </c>
      <c r="E116" t="s">
        <v>10</v>
      </c>
      <c r="F116" t="s">
        <v>37</v>
      </c>
      <c r="G116" t="s">
        <v>66</v>
      </c>
      <c r="H116">
        <v>48</v>
      </c>
      <c r="I116" t="s">
        <v>67</v>
      </c>
      <c r="J116" t="s">
        <v>78</v>
      </c>
      <c r="K116" t="s">
        <v>14</v>
      </c>
      <c r="L116" s="1">
        <v>2480000000</v>
      </c>
      <c r="M116" s="1">
        <v>47600000</v>
      </c>
      <c r="N116" s="1">
        <v>46000000</v>
      </c>
      <c r="O116" s="1">
        <v>5030000</v>
      </c>
      <c r="P116" s="1">
        <v>179000000</v>
      </c>
      <c r="Q116" s="2">
        <f>L116/$L$106</f>
        <v>0.56880733944954132</v>
      </c>
    </row>
    <row r="117" spans="1:18" hidden="1" x14ac:dyDescent="0.2">
      <c r="A117" t="s">
        <v>76</v>
      </c>
      <c r="B117" t="s">
        <v>41</v>
      </c>
      <c r="C117" t="s">
        <v>112</v>
      </c>
      <c r="D117" t="s">
        <v>30</v>
      </c>
      <c r="E117" t="s">
        <v>10</v>
      </c>
      <c r="F117" t="s">
        <v>37</v>
      </c>
      <c r="G117" t="s">
        <v>66</v>
      </c>
      <c r="H117">
        <v>48</v>
      </c>
      <c r="I117" t="s">
        <v>67</v>
      </c>
      <c r="J117" t="s">
        <v>79</v>
      </c>
      <c r="K117" t="s">
        <v>14</v>
      </c>
      <c r="L117" s="1">
        <v>1610000000</v>
      </c>
      <c r="M117" s="1">
        <v>35100000</v>
      </c>
      <c r="N117" s="1">
        <v>33400000</v>
      </c>
      <c r="O117" s="1">
        <v>3530000</v>
      </c>
      <c r="P117" s="1">
        <v>123000000</v>
      </c>
      <c r="Q117" s="2">
        <f>L117/$L$107</f>
        <v>0.46666666666666667</v>
      </c>
    </row>
    <row r="118" spans="1:18" hidden="1" x14ac:dyDescent="0.2">
      <c r="A118" t="s">
        <v>82</v>
      </c>
      <c r="B118" t="s">
        <v>8</v>
      </c>
      <c r="C118" t="s">
        <v>113</v>
      </c>
      <c r="D118" t="s">
        <v>30</v>
      </c>
      <c r="E118" t="s">
        <v>10</v>
      </c>
      <c r="F118" t="s">
        <v>37</v>
      </c>
      <c r="G118" t="s">
        <v>66</v>
      </c>
      <c r="H118">
        <v>48</v>
      </c>
      <c r="I118" t="s">
        <v>67</v>
      </c>
      <c r="J118" t="s">
        <v>80</v>
      </c>
      <c r="K118" t="s">
        <v>14</v>
      </c>
      <c r="L118" s="1">
        <v>15400000000</v>
      </c>
      <c r="M118" s="1">
        <v>186000000</v>
      </c>
      <c r="N118" s="1">
        <v>108000000</v>
      </c>
      <c r="O118" s="1">
        <v>2450000</v>
      </c>
      <c r="P118" s="1">
        <v>354000000</v>
      </c>
      <c r="Q118"/>
      <c r="R118" s="2"/>
    </row>
    <row r="119" spans="1:18" hidden="1" x14ac:dyDescent="0.2">
      <c r="A119" t="s">
        <v>82</v>
      </c>
      <c r="B119" t="s">
        <v>19</v>
      </c>
      <c r="C119" t="s">
        <v>112</v>
      </c>
      <c r="D119" t="s">
        <v>30</v>
      </c>
      <c r="E119" t="s">
        <v>10</v>
      </c>
      <c r="F119" t="s">
        <v>37</v>
      </c>
      <c r="G119" t="s">
        <v>66</v>
      </c>
      <c r="H119">
        <v>48</v>
      </c>
      <c r="I119" t="s">
        <v>67</v>
      </c>
      <c r="J119" t="s">
        <v>81</v>
      </c>
      <c r="K119" t="s">
        <v>14</v>
      </c>
      <c r="L119" s="1">
        <v>4810000000</v>
      </c>
      <c r="M119" s="1">
        <v>58100000</v>
      </c>
      <c r="N119" s="1">
        <v>50300000</v>
      </c>
      <c r="O119" s="1">
        <v>5590000</v>
      </c>
      <c r="P119" s="1">
        <v>227000000</v>
      </c>
      <c r="Q119" s="2">
        <f>L119/$L$145</f>
        <v>0.63372859025032935</v>
      </c>
      <c r="R119" s="2"/>
    </row>
    <row r="120" spans="1:18" hidden="1" x14ac:dyDescent="0.2">
      <c r="A120" t="s">
        <v>82</v>
      </c>
      <c r="B120" t="s">
        <v>27</v>
      </c>
      <c r="C120" t="s">
        <v>112</v>
      </c>
      <c r="D120" t="s">
        <v>30</v>
      </c>
      <c r="E120" t="s">
        <v>10</v>
      </c>
      <c r="F120" t="s">
        <v>37</v>
      </c>
      <c r="G120" t="s">
        <v>66</v>
      </c>
      <c r="H120">
        <v>48</v>
      </c>
      <c r="I120" t="s">
        <v>67</v>
      </c>
      <c r="J120" t="s">
        <v>83</v>
      </c>
      <c r="K120" t="s">
        <v>14</v>
      </c>
      <c r="L120" s="1">
        <v>7060000000</v>
      </c>
      <c r="M120" s="1">
        <v>82300000</v>
      </c>
      <c r="N120" s="1">
        <v>106000000</v>
      </c>
      <c r="O120" s="1">
        <v>5190000</v>
      </c>
      <c r="P120" s="1">
        <v>383000000</v>
      </c>
      <c r="Q120" s="2">
        <f>L120/$L$146</f>
        <v>2.3223684210526314</v>
      </c>
      <c r="R120" s="2"/>
    </row>
    <row r="121" spans="1:18" hidden="1" x14ac:dyDescent="0.2">
      <c r="A121" t="s">
        <v>82</v>
      </c>
      <c r="B121" t="s">
        <v>35</v>
      </c>
      <c r="C121" t="s">
        <v>112</v>
      </c>
      <c r="D121" t="s">
        <v>30</v>
      </c>
      <c r="E121" t="s">
        <v>10</v>
      </c>
      <c r="F121" t="s">
        <v>37</v>
      </c>
      <c r="G121" t="s">
        <v>66</v>
      </c>
      <c r="H121">
        <v>48</v>
      </c>
      <c r="I121" t="s">
        <v>67</v>
      </c>
      <c r="J121" t="s">
        <v>84</v>
      </c>
      <c r="K121" t="s">
        <v>14</v>
      </c>
      <c r="L121" s="1">
        <v>23000000000</v>
      </c>
      <c r="M121" s="1">
        <v>268000000</v>
      </c>
      <c r="N121" s="1">
        <v>142000000</v>
      </c>
      <c r="O121" s="1">
        <v>7680000</v>
      </c>
      <c r="P121" s="1">
        <v>544000000</v>
      </c>
      <c r="Q121" s="2">
        <f>L121/$L$106</f>
        <v>5.2752293577981648</v>
      </c>
      <c r="R121" s="2"/>
    </row>
    <row r="122" spans="1:18" hidden="1" x14ac:dyDescent="0.2">
      <c r="A122" t="s">
        <v>82</v>
      </c>
      <c r="B122" t="s">
        <v>41</v>
      </c>
      <c r="C122" t="s">
        <v>112</v>
      </c>
      <c r="D122" t="s">
        <v>30</v>
      </c>
      <c r="E122" t="s">
        <v>10</v>
      </c>
      <c r="F122" t="s">
        <v>37</v>
      </c>
      <c r="G122" t="s">
        <v>66</v>
      </c>
      <c r="H122">
        <v>48</v>
      </c>
      <c r="I122" t="s">
        <v>67</v>
      </c>
      <c r="J122" t="s">
        <v>85</v>
      </c>
      <c r="K122" t="s">
        <v>14</v>
      </c>
      <c r="L122" s="1">
        <v>20600000000</v>
      </c>
      <c r="M122" s="1">
        <v>249000000</v>
      </c>
      <c r="N122" s="1">
        <v>176000000</v>
      </c>
      <c r="O122" s="1">
        <v>4760000</v>
      </c>
      <c r="P122" s="1">
        <v>529000000</v>
      </c>
      <c r="Q122" s="2">
        <f>L122/$L$107</f>
        <v>5.9710144927536231</v>
      </c>
      <c r="R122" s="2"/>
    </row>
    <row r="123" spans="1:18" hidden="1" x14ac:dyDescent="0.2">
      <c r="A123" t="s">
        <v>42</v>
      </c>
      <c r="B123" t="s">
        <v>8</v>
      </c>
      <c r="C123" t="s">
        <v>113</v>
      </c>
      <c r="D123" t="s">
        <v>30</v>
      </c>
      <c r="E123" t="s">
        <v>10</v>
      </c>
      <c r="F123" t="s">
        <v>37</v>
      </c>
      <c r="G123" t="s">
        <v>66</v>
      </c>
      <c r="H123">
        <v>48</v>
      </c>
      <c r="I123" t="s">
        <v>67</v>
      </c>
      <c r="J123" t="s">
        <v>86</v>
      </c>
      <c r="K123" t="s">
        <v>14</v>
      </c>
      <c r="L123" s="1">
        <v>3010000000</v>
      </c>
      <c r="M123" s="1">
        <v>62400000</v>
      </c>
      <c r="N123" s="1">
        <v>54200000</v>
      </c>
      <c r="O123" s="1">
        <v>4790000</v>
      </c>
      <c r="P123" s="1">
        <v>264000000</v>
      </c>
      <c r="Q123"/>
      <c r="R123" s="2"/>
    </row>
    <row r="124" spans="1:18" hidden="1" x14ac:dyDescent="0.2">
      <c r="A124" t="s">
        <v>42</v>
      </c>
      <c r="B124" t="s">
        <v>19</v>
      </c>
      <c r="C124" t="s">
        <v>112</v>
      </c>
      <c r="D124" t="s">
        <v>30</v>
      </c>
      <c r="E124" t="s">
        <v>10</v>
      </c>
      <c r="F124" t="s">
        <v>37</v>
      </c>
      <c r="G124" t="s">
        <v>66</v>
      </c>
      <c r="H124">
        <v>48</v>
      </c>
      <c r="I124" t="s">
        <v>67</v>
      </c>
      <c r="J124" t="s">
        <v>87</v>
      </c>
      <c r="K124" t="s">
        <v>14</v>
      </c>
      <c r="L124" s="1">
        <v>2430000000</v>
      </c>
      <c r="M124" s="1">
        <v>50400000</v>
      </c>
      <c r="N124" s="1">
        <v>41900000</v>
      </c>
      <c r="O124" s="1">
        <v>6900000</v>
      </c>
      <c r="P124" s="1">
        <v>155000000</v>
      </c>
      <c r="Q124" s="2">
        <f>L124/$L$145</f>
        <v>0.3201581027667984</v>
      </c>
      <c r="R124" s="2"/>
    </row>
    <row r="125" spans="1:18" hidden="1" x14ac:dyDescent="0.2">
      <c r="A125" t="s">
        <v>42</v>
      </c>
      <c r="B125" t="s">
        <v>27</v>
      </c>
      <c r="C125" t="s">
        <v>112</v>
      </c>
      <c r="D125" t="s">
        <v>30</v>
      </c>
      <c r="E125" t="s">
        <v>10</v>
      </c>
      <c r="F125" t="s">
        <v>37</v>
      </c>
      <c r="G125" t="s">
        <v>66</v>
      </c>
      <c r="H125">
        <v>48</v>
      </c>
      <c r="I125" t="s">
        <v>67</v>
      </c>
      <c r="J125" t="s">
        <v>69</v>
      </c>
      <c r="K125" t="s">
        <v>14</v>
      </c>
      <c r="L125" s="1">
        <v>2700000000</v>
      </c>
      <c r="M125" s="1">
        <v>76100000</v>
      </c>
      <c r="N125" s="1">
        <v>87300000</v>
      </c>
      <c r="O125" s="1">
        <v>4850000</v>
      </c>
      <c r="P125" s="1">
        <v>281000000</v>
      </c>
      <c r="Q125" s="2">
        <f>L125/$L$146</f>
        <v>0.88815789473684215</v>
      </c>
      <c r="R125" s="2"/>
    </row>
    <row r="126" spans="1:18" hidden="1" x14ac:dyDescent="0.2">
      <c r="A126" t="s">
        <v>68</v>
      </c>
      <c r="B126" t="s">
        <v>35</v>
      </c>
      <c r="C126" t="s">
        <v>112</v>
      </c>
      <c r="D126" t="s">
        <v>30</v>
      </c>
      <c r="E126" t="s">
        <v>10</v>
      </c>
      <c r="F126" t="s">
        <v>37</v>
      </c>
      <c r="G126" t="s">
        <v>66</v>
      </c>
      <c r="H126">
        <v>48</v>
      </c>
      <c r="I126" t="s">
        <v>67</v>
      </c>
      <c r="J126" t="s">
        <v>89</v>
      </c>
      <c r="K126" t="s">
        <v>14</v>
      </c>
      <c r="L126" s="1">
        <v>7630000000</v>
      </c>
      <c r="M126" s="1">
        <v>62500000</v>
      </c>
      <c r="N126" s="1">
        <v>57800000</v>
      </c>
      <c r="O126" s="1">
        <v>6340000</v>
      </c>
      <c r="P126" s="1">
        <v>355000000</v>
      </c>
      <c r="Q126" s="2">
        <f>L126/$L$106</f>
        <v>1.75</v>
      </c>
      <c r="R126" s="2"/>
    </row>
    <row r="127" spans="1:18" hidden="1" x14ac:dyDescent="0.2">
      <c r="A127" t="s">
        <v>70</v>
      </c>
      <c r="B127" t="s">
        <v>25</v>
      </c>
      <c r="D127" t="s">
        <v>9</v>
      </c>
      <c r="E127" t="s">
        <v>10</v>
      </c>
      <c r="F127" t="s">
        <v>37</v>
      </c>
      <c r="G127" t="s">
        <v>92</v>
      </c>
      <c r="H127">
        <v>4</v>
      </c>
      <c r="I127" t="s">
        <v>93</v>
      </c>
      <c r="J127" t="s">
        <v>13</v>
      </c>
      <c r="K127" t="s">
        <v>14</v>
      </c>
      <c r="L127" s="1">
        <v>10200000000</v>
      </c>
      <c r="M127" s="1">
        <v>275000000</v>
      </c>
      <c r="N127" s="1">
        <v>385000000</v>
      </c>
      <c r="O127" s="1">
        <v>16200000</v>
      </c>
      <c r="P127" s="1">
        <v>2200000000</v>
      </c>
      <c r="Q127" s="2">
        <f>L127/$L$127</f>
        <v>1</v>
      </c>
    </row>
    <row r="128" spans="1:18" hidden="1" x14ac:dyDescent="0.2">
      <c r="A128" t="s">
        <v>70</v>
      </c>
      <c r="B128" t="s">
        <v>15</v>
      </c>
      <c r="C128" t="s">
        <v>112</v>
      </c>
      <c r="D128" t="s">
        <v>9</v>
      </c>
      <c r="E128" t="s">
        <v>10</v>
      </c>
      <c r="F128" t="s">
        <v>37</v>
      </c>
      <c r="G128" t="s">
        <v>92</v>
      </c>
      <c r="H128">
        <v>4</v>
      </c>
      <c r="I128" t="s">
        <v>93</v>
      </c>
      <c r="J128" t="s">
        <v>16</v>
      </c>
      <c r="K128" t="s">
        <v>14</v>
      </c>
      <c r="L128" s="1">
        <v>5880000000</v>
      </c>
      <c r="M128" s="1">
        <v>221000000</v>
      </c>
      <c r="N128" s="1">
        <v>150000000</v>
      </c>
      <c r="O128" s="1">
        <v>14900000</v>
      </c>
      <c r="P128" s="1">
        <v>581000000</v>
      </c>
      <c r="Q128" s="2">
        <f>L128/$L$63</f>
        <v>1.0120481927710843</v>
      </c>
    </row>
    <row r="129" spans="1:18" hidden="1" x14ac:dyDescent="0.2">
      <c r="A129" t="s">
        <v>71</v>
      </c>
      <c r="B129" t="s">
        <v>25</v>
      </c>
      <c r="D129" t="s">
        <v>9</v>
      </c>
      <c r="E129" t="s">
        <v>10</v>
      </c>
      <c r="F129" t="s">
        <v>37</v>
      </c>
      <c r="G129" t="s">
        <v>92</v>
      </c>
      <c r="H129">
        <v>4</v>
      </c>
      <c r="I129" t="s">
        <v>93</v>
      </c>
      <c r="J129" t="s">
        <v>18</v>
      </c>
      <c r="K129" t="s">
        <v>14</v>
      </c>
      <c r="L129" s="1">
        <v>9540000000</v>
      </c>
      <c r="M129" s="1">
        <v>134000000</v>
      </c>
      <c r="N129" s="1">
        <v>126000000</v>
      </c>
      <c r="O129" s="1">
        <v>15300000</v>
      </c>
      <c r="P129" s="1">
        <v>557000000</v>
      </c>
      <c r="Q129" s="2">
        <f>L129/$L$127</f>
        <v>0.93529411764705883</v>
      </c>
    </row>
    <row r="130" spans="1:18" hidden="1" x14ac:dyDescent="0.2">
      <c r="A130" t="s">
        <v>71</v>
      </c>
      <c r="B130" t="s">
        <v>15</v>
      </c>
      <c r="C130" t="s">
        <v>112</v>
      </c>
      <c r="D130" t="s">
        <v>9</v>
      </c>
      <c r="E130" t="s">
        <v>10</v>
      </c>
      <c r="F130" t="s">
        <v>37</v>
      </c>
      <c r="G130" t="s">
        <v>92</v>
      </c>
      <c r="H130">
        <v>4</v>
      </c>
      <c r="I130" t="s">
        <v>93</v>
      </c>
      <c r="J130" t="s">
        <v>20</v>
      </c>
      <c r="K130" t="s">
        <v>14</v>
      </c>
      <c r="L130" s="1">
        <v>19800000000</v>
      </c>
      <c r="M130" s="1">
        <v>204000000</v>
      </c>
      <c r="N130" s="1">
        <v>218000000</v>
      </c>
      <c r="O130" s="1">
        <v>16600000</v>
      </c>
      <c r="P130" s="1">
        <v>750000000</v>
      </c>
      <c r="Q130" s="2">
        <f>L130/$L$63</f>
        <v>3.4079173838209984</v>
      </c>
    </row>
    <row r="131" spans="1:18" hidden="1" x14ac:dyDescent="0.2">
      <c r="A131" t="s">
        <v>76</v>
      </c>
      <c r="B131" t="s">
        <v>25</v>
      </c>
      <c r="D131" t="s">
        <v>9</v>
      </c>
      <c r="E131" t="s">
        <v>10</v>
      </c>
      <c r="F131" t="s">
        <v>37</v>
      </c>
      <c r="G131" t="s">
        <v>92</v>
      </c>
      <c r="H131">
        <v>4</v>
      </c>
      <c r="I131" t="s">
        <v>93</v>
      </c>
      <c r="J131" t="s">
        <v>22</v>
      </c>
      <c r="K131" t="s">
        <v>14</v>
      </c>
      <c r="L131" s="1">
        <v>9660000000</v>
      </c>
      <c r="M131" s="1">
        <v>261000000</v>
      </c>
      <c r="N131" s="1">
        <v>322000000</v>
      </c>
      <c r="O131" s="1">
        <v>16600000</v>
      </c>
      <c r="P131" s="1">
        <v>1130000000</v>
      </c>
      <c r="Q131" s="2">
        <f>L131/$L$127</f>
        <v>0.94705882352941173</v>
      </c>
    </row>
    <row r="132" spans="1:18" hidden="1" x14ac:dyDescent="0.2">
      <c r="A132" t="s">
        <v>76</v>
      </c>
      <c r="B132" t="s">
        <v>15</v>
      </c>
      <c r="C132" t="s">
        <v>112</v>
      </c>
      <c r="D132" t="s">
        <v>9</v>
      </c>
      <c r="E132" t="s">
        <v>10</v>
      </c>
      <c r="F132" t="s">
        <v>37</v>
      </c>
      <c r="G132" t="s">
        <v>92</v>
      </c>
      <c r="H132">
        <v>4</v>
      </c>
      <c r="I132" t="s">
        <v>93</v>
      </c>
      <c r="J132" t="s">
        <v>46</v>
      </c>
      <c r="K132" t="s">
        <v>14</v>
      </c>
      <c r="L132" s="1">
        <v>23200000000</v>
      </c>
      <c r="M132" s="1">
        <v>321000000</v>
      </c>
      <c r="N132" s="1">
        <v>396000000</v>
      </c>
      <c r="O132" s="1">
        <v>18100000</v>
      </c>
      <c r="P132" s="1">
        <v>1240000000</v>
      </c>
      <c r="Q132" s="2">
        <f>L132/$L$63</f>
        <v>3.9931153184165233</v>
      </c>
    </row>
    <row r="133" spans="1:18" hidden="1" x14ac:dyDescent="0.2">
      <c r="A133" t="s">
        <v>82</v>
      </c>
      <c r="B133" t="s">
        <v>25</v>
      </c>
      <c r="D133" t="s">
        <v>9</v>
      </c>
      <c r="E133" t="s">
        <v>37</v>
      </c>
      <c r="F133" t="s">
        <v>37</v>
      </c>
      <c r="G133" t="s">
        <v>92</v>
      </c>
      <c r="H133">
        <v>4</v>
      </c>
      <c r="I133" t="s">
        <v>93</v>
      </c>
      <c r="J133" t="s">
        <v>47</v>
      </c>
      <c r="K133" t="s">
        <v>14</v>
      </c>
      <c r="L133" s="1">
        <v>135000000000</v>
      </c>
      <c r="M133" s="1">
        <v>1250000000</v>
      </c>
      <c r="N133" s="1">
        <v>862000000</v>
      </c>
      <c r="O133" s="1">
        <v>21300000</v>
      </c>
      <c r="P133" s="1">
        <v>2630000000</v>
      </c>
      <c r="Q133" s="2">
        <f>L133/$L$127</f>
        <v>13.235294117647058</v>
      </c>
      <c r="R133" s="2"/>
    </row>
    <row r="134" spans="1:18" hidden="1" x14ac:dyDescent="0.2">
      <c r="A134" t="s">
        <v>82</v>
      </c>
      <c r="B134" t="s">
        <v>15</v>
      </c>
      <c r="C134" t="s">
        <v>112</v>
      </c>
      <c r="D134" t="s">
        <v>9</v>
      </c>
      <c r="E134" t="s">
        <v>37</v>
      </c>
      <c r="F134" t="s">
        <v>37</v>
      </c>
      <c r="G134" t="s">
        <v>92</v>
      </c>
      <c r="H134">
        <v>4</v>
      </c>
      <c r="I134" t="s">
        <v>93</v>
      </c>
      <c r="J134" t="s">
        <v>48</v>
      </c>
      <c r="K134" t="s">
        <v>14</v>
      </c>
      <c r="L134" s="1">
        <v>59400000000</v>
      </c>
      <c r="M134" s="1">
        <v>1220000000</v>
      </c>
      <c r="N134" s="1">
        <v>1100000000</v>
      </c>
      <c r="O134" s="1">
        <v>29300000</v>
      </c>
      <c r="P134" s="1">
        <v>3480000000</v>
      </c>
      <c r="Q134" s="2">
        <f>L134/$L$63</f>
        <v>10.223752151462994</v>
      </c>
      <c r="R134" s="2"/>
    </row>
    <row r="135" spans="1:18" hidden="1" x14ac:dyDescent="0.2">
      <c r="A135" t="s">
        <v>68</v>
      </c>
      <c r="B135" t="s">
        <v>29</v>
      </c>
      <c r="C135" t="s">
        <v>113</v>
      </c>
      <c r="D135" t="s">
        <v>9</v>
      </c>
      <c r="E135" t="s">
        <v>10</v>
      </c>
      <c r="F135" t="s">
        <v>37</v>
      </c>
      <c r="G135" t="s">
        <v>92</v>
      </c>
      <c r="H135">
        <v>4</v>
      </c>
      <c r="I135" t="s">
        <v>93</v>
      </c>
      <c r="J135" t="s">
        <v>49</v>
      </c>
      <c r="K135" t="s">
        <v>14</v>
      </c>
      <c r="L135" s="1">
        <v>6970000000</v>
      </c>
      <c r="M135" s="1">
        <v>31400000</v>
      </c>
      <c r="N135" s="1">
        <v>11200000</v>
      </c>
      <c r="O135" s="1">
        <v>10100000</v>
      </c>
      <c r="P135" s="1">
        <v>72700000</v>
      </c>
      <c r="Q135" s="2">
        <f>L135/$L$59</f>
        <v>2.8683127572016462</v>
      </c>
      <c r="R135" s="2"/>
    </row>
    <row r="136" spans="1:18" hidden="1" x14ac:dyDescent="0.2">
      <c r="A136" t="s">
        <v>70</v>
      </c>
      <c r="B136" t="s">
        <v>26</v>
      </c>
      <c r="C136" t="s">
        <v>112</v>
      </c>
      <c r="D136" t="s">
        <v>9</v>
      </c>
      <c r="E136" t="s">
        <v>10</v>
      </c>
      <c r="F136" t="s">
        <v>37</v>
      </c>
      <c r="G136" t="s">
        <v>94</v>
      </c>
      <c r="H136">
        <v>24</v>
      </c>
      <c r="I136" t="s">
        <v>60</v>
      </c>
      <c r="J136" t="s">
        <v>18</v>
      </c>
      <c r="K136" t="s">
        <v>14</v>
      </c>
      <c r="L136" s="1">
        <v>5750000000</v>
      </c>
      <c r="M136" s="1">
        <v>132000000</v>
      </c>
      <c r="N136" s="1">
        <v>125000000</v>
      </c>
      <c r="O136" s="1">
        <v>18300000</v>
      </c>
      <c r="P136" s="1">
        <v>440000000</v>
      </c>
      <c r="Q136" s="2">
        <f>L136/$L$136</f>
        <v>1</v>
      </c>
    </row>
    <row r="137" spans="1:18" hidden="1" x14ac:dyDescent="0.2">
      <c r="A137" t="s">
        <v>70</v>
      </c>
      <c r="B137" t="s">
        <v>17</v>
      </c>
      <c r="C137" t="s">
        <v>112</v>
      </c>
      <c r="D137" t="s">
        <v>9</v>
      </c>
      <c r="E137" t="s">
        <v>10</v>
      </c>
      <c r="F137" t="s">
        <v>37</v>
      </c>
      <c r="G137" t="s">
        <v>94</v>
      </c>
      <c r="H137">
        <v>24</v>
      </c>
      <c r="I137" t="s">
        <v>60</v>
      </c>
      <c r="J137" t="s">
        <v>20</v>
      </c>
      <c r="K137" t="s">
        <v>14</v>
      </c>
      <c r="L137" s="1">
        <v>10900000000</v>
      </c>
      <c r="M137" s="1">
        <v>307000000</v>
      </c>
      <c r="N137" s="1">
        <v>337000000</v>
      </c>
      <c r="O137" s="1">
        <v>24100000</v>
      </c>
      <c r="P137" s="1">
        <v>1230000000</v>
      </c>
      <c r="Q137" s="2">
        <f>L137/$L$137</f>
        <v>1</v>
      </c>
    </row>
    <row r="138" spans="1:18" hidden="1" x14ac:dyDescent="0.2">
      <c r="A138" t="s">
        <v>71</v>
      </c>
      <c r="B138" t="s">
        <v>26</v>
      </c>
      <c r="C138" t="s">
        <v>112</v>
      </c>
      <c r="D138" t="s">
        <v>9</v>
      </c>
      <c r="E138" t="s">
        <v>10</v>
      </c>
      <c r="F138" t="s">
        <v>37</v>
      </c>
      <c r="G138" t="s">
        <v>94</v>
      </c>
      <c r="H138">
        <v>24</v>
      </c>
      <c r="I138" t="s">
        <v>60</v>
      </c>
      <c r="J138" t="s">
        <v>22</v>
      </c>
      <c r="K138" t="s">
        <v>14</v>
      </c>
      <c r="L138" s="1">
        <v>9320000000</v>
      </c>
      <c r="M138" s="1">
        <v>127000000</v>
      </c>
      <c r="N138" s="1">
        <v>94700000</v>
      </c>
      <c r="O138" s="1">
        <v>23600000</v>
      </c>
      <c r="P138" s="1">
        <v>327000000</v>
      </c>
      <c r="Q138" s="2">
        <f>L138/$L$136</f>
        <v>1.6208695652173912</v>
      </c>
    </row>
    <row r="139" spans="1:18" hidden="1" x14ac:dyDescent="0.2">
      <c r="A139" t="s">
        <v>71</v>
      </c>
      <c r="B139" t="s">
        <v>17</v>
      </c>
      <c r="C139" t="s">
        <v>112</v>
      </c>
      <c r="D139" t="s">
        <v>9</v>
      </c>
      <c r="E139" t="s">
        <v>10</v>
      </c>
      <c r="F139" t="s">
        <v>37</v>
      </c>
      <c r="G139" t="s">
        <v>94</v>
      </c>
      <c r="H139">
        <v>24</v>
      </c>
      <c r="I139" t="s">
        <v>60</v>
      </c>
      <c r="J139" t="s">
        <v>46</v>
      </c>
      <c r="K139" t="s">
        <v>14</v>
      </c>
      <c r="L139" s="1">
        <v>11200000000</v>
      </c>
      <c r="M139" s="1">
        <v>168000000</v>
      </c>
      <c r="N139" s="1">
        <v>137000000</v>
      </c>
      <c r="O139" s="1">
        <v>28100000</v>
      </c>
      <c r="P139" s="1">
        <v>472000000</v>
      </c>
      <c r="Q139" s="2">
        <f>L139/$L$137</f>
        <v>1.0275229357798166</v>
      </c>
    </row>
    <row r="140" spans="1:18" hidden="1" x14ac:dyDescent="0.2">
      <c r="A140" t="s">
        <v>76</v>
      </c>
      <c r="B140" t="s">
        <v>26</v>
      </c>
      <c r="C140" t="s">
        <v>112</v>
      </c>
      <c r="D140" t="s">
        <v>9</v>
      </c>
      <c r="E140" t="s">
        <v>10</v>
      </c>
      <c r="F140" t="s">
        <v>37</v>
      </c>
      <c r="G140" t="s">
        <v>94</v>
      </c>
      <c r="H140">
        <v>24</v>
      </c>
      <c r="I140" t="s">
        <v>60</v>
      </c>
      <c r="J140" t="s">
        <v>47</v>
      </c>
      <c r="K140" t="s">
        <v>14</v>
      </c>
      <c r="L140" s="1">
        <v>9830000000</v>
      </c>
      <c r="M140" s="1">
        <v>238000000</v>
      </c>
      <c r="N140" s="1">
        <v>218000000</v>
      </c>
      <c r="O140" s="1">
        <v>24300000</v>
      </c>
      <c r="P140" s="1">
        <v>702000000</v>
      </c>
      <c r="Q140" s="2">
        <f>L140/$L$136</f>
        <v>1.7095652173913043</v>
      </c>
    </row>
    <row r="141" spans="1:18" hidden="1" x14ac:dyDescent="0.2">
      <c r="A141" t="s">
        <v>76</v>
      </c>
      <c r="B141" t="s">
        <v>17</v>
      </c>
      <c r="C141" t="s">
        <v>112</v>
      </c>
      <c r="D141" t="s">
        <v>9</v>
      </c>
      <c r="E141" t="s">
        <v>10</v>
      </c>
      <c r="F141" t="s">
        <v>37</v>
      </c>
      <c r="G141" t="s">
        <v>94</v>
      </c>
      <c r="H141">
        <v>24</v>
      </c>
      <c r="I141" t="s">
        <v>60</v>
      </c>
      <c r="J141" t="s">
        <v>48</v>
      </c>
      <c r="K141" t="s">
        <v>14</v>
      </c>
      <c r="L141" s="1">
        <v>13300000000</v>
      </c>
      <c r="M141" s="1">
        <v>189000000</v>
      </c>
      <c r="N141" s="1">
        <v>305000000</v>
      </c>
      <c r="O141" s="1">
        <v>34800000</v>
      </c>
      <c r="P141" s="1">
        <v>1240000000</v>
      </c>
      <c r="Q141" s="2">
        <f>L141/$L$137</f>
        <v>1.2201834862385321</v>
      </c>
    </row>
    <row r="142" spans="1:18" hidden="1" x14ac:dyDescent="0.2">
      <c r="A142" t="s">
        <v>82</v>
      </c>
      <c r="B142" t="s">
        <v>26</v>
      </c>
      <c r="C142" t="s">
        <v>112</v>
      </c>
      <c r="D142" t="s">
        <v>9</v>
      </c>
      <c r="E142" t="s">
        <v>37</v>
      </c>
      <c r="F142" t="s">
        <v>37</v>
      </c>
      <c r="G142" t="s">
        <v>94</v>
      </c>
      <c r="H142">
        <v>24</v>
      </c>
      <c r="I142" t="s">
        <v>60</v>
      </c>
      <c r="J142" t="s">
        <v>49</v>
      </c>
      <c r="K142" t="s">
        <v>14</v>
      </c>
      <c r="L142" s="1">
        <v>48500000000</v>
      </c>
      <c r="M142" s="1">
        <v>519000000</v>
      </c>
      <c r="N142" s="1">
        <v>526000000</v>
      </c>
      <c r="O142" s="1">
        <v>25000000</v>
      </c>
      <c r="P142" s="1">
        <v>1690000000</v>
      </c>
      <c r="Q142" s="2">
        <f>L142/$L$136</f>
        <v>8.4347826086956523</v>
      </c>
      <c r="R142" s="2"/>
    </row>
    <row r="143" spans="1:18" hidden="1" x14ac:dyDescent="0.2">
      <c r="A143" t="s">
        <v>82</v>
      </c>
      <c r="B143" t="s">
        <v>17</v>
      </c>
      <c r="C143" t="s">
        <v>112</v>
      </c>
      <c r="D143" t="s">
        <v>9</v>
      </c>
      <c r="E143" t="s">
        <v>10</v>
      </c>
      <c r="F143" t="s">
        <v>37</v>
      </c>
      <c r="G143" t="s">
        <v>94</v>
      </c>
      <c r="H143">
        <v>24</v>
      </c>
      <c r="I143" t="s">
        <v>60</v>
      </c>
      <c r="J143" t="s">
        <v>51</v>
      </c>
      <c r="K143" t="s">
        <v>14</v>
      </c>
      <c r="L143" s="1">
        <v>87000000000</v>
      </c>
      <c r="M143" s="1">
        <v>1440000000</v>
      </c>
      <c r="N143" s="1">
        <v>1450000000</v>
      </c>
      <c r="O143" s="1">
        <v>32800000</v>
      </c>
      <c r="P143" s="1">
        <v>4020000000</v>
      </c>
      <c r="Q143" s="2">
        <f>L143/$L$137</f>
        <v>7.9816513761467887</v>
      </c>
      <c r="R143" s="2"/>
    </row>
    <row r="144" spans="1:18" hidden="1" x14ac:dyDescent="0.2">
      <c r="A144" t="s">
        <v>68</v>
      </c>
      <c r="B144" t="s">
        <v>88</v>
      </c>
      <c r="C144" t="s">
        <v>113</v>
      </c>
      <c r="D144" t="s">
        <v>9</v>
      </c>
      <c r="E144" t="s">
        <v>10</v>
      </c>
      <c r="F144" t="s">
        <v>37</v>
      </c>
      <c r="G144" t="s">
        <v>94</v>
      </c>
      <c r="H144">
        <v>24</v>
      </c>
      <c r="I144" t="s">
        <v>60</v>
      </c>
      <c r="J144" t="s">
        <v>72</v>
      </c>
      <c r="K144" t="s">
        <v>14</v>
      </c>
      <c r="L144" s="1">
        <v>7260000000</v>
      </c>
      <c r="M144" s="1">
        <v>52500000</v>
      </c>
      <c r="N144" s="1">
        <v>37200000</v>
      </c>
      <c r="O144" s="1">
        <v>12900000</v>
      </c>
      <c r="P144" s="1">
        <v>187000000</v>
      </c>
      <c r="Q144" s="2">
        <f>L144/$L$79</f>
        <v>2.7816091954022988</v>
      </c>
      <c r="R144" s="2"/>
    </row>
    <row r="145" spans="1:18" hidden="1" x14ac:dyDescent="0.2">
      <c r="A145" t="s">
        <v>70</v>
      </c>
      <c r="B145" t="s">
        <v>19</v>
      </c>
      <c r="C145" t="s">
        <v>112</v>
      </c>
      <c r="D145" t="s">
        <v>9</v>
      </c>
      <c r="E145" t="s">
        <v>10</v>
      </c>
      <c r="F145" t="s">
        <v>37</v>
      </c>
      <c r="G145" t="s">
        <v>58</v>
      </c>
      <c r="H145">
        <v>48</v>
      </c>
      <c r="I145" t="s">
        <v>59</v>
      </c>
      <c r="J145" t="s">
        <v>18</v>
      </c>
      <c r="K145" t="s">
        <v>14</v>
      </c>
      <c r="L145" s="1">
        <v>7590000000</v>
      </c>
      <c r="M145" s="1">
        <v>223000000</v>
      </c>
      <c r="N145" s="1">
        <v>189000000</v>
      </c>
      <c r="O145" s="1">
        <v>16400000</v>
      </c>
      <c r="P145" s="1">
        <v>625000000</v>
      </c>
      <c r="Q145" s="2">
        <f>L145/$L$145</f>
        <v>1</v>
      </c>
    </row>
    <row r="146" spans="1:18" hidden="1" x14ac:dyDescent="0.2">
      <c r="A146" t="s">
        <v>70</v>
      </c>
      <c r="B146" t="s">
        <v>27</v>
      </c>
      <c r="C146" t="s">
        <v>112</v>
      </c>
      <c r="D146" t="s">
        <v>9</v>
      </c>
      <c r="E146" t="s">
        <v>10</v>
      </c>
      <c r="F146" t="s">
        <v>37</v>
      </c>
      <c r="G146" t="s">
        <v>58</v>
      </c>
      <c r="H146">
        <v>48</v>
      </c>
      <c r="I146" t="s">
        <v>59</v>
      </c>
      <c r="J146" t="s">
        <v>20</v>
      </c>
      <c r="K146" t="s">
        <v>14</v>
      </c>
      <c r="L146" s="1">
        <v>3040000000</v>
      </c>
      <c r="M146" s="1">
        <v>106000000</v>
      </c>
      <c r="N146" s="1">
        <v>91700000</v>
      </c>
      <c r="O146" s="1">
        <v>20800000</v>
      </c>
      <c r="P146" s="1">
        <v>346000000</v>
      </c>
      <c r="Q146" s="2">
        <f>L146/$L$146</f>
        <v>1</v>
      </c>
    </row>
    <row r="147" spans="1:18" hidden="1" x14ac:dyDescent="0.2">
      <c r="A147" t="s">
        <v>71</v>
      </c>
      <c r="B147" t="s">
        <v>19</v>
      </c>
      <c r="C147" t="s">
        <v>112</v>
      </c>
      <c r="D147" t="s">
        <v>9</v>
      </c>
      <c r="E147" t="s">
        <v>10</v>
      </c>
      <c r="F147" t="s">
        <v>37</v>
      </c>
      <c r="G147" t="s">
        <v>58</v>
      </c>
      <c r="H147">
        <v>48</v>
      </c>
      <c r="I147" t="s">
        <v>59</v>
      </c>
      <c r="J147" t="s">
        <v>22</v>
      </c>
      <c r="K147" t="s">
        <v>14</v>
      </c>
      <c r="L147" s="1">
        <v>15000000000</v>
      </c>
      <c r="M147" s="1">
        <v>278000000</v>
      </c>
      <c r="N147" s="1">
        <v>186000000</v>
      </c>
      <c r="O147" s="1">
        <v>21500000</v>
      </c>
      <c r="P147" s="1">
        <v>568000000</v>
      </c>
      <c r="Q147" s="2">
        <f>L147/$L$145</f>
        <v>1.9762845849802371</v>
      </c>
    </row>
    <row r="148" spans="1:18" hidden="1" x14ac:dyDescent="0.2">
      <c r="A148" t="s">
        <v>71</v>
      </c>
      <c r="B148" t="s">
        <v>27</v>
      </c>
      <c r="C148" t="s">
        <v>112</v>
      </c>
      <c r="D148" t="s">
        <v>9</v>
      </c>
      <c r="E148" t="s">
        <v>10</v>
      </c>
      <c r="F148" t="s">
        <v>37</v>
      </c>
      <c r="G148" t="s">
        <v>58</v>
      </c>
      <c r="H148">
        <v>48</v>
      </c>
      <c r="I148" t="s">
        <v>59</v>
      </c>
      <c r="J148" t="s">
        <v>46</v>
      </c>
      <c r="K148" t="s">
        <v>14</v>
      </c>
      <c r="L148" s="1">
        <v>3230000000</v>
      </c>
      <c r="M148" s="1">
        <v>70400000</v>
      </c>
      <c r="N148" s="1">
        <v>33400000</v>
      </c>
      <c r="O148" s="1">
        <v>22900000</v>
      </c>
      <c r="P148" s="1">
        <v>236000000</v>
      </c>
      <c r="Q148" s="2">
        <f>L148/$L$146</f>
        <v>1.0625</v>
      </c>
    </row>
    <row r="149" spans="1:18" hidden="1" x14ac:dyDescent="0.2">
      <c r="A149" t="s">
        <v>76</v>
      </c>
      <c r="B149" t="s">
        <v>19</v>
      </c>
      <c r="C149" t="s">
        <v>112</v>
      </c>
      <c r="D149" t="s">
        <v>9</v>
      </c>
      <c r="E149" t="s">
        <v>10</v>
      </c>
      <c r="F149" t="s">
        <v>37</v>
      </c>
      <c r="G149" t="s">
        <v>58</v>
      </c>
      <c r="H149">
        <v>48</v>
      </c>
      <c r="I149" t="s">
        <v>59</v>
      </c>
      <c r="J149" t="s">
        <v>47</v>
      </c>
      <c r="K149" t="s">
        <v>14</v>
      </c>
      <c r="L149" s="1">
        <v>8690000000</v>
      </c>
      <c r="M149" s="1">
        <v>208000000</v>
      </c>
      <c r="N149" s="1">
        <v>223000000</v>
      </c>
      <c r="O149" s="1">
        <v>25200000</v>
      </c>
      <c r="P149" s="1">
        <v>726000000</v>
      </c>
      <c r="Q149" s="2">
        <f>L149/$L$145</f>
        <v>1.144927536231884</v>
      </c>
    </row>
    <row r="150" spans="1:18" hidden="1" x14ac:dyDescent="0.2">
      <c r="A150" t="s">
        <v>76</v>
      </c>
      <c r="B150" t="s">
        <v>27</v>
      </c>
      <c r="C150" t="s">
        <v>112</v>
      </c>
      <c r="D150" t="s">
        <v>9</v>
      </c>
      <c r="E150" t="s">
        <v>10</v>
      </c>
      <c r="F150" t="s">
        <v>37</v>
      </c>
      <c r="G150" t="s">
        <v>58</v>
      </c>
      <c r="H150">
        <v>48</v>
      </c>
      <c r="I150" t="s">
        <v>59</v>
      </c>
      <c r="J150" t="s">
        <v>48</v>
      </c>
      <c r="K150" t="s">
        <v>14</v>
      </c>
      <c r="L150" s="1">
        <v>7140000000</v>
      </c>
      <c r="M150" s="1">
        <v>201000000</v>
      </c>
      <c r="N150" s="1">
        <v>250000000</v>
      </c>
      <c r="O150" s="1">
        <v>24800000</v>
      </c>
      <c r="P150" s="1">
        <v>823000000</v>
      </c>
      <c r="Q150" s="2">
        <f>L150/$L$146</f>
        <v>2.3486842105263159</v>
      </c>
    </row>
    <row r="151" spans="1:18" hidden="1" x14ac:dyDescent="0.2">
      <c r="A151" t="s">
        <v>82</v>
      </c>
      <c r="B151" t="s">
        <v>19</v>
      </c>
      <c r="C151" t="s">
        <v>112</v>
      </c>
      <c r="D151" t="s">
        <v>9</v>
      </c>
      <c r="E151" t="s">
        <v>37</v>
      </c>
      <c r="F151" t="s">
        <v>37</v>
      </c>
      <c r="G151" t="s">
        <v>58</v>
      </c>
      <c r="H151">
        <v>48</v>
      </c>
      <c r="I151" t="s">
        <v>59</v>
      </c>
      <c r="J151" t="s">
        <v>49</v>
      </c>
      <c r="K151" t="s">
        <v>14</v>
      </c>
      <c r="L151" s="1">
        <v>69100000000</v>
      </c>
      <c r="M151" s="1">
        <v>902000000</v>
      </c>
      <c r="N151" s="1">
        <v>843000000</v>
      </c>
      <c r="O151" s="1">
        <v>26800000</v>
      </c>
      <c r="P151" s="1">
        <v>2390000000</v>
      </c>
      <c r="Q151" s="2">
        <f>L151/$L$145</f>
        <v>9.1040843214756251</v>
      </c>
      <c r="R151" s="2"/>
    </row>
    <row r="152" spans="1:18" hidden="1" x14ac:dyDescent="0.2">
      <c r="A152" t="s">
        <v>82</v>
      </c>
      <c r="B152" t="s">
        <v>27</v>
      </c>
      <c r="C152" t="s">
        <v>112</v>
      </c>
      <c r="D152" t="s">
        <v>9</v>
      </c>
      <c r="E152" t="s">
        <v>37</v>
      </c>
      <c r="F152" t="s">
        <v>37</v>
      </c>
      <c r="G152" t="s">
        <v>58</v>
      </c>
      <c r="H152">
        <v>48</v>
      </c>
      <c r="I152" t="s">
        <v>59</v>
      </c>
      <c r="J152" t="s">
        <v>51</v>
      </c>
      <c r="K152" t="s">
        <v>14</v>
      </c>
      <c r="L152" s="1">
        <v>45700000000</v>
      </c>
      <c r="M152" s="1">
        <v>825000000</v>
      </c>
      <c r="N152" s="1">
        <v>864000000</v>
      </c>
      <c r="O152" s="1">
        <v>27600000</v>
      </c>
      <c r="P152" s="1">
        <v>2670000000</v>
      </c>
      <c r="Q152" s="2">
        <f>L152/$L$146</f>
        <v>15.032894736842104</v>
      </c>
      <c r="R152" s="2"/>
    </row>
    <row r="153" spans="1:18" hidden="1" x14ac:dyDescent="0.2">
      <c r="A153" t="s">
        <v>68</v>
      </c>
      <c r="B153" t="s">
        <v>8</v>
      </c>
      <c r="C153" t="s">
        <v>113</v>
      </c>
      <c r="D153" t="s">
        <v>9</v>
      </c>
      <c r="E153" t="s">
        <v>10</v>
      </c>
      <c r="F153" t="s">
        <v>37</v>
      </c>
      <c r="G153" t="s">
        <v>58</v>
      </c>
      <c r="H153">
        <v>48</v>
      </c>
      <c r="I153" t="s">
        <v>59</v>
      </c>
      <c r="J153" t="s">
        <v>72</v>
      </c>
      <c r="K153" t="s">
        <v>14</v>
      </c>
      <c r="L153" s="1">
        <v>9330000000</v>
      </c>
      <c r="M153" s="1">
        <v>76500000</v>
      </c>
      <c r="N153" s="1">
        <v>83400000</v>
      </c>
      <c r="O153" s="1">
        <v>16700000</v>
      </c>
      <c r="P153" s="1">
        <v>494000000</v>
      </c>
      <c r="Q153"/>
    </row>
    <row r="154" spans="1:18" hidden="1" x14ac:dyDescent="0.2">
      <c r="A154" t="s">
        <v>70</v>
      </c>
      <c r="B154" t="s">
        <v>36</v>
      </c>
      <c r="C154" t="s">
        <v>112</v>
      </c>
      <c r="D154" t="s">
        <v>9</v>
      </c>
      <c r="E154" t="s">
        <v>10</v>
      </c>
      <c r="F154" t="s">
        <v>37</v>
      </c>
      <c r="G154" t="s">
        <v>95</v>
      </c>
      <c r="H154">
        <v>288</v>
      </c>
      <c r="I154" t="s">
        <v>57</v>
      </c>
      <c r="J154" t="s">
        <v>20</v>
      </c>
      <c r="K154" t="s">
        <v>14</v>
      </c>
      <c r="L154" s="1">
        <v>5940000000</v>
      </c>
      <c r="M154" s="1">
        <v>142000000</v>
      </c>
      <c r="N154" s="1">
        <v>113000000</v>
      </c>
      <c r="O154" s="1">
        <v>31700000</v>
      </c>
      <c r="P154" s="1">
        <v>417000000</v>
      </c>
      <c r="Q154" s="2">
        <f>L154/$L$154</f>
        <v>1</v>
      </c>
    </row>
    <row r="155" spans="1:18" hidden="1" x14ac:dyDescent="0.2">
      <c r="A155" t="s">
        <v>70</v>
      </c>
      <c r="B155" t="s">
        <v>21</v>
      </c>
      <c r="C155" t="s">
        <v>112</v>
      </c>
      <c r="D155" t="s">
        <v>9</v>
      </c>
      <c r="E155" t="s">
        <v>10</v>
      </c>
      <c r="F155" t="s">
        <v>37</v>
      </c>
      <c r="G155" t="s">
        <v>95</v>
      </c>
      <c r="H155">
        <v>288</v>
      </c>
      <c r="I155" t="s">
        <v>57</v>
      </c>
      <c r="J155" t="s">
        <v>22</v>
      </c>
      <c r="K155" t="s">
        <v>14</v>
      </c>
      <c r="L155" s="1">
        <v>11800000000</v>
      </c>
      <c r="M155" s="1">
        <v>197000000</v>
      </c>
      <c r="N155" s="1">
        <v>264000000</v>
      </c>
      <c r="O155" s="1">
        <v>33900000</v>
      </c>
      <c r="P155" s="1">
        <v>1550000000</v>
      </c>
      <c r="Q155" s="2">
        <f>L155/$L$155</f>
        <v>1</v>
      </c>
    </row>
    <row r="156" spans="1:18" hidden="1" x14ac:dyDescent="0.2">
      <c r="A156" t="s">
        <v>70</v>
      </c>
      <c r="B156" t="s">
        <v>50</v>
      </c>
      <c r="C156" t="s">
        <v>112</v>
      </c>
      <c r="D156" t="s">
        <v>9</v>
      </c>
      <c r="E156" t="s">
        <v>10</v>
      </c>
      <c r="F156" t="s">
        <v>37</v>
      </c>
      <c r="G156" t="s">
        <v>95</v>
      </c>
      <c r="H156">
        <v>288</v>
      </c>
      <c r="I156" t="s">
        <v>57</v>
      </c>
      <c r="J156" t="s">
        <v>46</v>
      </c>
      <c r="K156" t="s">
        <v>14</v>
      </c>
      <c r="L156" s="1">
        <v>5960000000</v>
      </c>
      <c r="M156" s="1">
        <v>135000000</v>
      </c>
      <c r="N156" s="1">
        <v>143000000</v>
      </c>
      <c r="O156" s="1">
        <v>28100000</v>
      </c>
      <c r="P156" s="1">
        <v>558000000</v>
      </c>
      <c r="Q156" s="2">
        <f>L156/$L$156</f>
        <v>1</v>
      </c>
    </row>
    <row r="157" spans="1:18" hidden="1" x14ac:dyDescent="0.2">
      <c r="A157" t="s">
        <v>70</v>
      </c>
      <c r="B157" t="s">
        <v>28</v>
      </c>
      <c r="C157" t="s">
        <v>112</v>
      </c>
      <c r="D157" t="s">
        <v>9</v>
      </c>
      <c r="E157" t="s">
        <v>10</v>
      </c>
      <c r="F157" t="s">
        <v>37</v>
      </c>
      <c r="G157" t="s">
        <v>95</v>
      </c>
      <c r="H157">
        <v>288</v>
      </c>
      <c r="I157" t="s">
        <v>57</v>
      </c>
      <c r="J157" t="s">
        <v>47</v>
      </c>
      <c r="K157" t="s">
        <v>14</v>
      </c>
      <c r="L157" s="1">
        <v>7970000000</v>
      </c>
      <c r="M157" s="1">
        <v>265000000</v>
      </c>
      <c r="N157" s="1">
        <v>218000000</v>
      </c>
      <c r="O157" s="1">
        <v>21800000</v>
      </c>
      <c r="P157" s="1">
        <v>711000000</v>
      </c>
      <c r="Q157" s="2">
        <f>L157/$L$157</f>
        <v>1</v>
      </c>
    </row>
    <row r="158" spans="1:18" hidden="1" x14ac:dyDescent="0.2">
      <c r="A158" t="s">
        <v>71</v>
      </c>
      <c r="B158" t="s">
        <v>36</v>
      </c>
      <c r="C158" t="s">
        <v>112</v>
      </c>
      <c r="D158" t="s">
        <v>9</v>
      </c>
      <c r="E158" t="s">
        <v>10</v>
      </c>
      <c r="F158" t="s">
        <v>37</v>
      </c>
      <c r="G158" t="s">
        <v>95</v>
      </c>
      <c r="H158">
        <v>288</v>
      </c>
      <c r="I158" t="s">
        <v>57</v>
      </c>
      <c r="J158" t="s">
        <v>48</v>
      </c>
      <c r="K158" t="s">
        <v>14</v>
      </c>
      <c r="L158" s="1">
        <v>5960000000</v>
      </c>
      <c r="M158" s="1">
        <v>131000000</v>
      </c>
      <c r="N158" s="1">
        <v>108000000</v>
      </c>
      <c r="O158" s="1">
        <v>32800000</v>
      </c>
      <c r="P158" s="1">
        <v>371000000</v>
      </c>
      <c r="Q158" s="2">
        <f>L158/$L$154</f>
        <v>1.0033670033670035</v>
      </c>
    </row>
    <row r="159" spans="1:18" hidden="1" x14ac:dyDescent="0.2">
      <c r="A159" t="s">
        <v>71</v>
      </c>
      <c r="B159" t="s">
        <v>21</v>
      </c>
      <c r="C159" t="s">
        <v>112</v>
      </c>
      <c r="D159" t="s">
        <v>9</v>
      </c>
      <c r="E159" t="s">
        <v>10</v>
      </c>
      <c r="F159" t="s">
        <v>37</v>
      </c>
      <c r="G159" t="s">
        <v>95</v>
      </c>
      <c r="H159">
        <v>288</v>
      </c>
      <c r="I159" t="s">
        <v>57</v>
      </c>
      <c r="J159" t="s">
        <v>49</v>
      </c>
      <c r="K159" t="s">
        <v>14</v>
      </c>
      <c r="L159" s="1">
        <v>11300000000</v>
      </c>
      <c r="M159" s="1">
        <v>248000000</v>
      </c>
      <c r="N159" s="1">
        <v>197000000</v>
      </c>
      <c r="O159" s="1">
        <v>38800000</v>
      </c>
      <c r="P159" s="1">
        <v>602000000</v>
      </c>
      <c r="Q159" s="2">
        <f>L159/$L$155</f>
        <v>0.9576271186440678</v>
      </c>
    </row>
    <row r="160" spans="1:18" hidden="1" x14ac:dyDescent="0.2">
      <c r="A160" t="s">
        <v>71</v>
      </c>
      <c r="B160" t="s">
        <v>50</v>
      </c>
      <c r="C160" t="s">
        <v>112</v>
      </c>
      <c r="D160" t="s">
        <v>9</v>
      </c>
      <c r="E160" t="s">
        <v>10</v>
      </c>
      <c r="F160" t="s">
        <v>37</v>
      </c>
      <c r="G160" t="s">
        <v>95</v>
      </c>
      <c r="H160">
        <v>288</v>
      </c>
      <c r="I160" t="s">
        <v>57</v>
      </c>
      <c r="J160" t="s">
        <v>51</v>
      </c>
      <c r="K160" t="s">
        <v>14</v>
      </c>
      <c r="L160" s="1">
        <v>8850000000</v>
      </c>
      <c r="M160" s="1">
        <v>230000000</v>
      </c>
      <c r="N160" s="1">
        <v>156000000</v>
      </c>
      <c r="O160" s="1">
        <v>27500000</v>
      </c>
      <c r="P160" s="1">
        <v>517000000</v>
      </c>
      <c r="Q160" s="2">
        <f>L160/$L$156</f>
        <v>1.4848993288590604</v>
      </c>
    </row>
    <row r="161" spans="1:18" hidden="1" x14ac:dyDescent="0.2">
      <c r="A161" t="s">
        <v>71</v>
      </c>
      <c r="B161" t="s">
        <v>28</v>
      </c>
      <c r="C161" t="s">
        <v>112</v>
      </c>
      <c r="D161" t="s">
        <v>9</v>
      </c>
      <c r="E161" t="s">
        <v>10</v>
      </c>
      <c r="F161" t="s">
        <v>37</v>
      </c>
      <c r="G161" t="s">
        <v>95</v>
      </c>
      <c r="H161">
        <v>288</v>
      </c>
      <c r="I161" t="s">
        <v>57</v>
      </c>
      <c r="J161" t="s">
        <v>72</v>
      </c>
      <c r="K161" t="s">
        <v>14</v>
      </c>
      <c r="L161" s="1">
        <v>6750000000</v>
      </c>
      <c r="M161" s="1">
        <v>160000000</v>
      </c>
      <c r="N161" s="1">
        <v>138000000</v>
      </c>
      <c r="O161" s="1">
        <v>23700000</v>
      </c>
      <c r="P161" s="1">
        <v>490000000</v>
      </c>
      <c r="Q161" s="2">
        <f>L161/$L$157</f>
        <v>0.84692597239648681</v>
      </c>
    </row>
    <row r="162" spans="1:18" hidden="1" x14ac:dyDescent="0.2">
      <c r="A162" t="s">
        <v>76</v>
      </c>
      <c r="B162" t="s">
        <v>36</v>
      </c>
      <c r="C162" t="s">
        <v>112</v>
      </c>
      <c r="D162" t="s">
        <v>9</v>
      </c>
      <c r="E162" t="s">
        <v>10</v>
      </c>
      <c r="F162" t="s">
        <v>37</v>
      </c>
      <c r="G162" t="s">
        <v>95</v>
      </c>
      <c r="H162">
        <v>288</v>
      </c>
      <c r="I162" t="s">
        <v>57</v>
      </c>
      <c r="J162" t="s">
        <v>73</v>
      </c>
      <c r="K162" t="s">
        <v>14</v>
      </c>
      <c r="L162" s="1">
        <v>8460000000</v>
      </c>
      <c r="M162" s="1">
        <v>191000000</v>
      </c>
      <c r="N162" s="1">
        <v>169000000</v>
      </c>
      <c r="O162" s="1">
        <v>32900000</v>
      </c>
      <c r="P162" s="1">
        <v>556000000</v>
      </c>
      <c r="Q162" s="2">
        <f>L162/$L$154</f>
        <v>1.4242424242424243</v>
      </c>
    </row>
    <row r="163" spans="1:18" hidden="1" x14ac:dyDescent="0.2">
      <c r="A163" t="s">
        <v>76</v>
      </c>
      <c r="B163" t="s">
        <v>21</v>
      </c>
      <c r="C163" t="s">
        <v>112</v>
      </c>
      <c r="D163" t="s">
        <v>9</v>
      </c>
      <c r="E163" t="s">
        <v>10</v>
      </c>
      <c r="F163" t="s">
        <v>37</v>
      </c>
      <c r="G163" t="s">
        <v>95</v>
      </c>
      <c r="H163">
        <v>288</v>
      </c>
      <c r="I163" t="s">
        <v>57</v>
      </c>
      <c r="J163" t="s">
        <v>74</v>
      </c>
      <c r="K163" t="s">
        <v>14</v>
      </c>
      <c r="L163" s="1">
        <v>14900000000</v>
      </c>
      <c r="M163" s="1">
        <v>359000000</v>
      </c>
      <c r="N163" s="1">
        <v>302000000</v>
      </c>
      <c r="O163" s="1">
        <v>42800000</v>
      </c>
      <c r="P163" s="1">
        <v>937000000</v>
      </c>
      <c r="Q163" s="2">
        <f>L163/$L$155</f>
        <v>1.2627118644067796</v>
      </c>
    </row>
    <row r="164" spans="1:18" hidden="1" x14ac:dyDescent="0.2">
      <c r="A164" t="s">
        <v>76</v>
      </c>
      <c r="B164" t="s">
        <v>50</v>
      </c>
      <c r="C164" t="s">
        <v>112</v>
      </c>
      <c r="D164" t="s">
        <v>9</v>
      </c>
      <c r="E164" t="s">
        <v>10</v>
      </c>
      <c r="F164" t="s">
        <v>37</v>
      </c>
      <c r="G164" t="s">
        <v>95</v>
      </c>
      <c r="H164">
        <v>288</v>
      </c>
      <c r="I164" t="s">
        <v>57</v>
      </c>
      <c r="J164" t="s">
        <v>75</v>
      </c>
      <c r="K164" t="s">
        <v>14</v>
      </c>
      <c r="L164" s="1">
        <v>8540000000</v>
      </c>
      <c r="M164" s="1">
        <v>200000000</v>
      </c>
      <c r="N164" s="1">
        <v>218000000</v>
      </c>
      <c r="O164" s="1">
        <v>27000000</v>
      </c>
      <c r="P164" s="1">
        <v>743000000</v>
      </c>
      <c r="Q164" s="2">
        <f>L164/$L$156</f>
        <v>1.4328859060402686</v>
      </c>
    </row>
    <row r="165" spans="1:18" hidden="1" x14ac:dyDescent="0.2">
      <c r="A165" t="s">
        <v>76</v>
      </c>
      <c r="B165" t="s">
        <v>28</v>
      </c>
      <c r="C165" t="s">
        <v>112</v>
      </c>
      <c r="D165" t="s">
        <v>9</v>
      </c>
      <c r="E165" t="s">
        <v>10</v>
      </c>
      <c r="F165" t="s">
        <v>37</v>
      </c>
      <c r="G165" t="s">
        <v>95</v>
      </c>
      <c r="H165">
        <v>288</v>
      </c>
      <c r="I165" t="s">
        <v>57</v>
      </c>
      <c r="J165" t="s">
        <v>77</v>
      </c>
      <c r="K165" t="s">
        <v>14</v>
      </c>
      <c r="L165" s="1">
        <v>16400000000</v>
      </c>
      <c r="M165" s="1">
        <v>324000000</v>
      </c>
      <c r="N165" s="1">
        <v>437000000</v>
      </c>
      <c r="O165" s="1">
        <v>23700000</v>
      </c>
      <c r="P165" s="1">
        <v>1620000000</v>
      </c>
      <c r="Q165" s="2">
        <f>L165/$L$157</f>
        <v>2.0577164366373903</v>
      </c>
    </row>
    <row r="166" spans="1:18" hidden="1" x14ac:dyDescent="0.2">
      <c r="A166" t="s">
        <v>82</v>
      </c>
      <c r="B166" t="s">
        <v>36</v>
      </c>
      <c r="C166" t="s">
        <v>112</v>
      </c>
      <c r="D166" t="s">
        <v>9</v>
      </c>
      <c r="E166" t="s">
        <v>10</v>
      </c>
      <c r="F166" t="s">
        <v>37</v>
      </c>
      <c r="G166" t="s">
        <v>95</v>
      </c>
      <c r="H166">
        <v>288</v>
      </c>
      <c r="I166" t="s">
        <v>57</v>
      </c>
      <c r="J166" t="s">
        <v>78</v>
      </c>
      <c r="K166" t="s">
        <v>14</v>
      </c>
      <c r="L166" s="1">
        <v>39900000000</v>
      </c>
      <c r="M166" s="1">
        <v>652000000</v>
      </c>
      <c r="N166" s="1">
        <v>584000000</v>
      </c>
      <c r="O166" s="1">
        <v>33300000</v>
      </c>
      <c r="P166" s="1">
        <v>1690000000</v>
      </c>
      <c r="Q166" s="2">
        <f>L166/$L$154</f>
        <v>6.7171717171717171</v>
      </c>
    </row>
    <row r="167" spans="1:18" hidden="1" x14ac:dyDescent="0.2">
      <c r="A167" t="s">
        <v>82</v>
      </c>
      <c r="B167" t="s">
        <v>28</v>
      </c>
      <c r="C167" t="s">
        <v>112</v>
      </c>
      <c r="D167" t="s">
        <v>9</v>
      </c>
      <c r="E167" t="s">
        <v>10</v>
      </c>
      <c r="F167" t="s">
        <v>37</v>
      </c>
      <c r="G167" t="s">
        <v>95</v>
      </c>
      <c r="H167">
        <v>288</v>
      </c>
      <c r="I167" t="s">
        <v>57</v>
      </c>
      <c r="J167" t="s">
        <v>84</v>
      </c>
      <c r="K167" t="s">
        <v>14</v>
      </c>
      <c r="L167" s="1">
        <v>4400000000</v>
      </c>
      <c r="M167" s="1">
        <v>72400000</v>
      </c>
      <c r="N167" s="1">
        <v>35600000</v>
      </c>
      <c r="O167" s="1">
        <v>24600000</v>
      </c>
      <c r="P167" s="1">
        <v>177000000</v>
      </c>
      <c r="Q167" s="2">
        <f>L167/$L$157</f>
        <v>0.5520702634880803</v>
      </c>
    </row>
    <row r="168" spans="1:18" hidden="1" x14ac:dyDescent="0.2">
      <c r="A168" t="s">
        <v>82</v>
      </c>
      <c r="B168" t="s">
        <v>50</v>
      </c>
      <c r="C168" t="s">
        <v>112</v>
      </c>
      <c r="D168" t="s">
        <v>9</v>
      </c>
      <c r="E168" t="s">
        <v>10</v>
      </c>
      <c r="F168" t="s">
        <v>37</v>
      </c>
      <c r="G168" t="s">
        <v>95</v>
      </c>
      <c r="H168">
        <v>288</v>
      </c>
      <c r="I168" t="s">
        <v>57</v>
      </c>
      <c r="J168" t="s">
        <v>80</v>
      </c>
      <c r="K168" t="s">
        <v>14</v>
      </c>
      <c r="L168" s="1">
        <v>39900000000</v>
      </c>
      <c r="M168" s="1">
        <v>465000000</v>
      </c>
      <c r="N168" s="1">
        <v>594000000</v>
      </c>
      <c r="O168" s="1">
        <v>28000000</v>
      </c>
      <c r="P168" s="1">
        <v>1890000000</v>
      </c>
      <c r="Q168" s="2">
        <f>L168/$L$156</f>
        <v>6.6946308724832218</v>
      </c>
    </row>
    <row r="169" spans="1:18" hidden="1" x14ac:dyDescent="0.2">
      <c r="A169" t="s">
        <v>82</v>
      </c>
      <c r="B169" t="s">
        <v>28</v>
      </c>
      <c r="C169" t="s">
        <v>112</v>
      </c>
      <c r="D169" t="s">
        <v>9</v>
      </c>
      <c r="E169" t="s">
        <v>37</v>
      </c>
      <c r="F169" t="s">
        <v>37</v>
      </c>
      <c r="G169" t="s">
        <v>95</v>
      </c>
      <c r="H169">
        <v>288</v>
      </c>
      <c r="I169" t="s">
        <v>57</v>
      </c>
      <c r="J169" t="s">
        <v>81</v>
      </c>
      <c r="K169" t="s">
        <v>14</v>
      </c>
      <c r="L169" s="1">
        <v>70400000000</v>
      </c>
      <c r="M169" s="1">
        <v>1160000000</v>
      </c>
      <c r="N169" s="1">
        <v>1290000000</v>
      </c>
      <c r="O169" s="1">
        <v>28000000</v>
      </c>
      <c r="P169" s="1">
        <v>3760000000</v>
      </c>
      <c r="Q169" s="2">
        <f>L169/$L$157</f>
        <v>8.8331242158092849</v>
      </c>
    </row>
    <row r="170" spans="1:18" hidden="1" x14ac:dyDescent="0.2">
      <c r="A170" t="s">
        <v>68</v>
      </c>
      <c r="B170" t="s">
        <v>43</v>
      </c>
      <c r="C170" t="s">
        <v>113</v>
      </c>
      <c r="D170" t="s">
        <v>9</v>
      </c>
      <c r="E170" t="s">
        <v>10</v>
      </c>
      <c r="F170" t="s">
        <v>37</v>
      </c>
      <c r="G170" t="s">
        <v>95</v>
      </c>
      <c r="H170">
        <v>288</v>
      </c>
      <c r="I170" t="s">
        <v>57</v>
      </c>
      <c r="J170" t="s">
        <v>83</v>
      </c>
      <c r="K170" t="s">
        <v>14</v>
      </c>
      <c r="L170" s="1">
        <v>9650000000</v>
      </c>
      <c r="M170" s="1">
        <v>65100000</v>
      </c>
      <c r="N170" s="1">
        <v>38700000</v>
      </c>
      <c r="O170" s="1">
        <v>20300000</v>
      </c>
      <c r="P170" s="1">
        <v>235000000</v>
      </c>
      <c r="Q170"/>
      <c r="R170" s="2"/>
    </row>
    <row r="171" spans="1:18" hidden="1" x14ac:dyDescent="0.2">
      <c r="A171" t="s">
        <v>70</v>
      </c>
      <c r="B171" t="s">
        <v>115</v>
      </c>
      <c r="C171" t="s">
        <v>112</v>
      </c>
      <c r="D171" t="s">
        <v>30</v>
      </c>
      <c r="E171" t="s">
        <v>10</v>
      </c>
      <c r="F171" t="s">
        <v>37</v>
      </c>
      <c r="G171" t="s">
        <v>116</v>
      </c>
      <c r="H171">
        <v>288</v>
      </c>
      <c r="I171" t="s">
        <v>117</v>
      </c>
      <c r="J171" t="s">
        <v>13</v>
      </c>
      <c r="K171" t="s">
        <v>14</v>
      </c>
      <c r="L171" s="1">
        <v>818000000</v>
      </c>
      <c r="M171" s="1">
        <v>9880000</v>
      </c>
      <c r="N171" s="1">
        <v>14100000</v>
      </c>
      <c r="O171" s="1">
        <v>1670000</v>
      </c>
      <c r="P171" s="1">
        <v>114000000</v>
      </c>
      <c r="Q171" s="2">
        <f>L171/$L$171</f>
        <v>1</v>
      </c>
    </row>
    <row r="172" spans="1:18" hidden="1" x14ac:dyDescent="0.2">
      <c r="A172" t="s">
        <v>71</v>
      </c>
      <c r="B172" t="s">
        <v>115</v>
      </c>
      <c r="C172" t="s">
        <v>112</v>
      </c>
      <c r="D172" t="s">
        <v>30</v>
      </c>
      <c r="E172" t="s">
        <v>37</v>
      </c>
      <c r="F172" t="s">
        <v>37</v>
      </c>
      <c r="G172" t="s">
        <v>116</v>
      </c>
      <c r="H172">
        <v>288</v>
      </c>
      <c r="I172" t="s">
        <v>117</v>
      </c>
      <c r="J172" t="s">
        <v>16</v>
      </c>
      <c r="K172" t="s">
        <v>14</v>
      </c>
      <c r="L172" s="1">
        <v>4440000000</v>
      </c>
      <c r="M172" s="1">
        <v>51800000</v>
      </c>
      <c r="N172" s="1">
        <v>33200000</v>
      </c>
      <c r="O172" s="1">
        <v>2490000</v>
      </c>
      <c r="P172" s="1">
        <v>152000000</v>
      </c>
      <c r="Q172" s="2">
        <f t="shared" ref="Q172:Q176" si="1">L172/$L$171</f>
        <v>5.4278728606356967</v>
      </c>
    </row>
    <row r="173" spans="1:18" hidden="1" x14ac:dyDescent="0.2">
      <c r="A173" t="s">
        <v>76</v>
      </c>
      <c r="B173" t="s">
        <v>115</v>
      </c>
      <c r="C173" t="s">
        <v>112</v>
      </c>
      <c r="D173" t="s">
        <v>30</v>
      </c>
      <c r="E173" t="s">
        <v>10</v>
      </c>
      <c r="F173" t="s">
        <v>37</v>
      </c>
      <c r="G173" t="s">
        <v>116</v>
      </c>
      <c r="H173">
        <v>288</v>
      </c>
      <c r="I173" t="s">
        <v>117</v>
      </c>
      <c r="J173" t="s">
        <v>18</v>
      </c>
      <c r="K173" t="s">
        <v>14</v>
      </c>
      <c r="L173" s="1">
        <v>1240000000</v>
      </c>
      <c r="M173" s="1">
        <v>18800000</v>
      </c>
      <c r="N173" s="1">
        <v>14100000</v>
      </c>
      <c r="O173" s="1">
        <v>3070000</v>
      </c>
      <c r="P173" s="1">
        <v>52300000</v>
      </c>
      <c r="Q173" s="2">
        <f t="shared" si="1"/>
        <v>1.5158924205378974</v>
      </c>
    </row>
    <row r="174" spans="1:18" hidden="1" x14ac:dyDescent="0.2">
      <c r="A174" t="s">
        <v>82</v>
      </c>
      <c r="B174" t="s">
        <v>115</v>
      </c>
      <c r="C174" t="s">
        <v>112</v>
      </c>
      <c r="D174" t="s">
        <v>30</v>
      </c>
      <c r="E174" t="s">
        <v>10</v>
      </c>
      <c r="F174" t="s">
        <v>37</v>
      </c>
      <c r="G174" t="s">
        <v>116</v>
      </c>
      <c r="H174">
        <v>288</v>
      </c>
      <c r="I174" t="s">
        <v>117</v>
      </c>
      <c r="J174" t="s">
        <v>20</v>
      </c>
      <c r="K174" t="s">
        <v>14</v>
      </c>
      <c r="L174" s="1">
        <v>1510000000</v>
      </c>
      <c r="M174" s="1">
        <v>31400000</v>
      </c>
      <c r="N174" s="1">
        <v>25800000</v>
      </c>
      <c r="O174" s="1">
        <v>3660000</v>
      </c>
      <c r="P174" s="1">
        <v>77600000</v>
      </c>
      <c r="Q174" s="2">
        <f t="shared" si="1"/>
        <v>1.8459657701711492</v>
      </c>
    </row>
    <row r="175" spans="1:18" hidden="1" x14ac:dyDescent="0.2">
      <c r="A175" t="s">
        <v>42</v>
      </c>
      <c r="B175" t="s">
        <v>115</v>
      </c>
      <c r="C175" t="s">
        <v>112</v>
      </c>
      <c r="D175" t="s">
        <v>30</v>
      </c>
      <c r="E175" t="s">
        <v>10</v>
      </c>
      <c r="F175" t="s">
        <v>37</v>
      </c>
      <c r="G175" t="s">
        <v>116</v>
      </c>
      <c r="H175">
        <v>288</v>
      </c>
      <c r="I175" t="s">
        <v>117</v>
      </c>
      <c r="J175" t="s">
        <v>22</v>
      </c>
      <c r="K175" t="s">
        <v>14</v>
      </c>
      <c r="L175" s="1">
        <v>1930000000</v>
      </c>
      <c r="M175" s="1">
        <v>76000000</v>
      </c>
      <c r="N175" s="1">
        <v>61800000</v>
      </c>
      <c r="O175" s="1">
        <v>4870000</v>
      </c>
      <c r="P175" s="1">
        <v>197000000</v>
      </c>
      <c r="Q175" s="2">
        <f t="shared" si="1"/>
        <v>2.3594132029339852</v>
      </c>
    </row>
    <row r="176" spans="1:18" hidden="1" x14ac:dyDescent="0.2">
      <c r="A176" t="s">
        <v>7</v>
      </c>
      <c r="B176" t="s">
        <v>115</v>
      </c>
      <c r="C176" t="s">
        <v>112</v>
      </c>
      <c r="D176" t="s">
        <v>30</v>
      </c>
      <c r="E176" t="s">
        <v>10</v>
      </c>
      <c r="F176" t="s">
        <v>37</v>
      </c>
      <c r="G176" t="s">
        <v>116</v>
      </c>
      <c r="H176">
        <v>288</v>
      </c>
      <c r="I176" t="s">
        <v>117</v>
      </c>
      <c r="J176" t="s">
        <v>46</v>
      </c>
      <c r="K176" t="s">
        <v>14</v>
      </c>
      <c r="L176" s="1">
        <v>47800000000</v>
      </c>
      <c r="M176" s="1">
        <v>81900000</v>
      </c>
      <c r="N176" s="1">
        <v>138000000</v>
      </c>
      <c r="O176" s="1">
        <v>2400000</v>
      </c>
      <c r="P176" s="1">
        <v>636000000</v>
      </c>
      <c r="Q176" s="2">
        <f t="shared" si="1"/>
        <v>58.43520782396088</v>
      </c>
    </row>
    <row r="177" spans="1:17" x14ac:dyDescent="0.2">
      <c r="A177" t="s">
        <v>82</v>
      </c>
      <c r="B177" t="s">
        <v>118</v>
      </c>
      <c r="C177" t="s">
        <v>112</v>
      </c>
      <c r="D177" t="s">
        <v>113</v>
      </c>
      <c r="E177" t="s">
        <v>10</v>
      </c>
      <c r="F177" t="s">
        <v>37</v>
      </c>
      <c r="G177" t="s">
        <v>116</v>
      </c>
      <c r="H177" t="s">
        <v>113</v>
      </c>
      <c r="I177" t="s">
        <v>117</v>
      </c>
      <c r="J177" t="s">
        <v>47</v>
      </c>
      <c r="K177" t="s">
        <v>14</v>
      </c>
      <c r="L177" s="1">
        <v>2380000000</v>
      </c>
      <c r="M177" s="1">
        <v>42700000</v>
      </c>
      <c r="N177" s="1">
        <v>37200000</v>
      </c>
      <c r="O177" s="1">
        <v>4200000</v>
      </c>
      <c r="P177" s="1">
        <v>110000000</v>
      </c>
      <c r="Q177" s="2">
        <f>L177/$L$181</f>
        <v>3.9403973509933774</v>
      </c>
    </row>
    <row r="178" spans="1:17" x14ac:dyDescent="0.2">
      <c r="A178" t="s">
        <v>42</v>
      </c>
      <c r="B178" t="s">
        <v>118</v>
      </c>
      <c r="C178" t="s">
        <v>112</v>
      </c>
      <c r="D178" t="s">
        <v>113</v>
      </c>
      <c r="E178" t="s">
        <v>10</v>
      </c>
      <c r="F178" t="s">
        <v>37</v>
      </c>
      <c r="G178" t="s">
        <v>116</v>
      </c>
      <c r="H178" t="s">
        <v>113</v>
      </c>
      <c r="I178" t="s">
        <v>117</v>
      </c>
      <c r="J178" t="s">
        <v>48</v>
      </c>
      <c r="K178" t="s">
        <v>14</v>
      </c>
      <c r="L178" s="1">
        <v>1680000000</v>
      </c>
      <c r="M178" s="1">
        <v>42500000</v>
      </c>
      <c r="N178" s="1">
        <v>30000000</v>
      </c>
      <c r="O178" s="1">
        <v>4220000</v>
      </c>
      <c r="P178" s="1">
        <v>88900000</v>
      </c>
      <c r="Q178" s="2">
        <f t="shared" ref="Q178:Q183" si="2">L178/$L$181</f>
        <v>2.7814569536423841</v>
      </c>
    </row>
    <row r="179" spans="1:17" x14ac:dyDescent="0.2">
      <c r="A179" t="s">
        <v>7</v>
      </c>
      <c r="B179" t="s">
        <v>118</v>
      </c>
      <c r="C179" t="s">
        <v>112</v>
      </c>
      <c r="D179" t="s">
        <v>113</v>
      </c>
      <c r="E179" t="s">
        <v>10</v>
      </c>
      <c r="F179" t="s">
        <v>37</v>
      </c>
      <c r="G179" t="s">
        <v>116</v>
      </c>
      <c r="H179" t="s">
        <v>113</v>
      </c>
      <c r="I179" t="s">
        <v>117</v>
      </c>
      <c r="J179" t="s">
        <v>49</v>
      </c>
      <c r="K179" t="s">
        <v>14</v>
      </c>
      <c r="L179" s="1">
        <v>2190000000</v>
      </c>
      <c r="M179" s="1">
        <v>31100000</v>
      </c>
      <c r="N179" s="1">
        <v>27500000</v>
      </c>
      <c r="O179" s="1">
        <v>5800000</v>
      </c>
      <c r="P179" s="1">
        <v>102000000</v>
      </c>
      <c r="Q179" s="2">
        <f t="shared" si="2"/>
        <v>3.6258278145695364</v>
      </c>
    </row>
    <row r="180" spans="1:17" x14ac:dyDescent="0.2">
      <c r="A180" t="s">
        <v>7</v>
      </c>
      <c r="B180" t="s">
        <v>118</v>
      </c>
      <c r="C180" t="s">
        <v>112</v>
      </c>
      <c r="D180" t="s">
        <v>113</v>
      </c>
      <c r="E180" t="s">
        <v>10</v>
      </c>
      <c r="F180" t="s">
        <v>37</v>
      </c>
      <c r="G180" t="s">
        <v>116</v>
      </c>
      <c r="H180" t="s">
        <v>113</v>
      </c>
      <c r="I180" t="s">
        <v>117</v>
      </c>
      <c r="J180" t="s">
        <v>51</v>
      </c>
      <c r="K180" t="s">
        <v>14</v>
      </c>
      <c r="L180" s="1">
        <v>2590000000</v>
      </c>
      <c r="M180" s="1">
        <v>30200000</v>
      </c>
      <c r="N180" s="1">
        <v>34900000</v>
      </c>
      <c r="O180" s="1">
        <v>3050000</v>
      </c>
      <c r="P180" s="1">
        <v>128000000</v>
      </c>
      <c r="Q180" s="2">
        <f t="shared" si="2"/>
        <v>4.2880794701986753</v>
      </c>
    </row>
    <row r="181" spans="1:17" x14ac:dyDescent="0.2">
      <c r="A181" t="s">
        <v>70</v>
      </c>
      <c r="B181" t="s">
        <v>118</v>
      </c>
      <c r="C181" t="s">
        <v>112</v>
      </c>
      <c r="D181" t="s">
        <v>113</v>
      </c>
      <c r="E181" t="s">
        <v>10</v>
      </c>
      <c r="F181" t="s">
        <v>37</v>
      </c>
      <c r="G181" t="s">
        <v>116</v>
      </c>
      <c r="H181" t="s">
        <v>113</v>
      </c>
      <c r="I181" t="s">
        <v>117</v>
      </c>
      <c r="J181" t="s">
        <v>72</v>
      </c>
      <c r="K181" t="s">
        <v>14</v>
      </c>
      <c r="L181" s="1">
        <v>604000000</v>
      </c>
      <c r="M181" s="1">
        <v>12400000</v>
      </c>
      <c r="N181" s="1">
        <v>10400000</v>
      </c>
      <c r="O181" s="1">
        <v>2280000</v>
      </c>
      <c r="P181" s="1">
        <v>66800000</v>
      </c>
      <c r="Q181" s="2">
        <f t="shared" si="2"/>
        <v>1</v>
      </c>
    </row>
    <row r="182" spans="1:17" x14ac:dyDescent="0.2">
      <c r="A182" t="s">
        <v>71</v>
      </c>
      <c r="B182" t="s">
        <v>118</v>
      </c>
      <c r="C182" t="s">
        <v>112</v>
      </c>
      <c r="D182" t="s">
        <v>113</v>
      </c>
      <c r="E182" t="s">
        <v>10</v>
      </c>
      <c r="F182" t="s">
        <v>37</v>
      </c>
      <c r="G182" t="s">
        <v>116</v>
      </c>
      <c r="H182" t="s">
        <v>113</v>
      </c>
      <c r="I182" t="s">
        <v>117</v>
      </c>
      <c r="J182" t="s">
        <v>73</v>
      </c>
      <c r="K182" t="s">
        <v>14</v>
      </c>
      <c r="L182" s="1">
        <v>3420000000</v>
      </c>
      <c r="M182" s="1">
        <v>29800000</v>
      </c>
      <c r="N182" s="1">
        <v>16400000</v>
      </c>
      <c r="O182" s="1">
        <v>2500000</v>
      </c>
      <c r="P182" s="1">
        <v>67800000</v>
      </c>
      <c r="Q182" s="2">
        <f t="shared" si="2"/>
        <v>5.6622516556291389</v>
      </c>
    </row>
    <row r="183" spans="1:17" x14ac:dyDescent="0.2">
      <c r="A183" t="s">
        <v>76</v>
      </c>
      <c r="B183" t="s">
        <v>118</v>
      </c>
      <c r="C183" t="s">
        <v>112</v>
      </c>
      <c r="D183" t="s">
        <v>113</v>
      </c>
      <c r="E183" t="s">
        <v>10</v>
      </c>
      <c r="F183" t="s">
        <v>37</v>
      </c>
      <c r="G183" t="s">
        <v>116</v>
      </c>
      <c r="H183" t="s">
        <v>113</v>
      </c>
      <c r="I183" t="s">
        <v>117</v>
      </c>
      <c r="J183" t="s">
        <v>74</v>
      </c>
      <c r="K183" t="s">
        <v>14</v>
      </c>
      <c r="L183" s="1">
        <v>699000000</v>
      </c>
      <c r="M183" s="1">
        <v>12200000</v>
      </c>
      <c r="N183" s="1">
        <v>5610000</v>
      </c>
      <c r="O183" s="1">
        <v>4980000</v>
      </c>
      <c r="P183" s="1">
        <v>30100000</v>
      </c>
      <c r="Q183" s="2">
        <f t="shared" si="2"/>
        <v>1.1572847682119205</v>
      </c>
    </row>
  </sheetData>
  <autoFilter ref="A1:R183" xr:uid="{20F8B8E6-2E7B-604B-A812-F911CC905895}">
    <filterColumn colId="7">
      <filters>
        <filter val="0"/>
        <filter val="contro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6872-F961-2240-BABA-5D7EA0839647}">
  <dimension ref="A1:F43"/>
  <sheetViews>
    <sheetView workbookViewId="0">
      <selection activeCell="C11" sqref="C11"/>
    </sheetView>
  </sheetViews>
  <sheetFormatPr baseColWidth="10" defaultRowHeight="16" x14ac:dyDescent="0.2"/>
  <cols>
    <col min="1" max="1" width="14.83203125" bestFit="1" customWidth="1"/>
    <col min="2" max="2" width="34.1640625" style="2" bestFit="1" customWidth="1"/>
    <col min="3" max="3" width="34.33203125" style="2" bestFit="1" customWidth="1"/>
    <col min="4" max="4" width="32" style="2" bestFit="1" customWidth="1"/>
    <col min="5" max="5" width="33.33203125" style="2" bestFit="1" customWidth="1"/>
    <col min="6" max="6" width="31" bestFit="1" customWidth="1"/>
  </cols>
  <sheetData>
    <row r="1" spans="1:6" x14ac:dyDescent="0.2">
      <c r="A1" s="3" t="s">
        <v>3</v>
      </c>
      <c r="B1" s="2" t="s">
        <v>10</v>
      </c>
    </row>
    <row r="3" spans="1:6" x14ac:dyDescent="0.2">
      <c r="A3" s="3" t="s">
        <v>105</v>
      </c>
      <c r="B3" s="2" t="s">
        <v>107</v>
      </c>
      <c r="C3" t="s">
        <v>114</v>
      </c>
      <c r="D3" s="2" t="s">
        <v>109</v>
      </c>
      <c r="E3" s="2" t="s">
        <v>108</v>
      </c>
      <c r="F3" s="2" t="s">
        <v>110</v>
      </c>
    </row>
    <row r="4" spans="1:6" x14ac:dyDescent="0.2">
      <c r="A4" s="4" t="s">
        <v>7</v>
      </c>
      <c r="B4" s="2">
        <v>15.652416027936814</v>
      </c>
      <c r="C4" s="2">
        <v>14.1920009979463</v>
      </c>
      <c r="D4" s="2">
        <v>26</v>
      </c>
      <c r="E4" s="2">
        <v>13.281377176182215</v>
      </c>
      <c r="F4" s="2">
        <v>26</v>
      </c>
    </row>
    <row r="5" spans="1:6" x14ac:dyDescent="0.2">
      <c r="A5" s="5">
        <v>0</v>
      </c>
      <c r="F5" s="2"/>
    </row>
    <row r="6" spans="1:6" x14ac:dyDescent="0.2">
      <c r="A6" s="5">
        <v>4</v>
      </c>
      <c r="B6" s="2">
        <v>8.1180367755944243</v>
      </c>
      <c r="C6" s="2">
        <v>6.01104215598673</v>
      </c>
      <c r="D6" s="2">
        <v>7</v>
      </c>
      <c r="E6" s="2">
        <v>8.6734986677597874</v>
      </c>
      <c r="F6" s="2">
        <v>7</v>
      </c>
    </row>
    <row r="7" spans="1:6" x14ac:dyDescent="0.2">
      <c r="A7" s="5">
        <v>24</v>
      </c>
      <c r="B7" s="2">
        <v>11.712565005398101</v>
      </c>
      <c r="C7" s="2">
        <v>12.129779258042095</v>
      </c>
      <c r="D7" s="2">
        <v>9</v>
      </c>
      <c r="E7" s="2">
        <v>10.658096112641566</v>
      </c>
      <c r="F7" s="2">
        <v>9</v>
      </c>
    </row>
    <row r="8" spans="1:6" x14ac:dyDescent="0.2">
      <c r="A8" s="5">
        <v>48</v>
      </c>
      <c r="B8" s="2">
        <v>20.470941639099745</v>
      </c>
      <c r="C8" s="2">
        <v>16.395219763568381</v>
      </c>
      <c r="D8" s="2">
        <v>7</v>
      </c>
      <c r="E8" s="2">
        <v>14.281969668601386</v>
      </c>
      <c r="F8" s="2">
        <v>7</v>
      </c>
    </row>
    <row r="9" spans="1:6" x14ac:dyDescent="0.2">
      <c r="A9" s="5">
        <v>288</v>
      </c>
      <c r="B9" s="2">
        <v>33.808960924971693</v>
      </c>
      <c r="C9" s="2">
        <v>5.4596295220602977</v>
      </c>
      <c r="D9" s="2">
        <v>3</v>
      </c>
      <c r="E9" s="2">
        <v>29.568221070811745</v>
      </c>
      <c r="F9" s="2">
        <v>3</v>
      </c>
    </row>
    <row r="10" spans="1:6" x14ac:dyDescent="0.2">
      <c r="A10" s="4" t="s">
        <v>68</v>
      </c>
      <c r="B10" s="2">
        <v>2.6746931318291471</v>
      </c>
      <c r="C10" s="2">
        <v>0.56867158921873062</v>
      </c>
      <c r="D10" s="2">
        <v>4</v>
      </c>
      <c r="E10" s="2">
        <v>1.0371900826446281</v>
      </c>
      <c r="F10" s="2">
        <v>5</v>
      </c>
    </row>
    <row r="11" spans="1:6" x14ac:dyDescent="0.2">
      <c r="A11" s="4" t="s">
        <v>70</v>
      </c>
      <c r="B11" s="2">
        <v>0.89243155018463349</v>
      </c>
      <c r="C11" s="2">
        <v>0.3087179204196781</v>
      </c>
      <c r="D11" s="2">
        <v>24</v>
      </c>
      <c r="F11" s="2"/>
    </row>
    <row r="12" spans="1:6" x14ac:dyDescent="0.2">
      <c r="A12" s="4" t="s">
        <v>42</v>
      </c>
      <c r="B12" s="2">
        <v>2.0807789066088591</v>
      </c>
      <c r="C12" s="2">
        <v>2.2408298411390035</v>
      </c>
      <c r="D12" s="2">
        <v>18</v>
      </c>
      <c r="E12" s="2">
        <v>2.3439002230328887</v>
      </c>
      <c r="F12" s="2">
        <v>15</v>
      </c>
    </row>
    <row r="13" spans="1:6" x14ac:dyDescent="0.2">
      <c r="A13" s="5">
        <v>0</v>
      </c>
      <c r="F13" s="2"/>
    </row>
    <row r="14" spans="1:6" x14ac:dyDescent="0.2">
      <c r="A14" s="5">
        <v>4</v>
      </c>
      <c r="B14" s="2">
        <v>2.857012268249628</v>
      </c>
      <c r="C14" s="2">
        <v>2.2577027915920191</v>
      </c>
      <c r="D14" s="2">
        <v>4</v>
      </c>
      <c r="E14" s="2">
        <v>1.0846264367816092</v>
      </c>
      <c r="F14" s="2">
        <v>4</v>
      </c>
    </row>
    <row r="15" spans="1:6" x14ac:dyDescent="0.2">
      <c r="A15" s="5">
        <v>24</v>
      </c>
      <c r="B15" s="2">
        <v>0.65332874115773532</v>
      </c>
      <c r="C15" s="2">
        <v>0.3571100605717753</v>
      </c>
      <c r="D15" s="2">
        <v>5</v>
      </c>
      <c r="E15" s="2">
        <v>1.7108433734939759</v>
      </c>
      <c r="F15" s="2">
        <v>5</v>
      </c>
    </row>
    <row r="16" spans="1:6" x14ac:dyDescent="0.2">
      <c r="A16" s="5">
        <v>48</v>
      </c>
      <c r="B16" s="2">
        <v>2.2443187941387719</v>
      </c>
      <c r="C16" s="2">
        <v>1.7706439863842147</v>
      </c>
      <c r="D16" s="2">
        <v>5</v>
      </c>
      <c r="E16" s="2">
        <v>3.7109634551495017</v>
      </c>
      <c r="F16" s="2">
        <v>6</v>
      </c>
    </row>
    <row r="17" spans="1:6" x14ac:dyDescent="0.2">
      <c r="A17" s="5">
        <v>288</v>
      </c>
      <c r="B17" s="2">
        <v>2.8844333923696057</v>
      </c>
      <c r="C17" s="2">
        <v>3.0970111878117206</v>
      </c>
      <c r="D17" s="2">
        <v>4</v>
      </c>
      <c r="F17" s="2"/>
    </row>
    <row r="18" spans="1:6" x14ac:dyDescent="0.2">
      <c r="A18" s="4" t="s">
        <v>82</v>
      </c>
      <c r="B18" s="2">
        <v>3.9177056760515021</v>
      </c>
      <c r="C18" s="2">
        <v>2.4673882826823732</v>
      </c>
      <c r="D18" s="2">
        <v>18</v>
      </c>
      <c r="E18" s="2">
        <v>3.2358740507189259</v>
      </c>
      <c r="F18" s="2">
        <v>16</v>
      </c>
    </row>
    <row r="19" spans="1:6" x14ac:dyDescent="0.2">
      <c r="A19" s="5">
        <v>4</v>
      </c>
      <c r="B19" s="2">
        <v>4.0491434309503163</v>
      </c>
      <c r="C19" s="2">
        <v>1.9124600145688235</v>
      </c>
      <c r="D19" s="2">
        <v>5</v>
      </c>
      <c r="E19" s="2">
        <v>6.3173814898419867</v>
      </c>
      <c r="F19" s="2">
        <v>5</v>
      </c>
    </row>
    <row r="20" spans="1:6" x14ac:dyDescent="0.2">
      <c r="A20" s="5">
        <v>24</v>
      </c>
      <c r="B20" s="2">
        <v>3.6844618831962799</v>
      </c>
      <c r="C20" s="2">
        <v>2.7270068276238066</v>
      </c>
      <c r="D20" s="2">
        <v>6</v>
      </c>
      <c r="E20" s="2">
        <v>2.5975215517241379</v>
      </c>
      <c r="F20" s="2">
        <v>6</v>
      </c>
    </row>
    <row r="21" spans="1:6" x14ac:dyDescent="0.2">
      <c r="A21" s="5">
        <v>48</v>
      </c>
      <c r="B21" s="2">
        <v>3.5505852154636872</v>
      </c>
      <c r="C21" s="2">
        <v>2.1707973402747283</v>
      </c>
      <c r="D21" s="2">
        <v>4</v>
      </c>
      <c r="E21" s="2">
        <v>0.92038961038961031</v>
      </c>
      <c r="F21" s="2">
        <v>5</v>
      </c>
    </row>
    <row r="22" spans="1:6" x14ac:dyDescent="0.2">
      <c r="A22" s="5">
        <v>288</v>
      </c>
      <c r="B22" s="2">
        <v>4.6546242843810068</v>
      </c>
      <c r="C22" s="2">
        <v>2.9009583638490168</v>
      </c>
      <c r="D22" s="2">
        <v>3</v>
      </c>
      <c r="F22" s="2"/>
    </row>
    <row r="23" spans="1:6" x14ac:dyDescent="0.2">
      <c r="A23" s="4" t="s">
        <v>71</v>
      </c>
      <c r="B23" s="2">
        <v>0.91729737071610573</v>
      </c>
      <c r="C23" s="2">
        <v>0.68488403826027067</v>
      </c>
      <c r="D23" s="2">
        <v>24</v>
      </c>
      <c r="F23" s="2"/>
    </row>
    <row r="24" spans="1:6" x14ac:dyDescent="0.2">
      <c r="A24" s="4" t="s">
        <v>76</v>
      </c>
      <c r="B24" s="2">
        <v>0.9129269464748182</v>
      </c>
      <c r="C24" s="2">
        <v>0.9068836047278569</v>
      </c>
      <c r="D24" s="2">
        <v>24</v>
      </c>
      <c r="F24" s="2"/>
    </row>
    <row r="25" spans="1:6" x14ac:dyDescent="0.2">
      <c r="A25" s="4" t="s">
        <v>104</v>
      </c>
      <c r="B25" s="2">
        <v>4.2824496562215479</v>
      </c>
      <c r="C25" s="2">
        <v>8.4065751843740024</v>
      </c>
      <c r="D25" s="2">
        <v>138</v>
      </c>
      <c r="E25" s="2">
        <v>7.0553910508218856</v>
      </c>
      <c r="F25" s="2">
        <v>62</v>
      </c>
    </row>
    <row r="26" spans="1:6" x14ac:dyDescent="0.2">
      <c r="B26"/>
      <c r="C26"/>
      <c r="D26"/>
      <c r="E26"/>
    </row>
    <row r="27" spans="1:6" x14ac:dyDescent="0.2">
      <c r="B27"/>
      <c r="C27"/>
      <c r="D27"/>
      <c r="E27"/>
    </row>
    <row r="28" spans="1:6" x14ac:dyDescent="0.2">
      <c r="B28"/>
      <c r="C28"/>
      <c r="D28"/>
      <c r="E28"/>
    </row>
    <row r="29" spans="1:6" x14ac:dyDescent="0.2">
      <c r="B29"/>
      <c r="C29"/>
      <c r="D29"/>
      <c r="E29"/>
    </row>
    <row r="30" spans="1:6" x14ac:dyDescent="0.2">
      <c r="B30"/>
      <c r="C30"/>
      <c r="D30"/>
      <c r="E30"/>
    </row>
    <row r="31" spans="1:6" x14ac:dyDescent="0.2">
      <c r="B31"/>
      <c r="C31"/>
      <c r="D31"/>
      <c r="E31"/>
    </row>
    <row r="32" spans="1:6" x14ac:dyDescent="0.2">
      <c r="B32"/>
      <c r="C32"/>
      <c r="D32"/>
      <c r="E32"/>
    </row>
    <row r="33" spans="2:5" x14ac:dyDescent="0.2">
      <c r="B33"/>
      <c r="C33"/>
      <c r="D33"/>
      <c r="E33"/>
    </row>
    <row r="34" spans="2:5" x14ac:dyDescent="0.2">
      <c r="B34"/>
      <c r="C34"/>
      <c r="D34"/>
      <c r="E34"/>
    </row>
    <row r="35" spans="2:5" x14ac:dyDescent="0.2">
      <c r="B35"/>
      <c r="C35"/>
      <c r="D35"/>
      <c r="E35"/>
    </row>
    <row r="36" spans="2:5" x14ac:dyDescent="0.2">
      <c r="B36"/>
      <c r="C36"/>
      <c r="D36"/>
      <c r="E36"/>
    </row>
    <row r="37" spans="2:5" x14ac:dyDescent="0.2">
      <c r="B37"/>
      <c r="C37"/>
      <c r="D37"/>
      <c r="E37"/>
    </row>
    <row r="38" spans="2:5" x14ac:dyDescent="0.2">
      <c r="B38"/>
      <c r="C38"/>
      <c r="D38"/>
      <c r="E38"/>
    </row>
    <row r="39" spans="2:5" x14ac:dyDescent="0.2">
      <c r="B39"/>
      <c r="C39"/>
      <c r="D39"/>
      <c r="E39"/>
    </row>
    <row r="40" spans="2:5" x14ac:dyDescent="0.2">
      <c r="B40"/>
      <c r="C40"/>
      <c r="D40"/>
      <c r="E40"/>
    </row>
    <row r="41" spans="2:5" x14ac:dyDescent="0.2">
      <c r="B41"/>
      <c r="C41"/>
      <c r="D41"/>
      <c r="E41"/>
    </row>
    <row r="42" spans="2:5" x14ac:dyDescent="0.2">
      <c r="B42"/>
      <c r="C42"/>
      <c r="D42"/>
      <c r="E42"/>
    </row>
    <row r="43" spans="2:5" x14ac:dyDescent="0.2">
      <c r="B43"/>
      <c r="C43"/>
      <c r="D43"/>
      <c r="E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2023-04-23T14:44:23Z</dcterms:created>
  <dcterms:modified xsi:type="dcterms:W3CDTF">2023-05-12T19:22:08Z</dcterms:modified>
</cp:coreProperties>
</file>