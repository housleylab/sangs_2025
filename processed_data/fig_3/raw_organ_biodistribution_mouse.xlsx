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2/"/>
    </mc:Choice>
  </mc:AlternateContent>
  <xr:revisionPtr revIDLastSave="0" documentId="13_ncr:1_{E5AC6D3A-0F2A-4D41-A8EE-AC70DEB96C69}" xr6:coauthVersionLast="36" xr6:coauthVersionMax="36" xr10:uidLastSave="{00000000-0000-0000-0000-000000000000}"/>
  <bookViews>
    <workbookView xWindow="500" yWindow="500" windowWidth="33100" windowHeight="20500" xr2:uid="{E22B1F31-32D7-C044-93CE-B1AEA5F14966}"/>
  </bookViews>
  <sheets>
    <sheet name="Sheet1" sheetId="1" r:id="rId1"/>
  </sheets>
  <definedNames>
    <definedName name="_xlnm._FilterDatabase" localSheetId="0" hidden="1">Sheet1!$A$1:$T$181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81" i="1" l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<sst xmlns="http://schemas.openxmlformats.org/spreadsheetml/2006/main" count="1908" uniqueCount="115">
  <si>
    <t>tissue</t>
  </si>
  <si>
    <t>animalNum</t>
  </si>
  <si>
    <t>dyeType</t>
  </si>
  <si>
    <t>use</t>
  </si>
  <si>
    <t>imagedAlone</t>
  </si>
  <si>
    <t>folderName</t>
  </si>
  <si>
    <t>time_hrs</t>
  </si>
  <si>
    <t>ROI 1</t>
  </si>
  <si>
    <t>Overlay</t>
  </si>
  <si>
    <t>ROI 2</t>
  </si>
  <si>
    <t>ROI 3</t>
  </si>
  <si>
    <t>ROI 4</t>
  </si>
  <si>
    <t>ROI 5</t>
  </si>
  <si>
    <t>texasRed</t>
  </si>
  <si>
    <t>no</t>
  </si>
  <si>
    <t>kidney</t>
  </si>
  <si>
    <t>ROI 6</t>
  </si>
  <si>
    <t>ROI 7</t>
  </si>
  <si>
    <t>ROI 8</t>
  </si>
  <si>
    <t>ROI 9</t>
  </si>
  <si>
    <t>ROI 10</t>
  </si>
  <si>
    <t>ROI 25</t>
  </si>
  <si>
    <t>heart</t>
  </si>
  <si>
    <t>lungs</t>
  </si>
  <si>
    <t>ROI 11</t>
  </si>
  <si>
    <t>ROI 12</t>
  </si>
  <si>
    <t>ROI 13</t>
  </si>
  <si>
    <t>ROI 14</t>
  </si>
  <si>
    <t>spleen</t>
  </si>
  <si>
    <t>ROI 15</t>
  </si>
  <si>
    <t>ROI 16</t>
  </si>
  <si>
    <t>ROI 17</t>
  </si>
  <si>
    <t>ROI 18</t>
  </si>
  <si>
    <t>ROI 19</t>
  </si>
  <si>
    <t>liver</t>
  </si>
  <si>
    <t>ROI 20</t>
  </si>
  <si>
    <t>ROI 21</t>
  </si>
  <si>
    <t>ROI 22</t>
  </si>
  <si>
    <t>ROI 23</t>
  </si>
  <si>
    <t>ROI 24</t>
  </si>
  <si>
    <t>ROI 26</t>
  </si>
  <si>
    <t>ROI 27</t>
  </si>
  <si>
    <t>ROI 28</t>
  </si>
  <si>
    <t>image_Number</t>
  </si>
  <si>
    <t>roi</t>
  </si>
  <si>
    <t>image_Layer</t>
  </si>
  <si>
    <t>total_radiance_efficency</t>
  </si>
  <si>
    <t>avg_radiance_efficency</t>
  </si>
  <si>
    <t>min_radiance_efficency</t>
  </si>
  <si>
    <t>max_radiance_efficency</t>
  </si>
  <si>
    <t>fold_change_within_animal</t>
  </si>
  <si>
    <t>animalType</t>
  </si>
  <si>
    <t>control</t>
  </si>
  <si>
    <t>ovarian_tumor</t>
  </si>
  <si>
    <t>m0007</t>
  </si>
  <si>
    <t>NG</t>
  </si>
  <si>
    <t>SL20230407131323_001</t>
  </si>
  <si>
    <t>m0001</t>
  </si>
  <si>
    <t>SNH20230421141255_001</t>
  </si>
  <si>
    <t>m0002</t>
  </si>
  <si>
    <t>m0003</t>
  </si>
  <si>
    <t>m0004</t>
  </si>
  <si>
    <t>m0005</t>
  </si>
  <si>
    <t>SNH20230421135527_001</t>
  </si>
  <si>
    <t>SNH20230421133937_001</t>
  </si>
  <si>
    <t>SNH20230421135749_001</t>
  </si>
  <si>
    <t>SNH20230421133354_001</t>
  </si>
  <si>
    <t>SNH20230421140538_001</t>
  </si>
  <si>
    <t>m0006</t>
  </si>
  <si>
    <t>SNH20230421144854_001</t>
  </si>
  <si>
    <t>mets</t>
  </si>
  <si>
    <t>SL20230405163923_001</t>
  </si>
  <si>
    <t>m0026</t>
  </si>
  <si>
    <t>ex_vivo_organ_tumor_useME</t>
  </si>
  <si>
    <t>SNH20230507173506_001</t>
  </si>
  <si>
    <t>m0027</t>
  </si>
  <si>
    <t>m0028</t>
  </si>
  <si>
    <t>m0029</t>
  </si>
  <si>
    <t>m0030</t>
  </si>
  <si>
    <t>ROI 29</t>
  </si>
  <si>
    <t>ROI 30</t>
  </si>
  <si>
    <t>SNH20230507175713_001</t>
  </si>
  <si>
    <t>mets_2</t>
  </si>
  <si>
    <t>SNH20230507174604_001</t>
  </si>
  <si>
    <t>yes</t>
  </si>
  <si>
    <t>tumorMetNorm</t>
  </si>
  <si>
    <t>animalStrain</t>
  </si>
  <si>
    <t>stdev_radiance_efficency</t>
  </si>
  <si>
    <t>fold_change_within_tissue</t>
  </si>
  <si>
    <t>primary</t>
  </si>
  <si>
    <t>b-ndg</t>
  </si>
  <si>
    <t>normal</t>
  </si>
  <si>
    <t>gi_healthy</t>
  </si>
  <si>
    <t>spleen_mets</t>
  </si>
  <si>
    <t>liver_mets</t>
  </si>
  <si>
    <t>kidney_mets</t>
  </si>
  <si>
    <t>gi_mets</t>
  </si>
  <si>
    <t>muscle</t>
  </si>
  <si>
    <t>m0037</t>
  </si>
  <si>
    <t>irDye</t>
  </si>
  <si>
    <t>SNH20230518190149_001</t>
  </si>
  <si>
    <t>m0036</t>
  </si>
  <si>
    <t>SNH20230522114421_001</t>
  </si>
  <si>
    <t>m0038</t>
  </si>
  <si>
    <t>sirna</t>
  </si>
  <si>
    <t>m0054_1</t>
  </si>
  <si>
    <t>cd-1</t>
  </si>
  <si>
    <t>SNH20230520152949_001</t>
  </si>
  <si>
    <t>ovary</t>
  </si>
  <si>
    <t>fat</t>
  </si>
  <si>
    <t>m0046_3</t>
  </si>
  <si>
    <t>m0045_2</t>
  </si>
  <si>
    <t>m0055_2</t>
  </si>
  <si>
    <t>SNH20230520145708_001</t>
  </si>
  <si>
    <t>m0056_3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</si>
</sst>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9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readingOrder="1"/>
    </xf>
    <xf numFmtId="0" fontId="5" fillId="0" borderId="0" xfId="0" applyFont="1"/>
    <xf numFmtId="0" fontId="5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C813-D181-964D-A7D4-667C65DD3F24}">
  <sheetPr filterMode="1"/>
  <dimension ref="A1:U181"/>
  <sheetViews>
    <sheetView tabSelected="1" zoomScale="125" workbookViewId="0">
      <pane ySplit="1" topLeftCell="A2" activePane="bottomLeft" state="frozen"/>
      <selection pane="bottomLeft" activeCell="I193" sqref="I193"/>
    </sheetView>
  </sheetViews>
  <sheetFormatPr baseColWidth="10" defaultRowHeight="16" x14ac:dyDescent="0.2"/>
  <cols>
    <col min="1" max="1" width="14.33203125" bestFit="1" customWidth="1"/>
    <col min="2" max="2" width="14.33203125" customWidth="1"/>
    <col min="3" max="3" width="11.83203125" customWidth="1"/>
    <col min="4" max="5" width="6" customWidth="1"/>
    <col min="6" max="6" width="8.33203125" customWidth="1"/>
    <col min="7" max="10" width="6" customWidth="1"/>
    <col min="11" max="11" width="14.1640625" customWidth="1"/>
    <col min="12" max="14" width="11.83203125" customWidth="1"/>
    <col min="15" max="18" width="5.6640625" customWidth="1"/>
    <col min="19" max="19" width="11.83203125" style="2" customWidth="1"/>
    <col min="20" max="20" width="11.83203125" customWidth="1"/>
  </cols>
  <sheetData>
    <row r="1" spans="1:21" s="3" customFormat="1" ht="49" customHeight="1" x14ac:dyDescent="0.15">
      <c r="A1" s="4" t="s">
        <v>0</v>
      </c>
      <c r="B1" s="4" t="s">
        <v>85</v>
      </c>
      <c r="C1" s="4" t="s">
        <v>1</v>
      </c>
      <c r="D1" s="4" t="s">
        <v>51</v>
      </c>
      <c r="E1" s="4" t="s">
        <v>86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87</v>
      </c>
      <c r="Q1" s="4" t="s">
        <v>48</v>
      </c>
      <c r="R1" s="4" t="s">
        <v>49</v>
      </c>
      <c r="S1" s="5" t="s">
        <v>50</v>
      </c>
      <c r="T1" s="4" t="s">
        <v>88</v>
      </c>
      <c r="U1" s="6"/>
    </row>
    <row r="2" spans="1:21" hidden="1" x14ac:dyDescent="0.2">
      <c r="A2" t="s">
        <v>53</v>
      </c>
      <c r="B2" t="s">
        <v>89</v>
      </c>
      <c r="C2" t="s">
        <v>54</v>
      </c>
      <c r="D2" t="s">
        <v>55</v>
      </c>
      <c r="E2" t="s">
        <v>90</v>
      </c>
      <c r="F2" t="s">
        <v>13</v>
      </c>
      <c r="G2" t="s">
        <v>84</v>
      </c>
      <c r="H2" t="s">
        <v>14</v>
      </c>
      <c r="J2">
        <v>48</v>
      </c>
      <c r="K2" t="s">
        <v>56</v>
      </c>
      <c r="L2" t="s">
        <v>7</v>
      </c>
      <c r="M2" t="s">
        <v>8</v>
      </c>
      <c r="N2" s="1">
        <v>4142000000</v>
      </c>
      <c r="O2" s="1">
        <v>145700000</v>
      </c>
      <c r="P2" s="1">
        <v>45110000</v>
      </c>
      <c r="Q2" s="1">
        <v>86550000</v>
      </c>
      <c r="R2" s="1">
        <v>334500000</v>
      </c>
      <c r="S2" s="2">
        <f t="shared" ref="S2:S9" si="0">N2/$N$9</f>
        <v>102.77915632754342</v>
      </c>
    </row>
    <row r="3" spans="1:21" hidden="1" x14ac:dyDescent="0.2">
      <c r="A3" t="s">
        <v>15</v>
      </c>
      <c r="B3" t="s">
        <v>91</v>
      </c>
      <c r="C3" t="s">
        <v>54</v>
      </c>
      <c r="D3" t="s">
        <v>55</v>
      </c>
      <c r="E3" t="s">
        <v>90</v>
      </c>
      <c r="F3" t="s">
        <v>13</v>
      </c>
      <c r="G3" t="s">
        <v>84</v>
      </c>
      <c r="H3" t="s">
        <v>14</v>
      </c>
      <c r="J3">
        <v>48</v>
      </c>
      <c r="K3" t="s">
        <v>56</v>
      </c>
      <c r="L3" t="s">
        <v>9</v>
      </c>
      <c r="M3" t="s">
        <v>8</v>
      </c>
      <c r="N3" s="1">
        <v>720800000</v>
      </c>
      <c r="O3" s="1">
        <v>134500000</v>
      </c>
      <c r="P3" s="1">
        <v>41220000</v>
      </c>
      <c r="Q3" s="1">
        <v>52150000</v>
      </c>
      <c r="R3" s="1">
        <v>196600000</v>
      </c>
      <c r="S3" s="2">
        <f t="shared" si="0"/>
        <v>17.885856079404466</v>
      </c>
    </row>
    <row r="4" spans="1:21" hidden="1" x14ac:dyDescent="0.2">
      <c r="A4" t="s">
        <v>92</v>
      </c>
      <c r="B4" t="s">
        <v>91</v>
      </c>
      <c r="C4" t="s">
        <v>54</v>
      </c>
      <c r="D4" t="s">
        <v>55</v>
      </c>
      <c r="E4" t="s">
        <v>90</v>
      </c>
      <c r="F4" t="s">
        <v>13</v>
      </c>
      <c r="G4" t="s">
        <v>84</v>
      </c>
      <c r="H4" t="s">
        <v>14</v>
      </c>
      <c r="J4">
        <v>48</v>
      </c>
      <c r="K4" t="s">
        <v>56</v>
      </c>
      <c r="L4" t="s">
        <v>10</v>
      </c>
      <c r="M4" t="s">
        <v>8</v>
      </c>
      <c r="N4" s="1">
        <v>103200000</v>
      </c>
      <c r="O4" s="1">
        <v>103200000</v>
      </c>
      <c r="P4" s="1">
        <v>32630000</v>
      </c>
      <c r="Q4" s="1">
        <v>26790000</v>
      </c>
      <c r="R4" s="1">
        <v>174000000</v>
      </c>
      <c r="S4" s="2">
        <f t="shared" si="0"/>
        <v>2.5607940446650126</v>
      </c>
    </row>
    <row r="5" spans="1:21" hidden="1" x14ac:dyDescent="0.2">
      <c r="A5" t="s">
        <v>15</v>
      </c>
      <c r="B5" t="s">
        <v>91</v>
      </c>
      <c r="C5" t="s">
        <v>54</v>
      </c>
      <c r="D5" t="s">
        <v>55</v>
      </c>
      <c r="E5" t="s">
        <v>90</v>
      </c>
      <c r="F5" t="s">
        <v>13</v>
      </c>
      <c r="G5" t="s">
        <v>84</v>
      </c>
      <c r="H5" t="s">
        <v>14</v>
      </c>
      <c r="J5">
        <v>48</v>
      </c>
      <c r="K5" t="s">
        <v>56</v>
      </c>
      <c r="L5" t="s">
        <v>11</v>
      </c>
      <c r="M5" t="s">
        <v>8</v>
      </c>
      <c r="N5" s="1">
        <v>484000000</v>
      </c>
      <c r="O5" s="1">
        <v>109800000</v>
      </c>
      <c r="P5" s="1">
        <v>33000000</v>
      </c>
      <c r="Q5" s="1">
        <v>43280000</v>
      </c>
      <c r="R5" s="1">
        <v>164100000</v>
      </c>
      <c r="S5" s="2">
        <f t="shared" si="0"/>
        <v>12.009925558312656</v>
      </c>
    </row>
    <row r="6" spans="1:21" hidden="1" x14ac:dyDescent="0.2">
      <c r="A6" t="s">
        <v>23</v>
      </c>
      <c r="B6" t="s">
        <v>91</v>
      </c>
      <c r="C6" t="s">
        <v>54</v>
      </c>
      <c r="D6" t="s">
        <v>55</v>
      </c>
      <c r="E6" t="s">
        <v>90</v>
      </c>
      <c r="F6" t="s">
        <v>13</v>
      </c>
      <c r="G6" t="s">
        <v>84</v>
      </c>
      <c r="H6" t="s">
        <v>14</v>
      </c>
      <c r="J6">
        <v>48</v>
      </c>
      <c r="K6" t="s">
        <v>56</v>
      </c>
      <c r="L6" t="s">
        <v>12</v>
      </c>
      <c r="M6" t="s">
        <v>8</v>
      </c>
      <c r="N6" s="1">
        <v>286200000</v>
      </c>
      <c r="O6" s="1">
        <v>27280000</v>
      </c>
      <c r="P6" s="1">
        <v>8401000</v>
      </c>
      <c r="Q6" s="1">
        <v>13670000</v>
      </c>
      <c r="R6" s="1">
        <v>52440000</v>
      </c>
      <c r="S6" s="2">
        <f t="shared" si="0"/>
        <v>7.1017369727047148</v>
      </c>
    </row>
    <row r="7" spans="1:21" hidden="1" x14ac:dyDescent="0.2">
      <c r="A7" t="s">
        <v>34</v>
      </c>
      <c r="B7" t="s">
        <v>91</v>
      </c>
      <c r="C7" t="s">
        <v>54</v>
      </c>
      <c r="D7" t="s">
        <v>55</v>
      </c>
      <c r="E7" t="s">
        <v>90</v>
      </c>
      <c r="F7" t="s">
        <v>13</v>
      </c>
      <c r="G7" t="s">
        <v>84</v>
      </c>
      <c r="H7" t="s">
        <v>14</v>
      </c>
      <c r="J7">
        <v>48</v>
      </c>
      <c r="K7" t="s">
        <v>56</v>
      </c>
      <c r="L7" t="s">
        <v>16</v>
      </c>
      <c r="M7" t="s">
        <v>8</v>
      </c>
      <c r="N7" s="1">
        <v>28010000</v>
      </c>
      <c r="O7" s="1">
        <v>28010000</v>
      </c>
      <c r="P7" s="1">
        <v>6924000</v>
      </c>
      <c r="Q7" s="1">
        <v>12890000</v>
      </c>
      <c r="R7" s="1">
        <v>48960000</v>
      </c>
      <c r="S7" s="2">
        <f t="shared" si="0"/>
        <v>0.69503722084367248</v>
      </c>
    </row>
    <row r="8" spans="1:21" hidden="1" x14ac:dyDescent="0.2">
      <c r="A8" t="s">
        <v>28</v>
      </c>
      <c r="B8" t="s">
        <v>91</v>
      </c>
      <c r="C8" t="s">
        <v>54</v>
      </c>
      <c r="D8" t="s">
        <v>55</v>
      </c>
      <c r="E8" t="s">
        <v>90</v>
      </c>
      <c r="F8" t="s">
        <v>13</v>
      </c>
      <c r="G8" t="s">
        <v>84</v>
      </c>
      <c r="H8" t="s">
        <v>14</v>
      </c>
      <c r="J8">
        <v>48</v>
      </c>
      <c r="K8" t="s">
        <v>56</v>
      </c>
      <c r="L8" t="s">
        <v>17</v>
      </c>
      <c r="M8" t="s">
        <v>8</v>
      </c>
      <c r="N8" s="1">
        <v>74930000</v>
      </c>
      <c r="O8" s="1">
        <v>13500000</v>
      </c>
      <c r="P8" s="1">
        <v>3673000</v>
      </c>
      <c r="Q8" s="1">
        <v>6902000</v>
      </c>
      <c r="R8" s="1">
        <v>26190000</v>
      </c>
      <c r="S8" s="2">
        <f t="shared" si="0"/>
        <v>1.8593052109181141</v>
      </c>
    </row>
    <row r="9" spans="1:21" hidden="1" x14ac:dyDescent="0.2">
      <c r="A9" t="s">
        <v>22</v>
      </c>
      <c r="B9" t="s">
        <v>91</v>
      </c>
      <c r="C9" t="s">
        <v>54</v>
      </c>
      <c r="D9" t="s">
        <v>55</v>
      </c>
      <c r="E9" t="s">
        <v>90</v>
      </c>
      <c r="F9" t="s">
        <v>13</v>
      </c>
      <c r="G9" t="s">
        <v>84</v>
      </c>
      <c r="H9" t="s">
        <v>14</v>
      </c>
      <c r="J9">
        <v>48</v>
      </c>
      <c r="K9" t="s">
        <v>56</v>
      </c>
      <c r="L9" t="s">
        <v>18</v>
      </c>
      <c r="M9" t="s">
        <v>8</v>
      </c>
      <c r="N9" s="1">
        <v>40300000</v>
      </c>
      <c r="O9" s="1">
        <v>12050000</v>
      </c>
      <c r="P9" s="1">
        <v>4028000</v>
      </c>
      <c r="Q9" s="1">
        <v>6113000</v>
      </c>
      <c r="R9" s="1">
        <v>23360000</v>
      </c>
      <c r="S9" s="2">
        <f t="shared" si="0"/>
        <v>1</v>
      </c>
    </row>
    <row r="10" spans="1:21" hidden="1" x14ac:dyDescent="0.2">
      <c r="A10" t="s">
        <v>53</v>
      </c>
      <c r="B10" t="s">
        <v>89</v>
      </c>
      <c r="C10" t="s">
        <v>57</v>
      </c>
      <c r="D10" t="s">
        <v>55</v>
      </c>
      <c r="E10" t="s">
        <v>90</v>
      </c>
      <c r="F10" t="s">
        <v>13</v>
      </c>
      <c r="G10" t="s">
        <v>84</v>
      </c>
      <c r="J10">
        <v>288</v>
      </c>
      <c r="K10" t="s">
        <v>58</v>
      </c>
      <c r="L10" t="s">
        <v>7</v>
      </c>
      <c r="M10" t="s">
        <v>8</v>
      </c>
      <c r="N10" s="1">
        <v>5992000000</v>
      </c>
      <c r="O10" s="1">
        <v>194100000</v>
      </c>
      <c r="P10" s="1">
        <v>233700000</v>
      </c>
      <c r="Q10" s="1">
        <v>13340000</v>
      </c>
      <c r="R10" s="1">
        <v>1013000000</v>
      </c>
      <c r="S10" s="2">
        <f>N10/$N$34</f>
        <v>16.71875</v>
      </c>
    </row>
    <row r="11" spans="1:21" hidden="1" x14ac:dyDescent="0.2">
      <c r="A11" t="s">
        <v>53</v>
      </c>
      <c r="B11" t="s">
        <v>89</v>
      </c>
      <c r="C11" t="s">
        <v>57</v>
      </c>
      <c r="D11" t="s">
        <v>55</v>
      </c>
      <c r="E11" t="s">
        <v>90</v>
      </c>
      <c r="F11" t="s">
        <v>13</v>
      </c>
      <c r="G11" t="s">
        <v>84</v>
      </c>
      <c r="J11">
        <v>288</v>
      </c>
      <c r="K11" t="s">
        <v>58</v>
      </c>
      <c r="L11" t="s">
        <v>9</v>
      </c>
      <c r="M11" t="s">
        <v>8</v>
      </c>
      <c r="N11" s="1">
        <v>9629000000</v>
      </c>
      <c r="O11" s="1">
        <v>323100000</v>
      </c>
      <c r="P11" s="1">
        <v>403600000</v>
      </c>
      <c r="Q11" s="1">
        <v>14190000</v>
      </c>
      <c r="R11" s="1">
        <v>1405000000</v>
      </c>
      <c r="S11" s="2">
        <f>N11/$N$34</f>
        <v>26.866629464285715</v>
      </c>
    </row>
    <row r="12" spans="1:21" hidden="1" x14ac:dyDescent="0.2">
      <c r="A12" t="s">
        <v>53</v>
      </c>
      <c r="B12" t="s">
        <v>89</v>
      </c>
      <c r="C12" t="s">
        <v>59</v>
      </c>
      <c r="D12" t="s">
        <v>55</v>
      </c>
      <c r="E12" t="s">
        <v>90</v>
      </c>
      <c r="F12" t="s">
        <v>13</v>
      </c>
      <c r="G12" t="s">
        <v>84</v>
      </c>
      <c r="J12">
        <v>288</v>
      </c>
      <c r="K12" t="s">
        <v>58</v>
      </c>
      <c r="L12" t="s">
        <v>10</v>
      </c>
      <c r="M12" t="s">
        <v>8</v>
      </c>
      <c r="N12" s="1">
        <v>9228000000</v>
      </c>
      <c r="O12" s="1">
        <v>309700000</v>
      </c>
      <c r="P12" s="1">
        <v>400600000</v>
      </c>
      <c r="Q12" s="1">
        <v>14710000</v>
      </c>
      <c r="R12" s="1">
        <v>1267000000</v>
      </c>
      <c r="S12" s="2">
        <f>N12/$N$35</f>
        <v>15.574683544303797</v>
      </c>
    </row>
    <row r="13" spans="1:21" hidden="1" x14ac:dyDescent="0.2">
      <c r="A13" t="s">
        <v>53</v>
      </c>
      <c r="B13" t="s">
        <v>89</v>
      </c>
      <c r="C13" t="s">
        <v>60</v>
      </c>
      <c r="D13" t="s">
        <v>55</v>
      </c>
      <c r="E13" t="s">
        <v>90</v>
      </c>
      <c r="F13" t="s">
        <v>13</v>
      </c>
      <c r="G13" t="s">
        <v>84</v>
      </c>
      <c r="J13">
        <v>288</v>
      </c>
      <c r="K13" t="s">
        <v>58</v>
      </c>
      <c r="L13" t="s">
        <v>11</v>
      </c>
      <c r="M13" t="s">
        <v>8</v>
      </c>
      <c r="N13" s="1">
        <v>10630000000</v>
      </c>
      <c r="O13" s="1">
        <v>301200000</v>
      </c>
      <c r="P13" s="1">
        <v>380500000</v>
      </c>
      <c r="Q13" s="1">
        <v>15320000</v>
      </c>
      <c r="R13" s="1">
        <v>1500000000</v>
      </c>
      <c r="S13" s="2">
        <f>N13/$N$36</f>
        <v>27.553136340072577</v>
      </c>
    </row>
    <row r="14" spans="1:21" hidden="1" x14ac:dyDescent="0.2">
      <c r="A14" t="s">
        <v>53</v>
      </c>
      <c r="B14" t="s">
        <v>89</v>
      </c>
      <c r="C14" t="s">
        <v>61</v>
      </c>
      <c r="D14" t="s">
        <v>55</v>
      </c>
      <c r="E14" t="s">
        <v>90</v>
      </c>
      <c r="F14" t="s">
        <v>13</v>
      </c>
      <c r="G14" t="s">
        <v>84</v>
      </c>
      <c r="J14">
        <v>288</v>
      </c>
      <c r="K14" t="s">
        <v>58</v>
      </c>
      <c r="L14" t="s">
        <v>12</v>
      </c>
      <c r="M14" t="s">
        <v>8</v>
      </c>
      <c r="N14" s="1">
        <v>2557000000</v>
      </c>
      <c r="O14" s="1">
        <v>82850000</v>
      </c>
      <c r="P14" s="1">
        <v>110800000</v>
      </c>
      <c r="Q14" s="1">
        <v>14940000</v>
      </c>
      <c r="R14" s="1">
        <v>488600000</v>
      </c>
      <c r="S14" s="2">
        <f>N14/$N$37</f>
        <v>17.288708586883029</v>
      </c>
    </row>
    <row r="15" spans="1:21" hidden="1" x14ac:dyDescent="0.2">
      <c r="A15" t="s">
        <v>53</v>
      </c>
      <c r="B15" t="s">
        <v>89</v>
      </c>
      <c r="C15" t="s">
        <v>61</v>
      </c>
      <c r="D15" t="s">
        <v>55</v>
      </c>
      <c r="E15" t="s">
        <v>90</v>
      </c>
      <c r="F15" t="s">
        <v>13</v>
      </c>
      <c r="G15" t="s">
        <v>84</v>
      </c>
      <c r="J15">
        <v>48</v>
      </c>
      <c r="K15" t="s">
        <v>58</v>
      </c>
      <c r="L15" t="s">
        <v>16</v>
      </c>
      <c r="M15" t="s">
        <v>8</v>
      </c>
      <c r="N15" s="1">
        <v>6046000000</v>
      </c>
      <c r="O15" s="1">
        <v>218500000</v>
      </c>
      <c r="P15" s="1">
        <v>308200000</v>
      </c>
      <c r="Q15" s="1">
        <v>14700000</v>
      </c>
      <c r="R15" s="1">
        <v>1259000000</v>
      </c>
      <c r="S15" s="2">
        <f>N15/$N$37</f>
        <v>40.8789722785666</v>
      </c>
    </row>
    <row r="16" spans="1:21" hidden="1" x14ac:dyDescent="0.2">
      <c r="A16" t="s">
        <v>53</v>
      </c>
      <c r="B16" t="s">
        <v>89</v>
      </c>
      <c r="C16" t="s">
        <v>61</v>
      </c>
      <c r="D16" t="s">
        <v>55</v>
      </c>
      <c r="E16" t="s">
        <v>90</v>
      </c>
      <c r="F16" t="s">
        <v>13</v>
      </c>
      <c r="G16" t="s">
        <v>84</v>
      </c>
      <c r="J16">
        <v>48</v>
      </c>
      <c r="K16" t="s">
        <v>58</v>
      </c>
      <c r="L16" t="s">
        <v>17</v>
      </c>
      <c r="M16" t="s">
        <v>8</v>
      </c>
      <c r="N16" s="1">
        <v>3094000000</v>
      </c>
      <c r="O16" s="1">
        <v>127600000</v>
      </c>
      <c r="P16" s="1">
        <v>178700000</v>
      </c>
      <c r="Q16" s="1">
        <v>16850000</v>
      </c>
      <c r="R16" s="1">
        <v>850800000</v>
      </c>
      <c r="S16" s="2">
        <f>N16/$N$37</f>
        <v>20.919540229885058</v>
      </c>
    </row>
    <row r="17" spans="1:19" hidden="1" x14ac:dyDescent="0.2">
      <c r="A17" t="s">
        <v>53</v>
      </c>
      <c r="B17" t="s">
        <v>89</v>
      </c>
      <c r="C17" t="s">
        <v>62</v>
      </c>
      <c r="D17" t="s">
        <v>55</v>
      </c>
      <c r="E17" t="s">
        <v>90</v>
      </c>
      <c r="F17" t="s">
        <v>13</v>
      </c>
      <c r="G17" t="s">
        <v>84</v>
      </c>
      <c r="J17">
        <v>48</v>
      </c>
      <c r="K17" t="s">
        <v>58</v>
      </c>
      <c r="L17" t="s">
        <v>18</v>
      </c>
      <c r="M17" t="s">
        <v>8</v>
      </c>
      <c r="N17" s="1">
        <v>1900000000</v>
      </c>
      <c r="O17" s="1">
        <v>95190000</v>
      </c>
      <c r="P17" s="1">
        <v>132000000</v>
      </c>
      <c r="Q17" s="1">
        <v>14620000</v>
      </c>
      <c r="R17" s="1">
        <v>515300000</v>
      </c>
      <c r="S17" s="2">
        <f>N17/$N$38</f>
        <v>7.569721115537849</v>
      </c>
    </row>
    <row r="18" spans="1:19" hidden="1" x14ac:dyDescent="0.2">
      <c r="A18" t="s">
        <v>53</v>
      </c>
      <c r="B18" t="s">
        <v>89</v>
      </c>
      <c r="C18" t="s">
        <v>62</v>
      </c>
      <c r="D18" t="s">
        <v>55</v>
      </c>
      <c r="E18" t="s">
        <v>90</v>
      </c>
      <c r="F18" t="s">
        <v>13</v>
      </c>
      <c r="G18" t="s">
        <v>14</v>
      </c>
      <c r="J18">
        <v>48</v>
      </c>
      <c r="K18" t="s">
        <v>58</v>
      </c>
      <c r="L18" t="s">
        <v>19</v>
      </c>
      <c r="M18" t="s">
        <v>8</v>
      </c>
      <c r="N18" s="1">
        <v>904400000</v>
      </c>
      <c r="O18" s="1">
        <v>54440000</v>
      </c>
      <c r="P18" s="1">
        <v>84720000</v>
      </c>
      <c r="Q18" s="1">
        <v>15160000</v>
      </c>
      <c r="R18" s="1">
        <v>396900000</v>
      </c>
      <c r="S18" s="2">
        <f>N18/$N$38</f>
        <v>3.6031872509960161</v>
      </c>
    </row>
    <row r="19" spans="1:19" hidden="1" x14ac:dyDescent="0.2">
      <c r="A19" t="s">
        <v>23</v>
      </c>
      <c r="B19" t="s">
        <v>91</v>
      </c>
      <c r="C19" t="s">
        <v>57</v>
      </c>
      <c r="D19" t="s">
        <v>55</v>
      </c>
      <c r="E19" t="s">
        <v>90</v>
      </c>
      <c r="F19" t="s">
        <v>13</v>
      </c>
      <c r="G19" t="s">
        <v>84</v>
      </c>
      <c r="J19">
        <v>288</v>
      </c>
      <c r="K19" t="s">
        <v>63</v>
      </c>
      <c r="L19" t="s">
        <v>7</v>
      </c>
      <c r="M19" t="s">
        <v>8</v>
      </c>
      <c r="N19" s="1">
        <v>750200000</v>
      </c>
      <c r="O19" s="1">
        <v>25170000</v>
      </c>
      <c r="P19" s="1">
        <v>33990000</v>
      </c>
      <c r="Q19" s="1">
        <v>12000000</v>
      </c>
      <c r="R19" s="1">
        <v>199500000</v>
      </c>
      <c r="S19" s="2">
        <f>N19/$N$34</f>
        <v>2.0931919642857144</v>
      </c>
    </row>
    <row r="20" spans="1:19" hidden="1" x14ac:dyDescent="0.2">
      <c r="A20" t="s">
        <v>23</v>
      </c>
      <c r="B20" t="s">
        <v>91</v>
      </c>
      <c r="C20" t="s">
        <v>59</v>
      </c>
      <c r="D20" t="s">
        <v>55</v>
      </c>
      <c r="E20" t="s">
        <v>90</v>
      </c>
      <c r="F20" t="s">
        <v>13</v>
      </c>
      <c r="G20" t="s">
        <v>84</v>
      </c>
      <c r="J20">
        <v>288</v>
      </c>
      <c r="K20" t="s">
        <v>63</v>
      </c>
      <c r="L20" t="s">
        <v>9</v>
      </c>
      <c r="M20" t="s">
        <v>8</v>
      </c>
      <c r="N20" s="1">
        <v>757300000</v>
      </c>
      <c r="O20" s="1">
        <v>24540000</v>
      </c>
      <c r="P20" s="1">
        <v>26870000</v>
      </c>
      <c r="Q20" s="1">
        <v>13040000</v>
      </c>
      <c r="R20" s="1">
        <v>129000000</v>
      </c>
      <c r="S20" s="2">
        <f>N20/$N$35</f>
        <v>1.2781434599156118</v>
      </c>
    </row>
    <row r="21" spans="1:19" hidden="1" x14ac:dyDescent="0.2">
      <c r="A21" t="s">
        <v>23</v>
      </c>
      <c r="B21" t="s">
        <v>91</v>
      </c>
      <c r="C21" t="s">
        <v>60</v>
      </c>
      <c r="D21" t="s">
        <v>55</v>
      </c>
      <c r="E21" t="s">
        <v>90</v>
      </c>
      <c r="F21" t="s">
        <v>13</v>
      </c>
      <c r="G21" t="s">
        <v>84</v>
      </c>
      <c r="J21">
        <v>48</v>
      </c>
      <c r="K21" t="s">
        <v>63</v>
      </c>
      <c r="L21" t="s">
        <v>10</v>
      </c>
      <c r="M21" t="s">
        <v>8</v>
      </c>
      <c r="N21" s="1">
        <v>941300000</v>
      </c>
      <c r="O21" s="1">
        <v>31580000</v>
      </c>
      <c r="P21" s="1">
        <v>38330000</v>
      </c>
      <c r="Q21" s="1">
        <v>12960000</v>
      </c>
      <c r="R21" s="1">
        <v>188800000</v>
      </c>
      <c r="S21" s="2">
        <f>N21/$N$36</f>
        <v>2.439865215137377</v>
      </c>
    </row>
    <row r="22" spans="1:19" hidden="1" x14ac:dyDescent="0.2">
      <c r="A22" t="s">
        <v>23</v>
      </c>
      <c r="B22" t="s">
        <v>91</v>
      </c>
      <c r="C22" t="s">
        <v>61</v>
      </c>
      <c r="D22" t="s">
        <v>55</v>
      </c>
      <c r="E22" t="s">
        <v>90</v>
      </c>
      <c r="F22" t="s">
        <v>13</v>
      </c>
      <c r="G22" t="s">
        <v>84</v>
      </c>
      <c r="J22">
        <v>288</v>
      </c>
      <c r="K22" t="s">
        <v>63</v>
      </c>
      <c r="L22" t="s">
        <v>11</v>
      </c>
      <c r="M22" t="s">
        <v>8</v>
      </c>
      <c r="N22" s="1">
        <v>762400000</v>
      </c>
      <c r="O22" s="1">
        <v>24700000</v>
      </c>
      <c r="P22" s="1">
        <v>34190000</v>
      </c>
      <c r="Q22" s="1">
        <v>13100000</v>
      </c>
      <c r="R22" s="1">
        <v>194900000</v>
      </c>
      <c r="S22" s="2">
        <f>N22/$N$37</f>
        <v>5.1548343475321161</v>
      </c>
    </row>
    <row r="23" spans="1:19" hidden="1" x14ac:dyDescent="0.2">
      <c r="A23" t="s">
        <v>23</v>
      </c>
      <c r="B23" t="s">
        <v>91</v>
      </c>
      <c r="C23" t="s">
        <v>62</v>
      </c>
      <c r="D23" t="s">
        <v>55</v>
      </c>
      <c r="E23" t="s">
        <v>90</v>
      </c>
      <c r="F23" t="s">
        <v>13</v>
      </c>
      <c r="G23" t="s">
        <v>84</v>
      </c>
      <c r="J23">
        <v>48</v>
      </c>
      <c r="K23" t="s">
        <v>63</v>
      </c>
      <c r="L23" t="s">
        <v>12</v>
      </c>
      <c r="M23" t="s">
        <v>8</v>
      </c>
      <c r="N23" s="1">
        <v>649400000</v>
      </c>
      <c r="O23" s="1">
        <v>21790000</v>
      </c>
      <c r="P23" s="1">
        <v>21950000</v>
      </c>
      <c r="Q23" s="1">
        <v>12650000</v>
      </c>
      <c r="R23" s="1">
        <v>127200000</v>
      </c>
      <c r="S23" s="2">
        <f>N23/$N$38</f>
        <v>2.5872509960159364</v>
      </c>
    </row>
    <row r="24" spans="1:19" hidden="1" x14ac:dyDescent="0.2">
      <c r="A24" t="s">
        <v>34</v>
      </c>
      <c r="B24" t="s">
        <v>91</v>
      </c>
      <c r="C24" t="s">
        <v>57</v>
      </c>
      <c r="D24" t="s">
        <v>55</v>
      </c>
      <c r="E24" t="s">
        <v>90</v>
      </c>
      <c r="F24" t="s">
        <v>13</v>
      </c>
      <c r="G24" t="s">
        <v>84</v>
      </c>
      <c r="J24">
        <v>288</v>
      </c>
      <c r="K24" t="s">
        <v>64</v>
      </c>
      <c r="L24" t="s">
        <v>7</v>
      </c>
      <c r="M24" t="s">
        <v>8</v>
      </c>
      <c r="N24" s="1">
        <v>2913000000</v>
      </c>
      <c r="O24" s="1">
        <v>823900000</v>
      </c>
      <c r="P24" s="1">
        <v>268200000</v>
      </c>
      <c r="Q24" s="1">
        <v>350300000</v>
      </c>
      <c r="R24" s="1">
        <v>1309000000</v>
      </c>
      <c r="S24" s="2">
        <f>N24/$N$34</f>
        <v>8.1277901785714288</v>
      </c>
    </row>
    <row r="25" spans="1:19" hidden="1" x14ac:dyDescent="0.2">
      <c r="A25" t="s">
        <v>34</v>
      </c>
      <c r="B25" t="s">
        <v>91</v>
      </c>
      <c r="C25" t="s">
        <v>59</v>
      </c>
      <c r="D25" t="s">
        <v>55</v>
      </c>
      <c r="E25" t="s">
        <v>90</v>
      </c>
      <c r="F25" t="s">
        <v>13</v>
      </c>
      <c r="G25" t="s">
        <v>84</v>
      </c>
      <c r="J25">
        <v>288</v>
      </c>
      <c r="K25" t="s">
        <v>64</v>
      </c>
      <c r="L25" t="s">
        <v>9</v>
      </c>
      <c r="M25" t="s">
        <v>8</v>
      </c>
      <c r="N25" s="1">
        <v>3046000000</v>
      </c>
      <c r="O25" s="1">
        <v>809300000</v>
      </c>
      <c r="P25" s="1">
        <v>223100000</v>
      </c>
      <c r="Q25" s="1">
        <v>360400000</v>
      </c>
      <c r="R25" s="1">
        <v>1245000000</v>
      </c>
      <c r="S25" s="2">
        <f>N25/$N$35</f>
        <v>5.1409282700421937</v>
      </c>
    </row>
    <row r="26" spans="1:19" hidden="1" x14ac:dyDescent="0.2">
      <c r="A26" t="s">
        <v>34</v>
      </c>
      <c r="B26" t="s">
        <v>91</v>
      </c>
      <c r="C26" t="s">
        <v>60</v>
      </c>
      <c r="D26" t="s">
        <v>55</v>
      </c>
      <c r="E26" t="s">
        <v>90</v>
      </c>
      <c r="F26" t="s">
        <v>13</v>
      </c>
      <c r="G26" t="s">
        <v>84</v>
      </c>
      <c r="J26">
        <v>48</v>
      </c>
      <c r="K26" t="s">
        <v>64</v>
      </c>
      <c r="L26" t="s">
        <v>10</v>
      </c>
      <c r="M26" t="s">
        <v>8</v>
      </c>
      <c r="N26" s="1">
        <v>3155000000</v>
      </c>
      <c r="O26" s="1">
        <v>601400000</v>
      </c>
      <c r="P26" s="1">
        <v>152800000</v>
      </c>
      <c r="Q26" s="1">
        <v>226300000</v>
      </c>
      <c r="R26" s="1">
        <v>859100000</v>
      </c>
      <c r="S26" s="2">
        <f>N26/$N$36</f>
        <v>8.1778123379989633</v>
      </c>
    </row>
    <row r="27" spans="1:19" hidden="1" x14ac:dyDescent="0.2">
      <c r="A27" t="s">
        <v>34</v>
      </c>
      <c r="B27" t="s">
        <v>91</v>
      </c>
      <c r="C27" t="s">
        <v>61</v>
      </c>
      <c r="D27" t="s">
        <v>55</v>
      </c>
      <c r="E27" t="s">
        <v>90</v>
      </c>
      <c r="F27" t="s">
        <v>13</v>
      </c>
      <c r="G27" t="s">
        <v>84</v>
      </c>
      <c r="J27">
        <v>288</v>
      </c>
      <c r="K27" t="s">
        <v>64</v>
      </c>
      <c r="L27" t="s">
        <v>11</v>
      </c>
      <c r="M27" t="s">
        <v>8</v>
      </c>
      <c r="N27" s="1">
        <v>1761000000</v>
      </c>
      <c r="O27" s="1">
        <v>544900000</v>
      </c>
      <c r="P27" s="1">
        <v>152900000</v>
      </c>
      <c r="Q27" s="1">
        <v>239800000</v>
      </c>
      <c r="R27" s="1">
        <v>802300000</v>
      </c>
      <c r="S27" s="2">
        <f>N27/$N$37</f>
        <v>11.906693711967545</v>
      </c>
    </row>
    <row r="28" spans="1:19" hidden="1" x14ac:dyDescent="0.2">
      <c r="A28" t="s">
        <v>34</v>
      </c>
      <c r="B28" t="s">
        <v>91</v>
      </c>
      <c r="C28" t="s">
        <v>62</v>
      </c>
      <c r="D28" t="s">
        <v>55</v>
      </c>
      <c r="E28" t="s">
        <v>90</v>
      </c>
      <c r="F28" t="s">
        <v>13</v>
      </c>
      <c r="G28" t="s">
        <v>84</v>
      </c>
      <c r="J28">
        <v>48</v>
      </c>
      <c r="K28" t="s">
        <v>64</v>
      </c>
      <c r="L28" t="s">
        <v>12</v>
      </c>
      <c r="M28" t="s">
        <v>8</v>
      </c>
      <c r="N28" s="1">
        <v>948800000</v>
      </c>
      <c r="O28" s="1">
        <v>367100000</v>
      </c>
      <c r="P28" s="1">
        <v>103900000</v>
      </c>
      <c r="Q28" s="1">
        <v>154200000</v>
      </c>
      <c r="R28" s="1">
        <v>543000000</v>
      </c>
      <c r="S28" s="2">
        <f>N28/$N$38</f>
        <v>3.7800796812749002</v>
      </c>
    </row>
    <row r="29" spans="1:19" x14ac:dyDescent="0.2">
      <c r="A29" t="s">
        <v>15</v>
      </c>
      <c r="B29" t="s">
        <v>91</v>
      </c>
      <c r="C29" t="s">
        <v>57</v>
      </c>
      <c r="D29" t="s">
        <v>55</v>
      </c>
      <c r="E29" t="s">
        <v>90</v>
      </c>
      <c r="F29" t="s">
        <v>13</v>
      </c>
      <c r="G29" t="s">
        <v>14</v>
      </c>
      <c r="J29">
        <v>288</v>
      </c>
      <c r="K29" t="s">
        <v>65</v>
      </c>
      <c r="L29" t="s">
        <v>7</v>
      </c>
      <c r="M29" t="s">
        <v>8</v>
      </c>
      <c r="N29" s="1">
        <v>6749000000</v>
      </c>
      <c r="O29" s="1">
        <v>2611000000</v>
      </c>
      <c r="P29" s="1">
        <v>473900000</v>
      </c>
      <c r="Q29" s="1">
        <v>1764000000</v>
      </c>
      <c r="R29" s="1">
        <v>3356000000</v>
      </c>
      <c r="S29" s="2">
        <f>N29/$N$34</f>
        <v>18.830915178571427</v>
      </c>
    </row>
    <row r="30" spans="1:19" x14ac:dyDescent="0.2">
      <c r="A30" t="s">
        <v>15</v>
      </c>
      <c r="B30" t="s">
        <v>91</v>
      </c>
      <c r="C30" t="s">
        <v>59</v>
      </c>
      <c r="D30" t="s">
        <v>55</v>
      </c>
      <c r="E30" t="s">
        <v>90</v>
      </c>
      <c r="F30" t="s">
        <v>13</v>
      </c>
      <c r="G30" t="s">
        <v>14</v>
      </c>
      <c r="J30">
        <v>288</v>
      </c>
      <c r="K30" t="s">
        <v>65</v>
      </c>
      <c r="L30" t="s">
        <v>9</v>
      </c>
      <c r="M30" t="s">
        <v>8</v>
      </c>
      <c r="N30" s="1">
        <v>7756000000</v>
      </c>
      <c r="O30" s="1">
        <v>2148000000</v>
      </c>
      <c r="P30" s="1">
        <v>308300000</v>
      </c>
      <c r="Q30" s="1">
        <v>1438000000</v>
      </c>
      <c r="R30" s="1">
        <v>2742000000</v>
      </c>
      <c r="S30" s="2">
        <f>N30/$N$35</f>
        <v>13.090295358649788</v>
      </c>
    </row>
    <row r="31" spans="1:19" hidden="1" x14ac:dyDescent="0.2">
      <c r="A31" t="s">
        <v>15</v>
      </c>
      <c r="B31" t="s">
        <v>91</v>
      </c>
      <c r="C31" t="s">
        <v>60</v>
      </c>
      <c r="D31" t="s">
        <v>55</v>
      </c>
      <c r="E31" t="s">
        <v>90</v>
      </c>
      <c r="F31" t="s">
        <v>13</v>
      </c>
      <c r="G31" t="s">
        <v>84</v>
      </c>
      <c r="J31">
        <v>48</v>
      </c>
      <c r="K31" t="s">
        <v>65</v>
      </c>
      <c r="L31" t="s">
        <v>10</v>
      </c>
      <c r="M31" t="s">
        <v>8</v>
      </c>
      <c r="N31" s="1">
        <v>6545000000</v>
      </c>
      <c r="O31" s="1">
        <v>1871000000</v>
      </c>
      <c r="P31" s="1">
        <v>352900000</v>
      </c>
      <c r="Q31" s="1">
        <v>1221000000</v>
      </c>
      <c r="R31" s="1">
        <v>2335000000</v>
      </c>
      <c r="S31" s="2">
        <f>N31/$N$36</f>
        <v>16.964748574390875</v>
      </c>
    </row>
    <row r="32" spans="1:19" x14ac:dyDescent="0.2">
      <c r="A32" t="s">
        <v>15</v>
      </c>
      <c r="B32" t="s">
        <v>91</v>
      </c>
      <c r="C32" t="s">
        <v>61</v>
      </c>
      <c r="D32" t="s">
        <v>55</v>
      </c>
      <c r="E32" t="s">
        <v>90</v>
      </c>
      <c r="F32" t="s">
        <v>13</v>
      </c>
      <c r="G32" t="s">
        <v>14</v>
      </c>
      <c r="J32">
        <v>288</v>
      </c>
      <c r="K32" t="s">
        <v>65</v>
      </c>
      <c r="L32" t="s">
        <v>11</v>
      </c>
      <c r="M32" t="s">
        <v>8</v>
      </c>
      <c r="N32" s="1">
        <v>4469000000</v>
      </c>
      <c r="O32" s="1">
        <v>1507000000</v>
      </c>
      <c r="P32" s="1">
        <v>292100000</v>
      </c>
      <c r="Q32" s="1">
        <v>1023000000</v>
      </c>
      <c r="R32" s="1">
        <v>1957000000</v>
      </c>
      <c r="S32" s="2">
        <f>N32/$N$37</f>
        <v>30.216362407031777</v>
      </c>
    </row>
    <row r="33" spans="1:19" hidden="1" x14ac:dyDescent="0.2">
      <c r="A33" t="s">
        <v>15</v>
      </c>
      <c r="B33" t="s">
        <v>91</v>
      </c>
      <c r="C33" t="s">
        <v>62</v>
      </c>
      <c r="D33" t="s">
        <v>55</v>
      </c>
      <c r="E33" t="s">
        <v>90</v>
      </c>
      <c r="F33" t="s">
        <v>13</v>
      </c>
      <c r="G33" t="s">
        <v>84</v>
      </c>
      <c r="J33">
        <v>48</v>
      </c>
      <c r="K33" t="s">
        <v>65</v>
      </c>
      <c r="L33" t="s">
        <v>12</v>
      </c>
      <c r="M33" t="s">
        <v>8</v>
      </c>
      <c r="N33" s="1">
        <v>4816000000</v>
      </c>
      <c r="O33" s="1">
        <v>1392000000</v>
      </c>
      <c r="P33" s="1">
        <v>231100000</v>
      </c>
      <c r="Q33" s="1">
        <v>966000000</v>
      </c>
      <c r="R33" s="1">
        <v>1801000000</v>
      </c>
      <c r="S33" s="2">
        <f>N33/$N$38</f>
        <v>19.187250996015937</v>
      </c>
    </row>
    <row r="34" spans="1:19" hidden="1" x14ac:dyDescent="0.2">
      <c r="A34" t="s">
        <v>22</v>
      </c>
      <c r="B34" t="s">
        <v>91</v>
      </c>
      <c r="C34" t="s">
        <v>57</v>
      </c>
      <c r="D34" t="s">
        <v>55</v>
      </c>
      <c r="E34" t="s">
        <v>90</v>
      </c>
      <c r="F34" t="s">
        <v>13</v>
      </c>
      <c r="G34" t="s">
        <v>84</v>
      </c>
      <c r="J34">
        <v>288</v>
      </c>
      <c r="K34" t="s">
        <v>66</v>
      </c>
      <c r="L34" t="s">
        <v>7</v>
      </c>
      <c r="M34" t="s">
        <v>8</v>
      </c>
      <c r="N34" s="1">
        <v>358400000</v>
      </c>
      <c r="O34" s="1">
        <v>325100000</v>
      </c>
      <c r="P34" s="1">
        <v>57780000</v>
      </c>
      <c r="Q34" s="1">
        <v>255900000</v>
      </c>
      <c r="R34" s="1">
        <v>480500000</v>
      </c>
      <c r="S34" s="2">
        <f>N34/$N$34</f>
        <v>1</v>
      </c>
    </row>
    <row r="35" spans="1:19" hidden="1" x14ac:dyDescent="0.2">
      <c r="A35" t="s">
        <v>22</v>
      </c>
      <c r="B35" t="s">
        <v>91</v>
      </c>
      <c r="C35" t="s">
        <v>59</v>
      </c>
      <c r="D35" t="s">
        <v>55</v>
      </c>
      <c r="E35" t="s">
        <v>90</v>
      </c>
      <c r="F35" t="s">
        <v>13</v>
      </c>
      <c r="G35" t="s">
        <v>84</v>
      </c>
      <c r="J35">
        <v>288</v>
      </c>
      <c r="K35" t="s">
        <v>66</v>
      </c>
      <c r="L35" t="s">
        <v>9</v>
      </c>
      <c r="M35" t="s">
        <v>8</v>
      </c>
      <c r="N35" s="1">
        <v>592500000</v>
      </c>
      <c r="O35" s="1">
        <v>232700000</v>
      </c>
      <c r="P35" s="1">
        <v>41980000</v>
      </c>
      <c r="Q35" s="1">
        <v>160100000</v>
      </c>
      <c r="R35" s="1">
        <v>295900000</v>
      </c>
      <c r="S35" s="2">
        <f>N35/$N$35</f>
        <v>1</v>
      </c>
    </row>
    <row r="36" spans="1:19" hidden="1" x14ac:dyDescent="0.2">
      <c r="A36" t="s">
        <v>22</v>
      </c>
      <c r="B36" t="s">
        <v>91</v>
      </c>
      <c r="C36" t="s">
        <v>60</v>
      </c>
      <c r="D36" t="s">
        <v>55</v>
      </c>
      <c r="E36" t="s">
        <v>90</v>
      </c>
      <c r="F36" t="s">
        <v>13</v>
      </c>
      <c r="G36" t="s">
        <v>84</v>
      </c>
      <c r="J36">
        <v>48</v>
      </c>
      <c r="K36" t="s">
        <v>66</v>
      </c>
      <c r="L36" t="s">
        <v>10</v>
      </c>
      <c r="M36" t="s">
        <v>8</v>
      </c>
      <c r="N36" s="1">
        <v>385800000</v>
      </c>
      <c r="O36" s="1">
        <v>172000000</v>
      </c>
      <c r="P36" s="1">
        <v>27090000</v>
      </c>
      <c r="Q36" s="1">
        <v>119400000</v>
      </c>
      <c r="R36" s="1">
        <v>215200000</v>
      </c>
      <c r="S36" s="2">
        <f>N36/$N$36</f>
        <v>1</v>
      </c>
    </row>
    <row r="37" spans="1:19" hidden="1" x14ac:dyDescent="0.2">
      <c r="A37" t="s">
        <v>22</v>
      </c>
      <c r="B37" t="s">
        <v>91</v>
      </c>
      <c r="C37" t="s">
        <v>61</v>
      </c>
      <c r="D37" t="s">
        <v>55</v>
      </c>
      <c r="E37" t="s">
        <v>90</v>
      </c>
      <c r="F37" t="s">
        <v>13</v>
      </c>
      <c r="G37" t="s">
        <v>84</v>
      </c>
      <c r="J37">
        <v>288</v>
      </c>
      <c r="K37" t="s">
        <v>66</v>
      </c>
      <c r="L37" t="s">
        <v>11</v>
      </c>
      <c r="M37" t="s">
        <v>8</v>
      </c>
      <c r="N37" s="1">
        <v>147900000</v>
      </c>
      <c r="O37" s="1">
        <v>97280000</v>
      </c>
      <c r="P37" s="1">
        <v>19040000</v>
      </c>
      <c r="Q37" s="1">
        <v>78830000</v>
      </c>
      <c r="R37" s="1">
        <v>148500000</v>
      </c>
      <c r="S37" s="2">
        <f>N37/$N$37</f>
        <v>1</v>
      </c>
    </row>
    <row r="38" spans="1:19" hidden="1" x14ac:dyDescent="0.2">
      <c r="A38" t="s">
        <v>22</v>
      </c>
      <c r="B38" t="s">
        <v>91</v>
      </c>
      <c r="C38" t="s">
        <v>62</v>
      </c>
      <c r="D38" t="s">
        <v>55</v>
      </c>
      <c r="E38" t="s">
        <v>90</v>
      </c>
      <c r="F38" t="s">
        <v>13</v>
      </c>
      <c r="G38" t="s">
        <v>84</v>
      </c>
      <c r="J38">
        <v>48</v>
      </c>
      <c r="K38" t="s">
        <v>66</v>
      </c>
      <c r="L38" t="s">
        <v>12</v>
      </c>
      <c r="M38" t="s">
        <v>8</v>
      </c>
      <c r="N38" s="1">
        <v>251000000</v>
      </c>
      <c r="O38" s="1">
        <v>103200000</v>
      </c>
      <c r="P38" s="1">
        <v>15530000</v>
      </c>
      <c r="Q38" s="1">
        <v>75630000</v>
      </c>
      <c r="R38" s="1">
        <v>135700000</v>
      </c>
      <c r="S38" s="2">
        <f>N38/$N$38</f>
        <v>1</v>
      </c>
    </row>
    <row r="39" spans="1:19" hidden="1" x14ac:dyDescent="0.2">
      <c r="A39" t="s">
        <v>92</v>
      </c>
      <c r="B39" t="s">
        <v>91</v>
      </c>
      <c r="C39" t="s">
        <v>57</v>
      </c>
      <c r="D39" t="s">
        <v>55</v>
      </c>
      <c r="E39" t="s">
        <v>90</v>
      </c>
      <c r="F39" t="s">
        <v>13</v>
      </c>
      <c r="G39" t="s">
        <v>84</v>
      </c>
      <c r="J39">
        <v>288</v>
      </c>
      <c r="K39" t="s">
        <v>67</v>
      </c>
      <c r="L39" t="s">
        <v>7</v>
      </c>
      <c r="M39" t="s">
        <v>8</v>
      </c>
      <c r="N39" s="1">
        <v>2505000000</v>
      </c>
      <c r="O39" s="1">
        <v>583200000</v>
      </c>
      <c r="P39" s="1">
        <v>88920000</v>
      </c>
      <c r="Q39" s="1">
        <v>429000000</v>
      </c>
      <c r="R39" s="1">
        <v>822300000</v>
      </c>
      <c r="S39" s="2">
        <f>N39/$N$34</f>
        <v>6.9893973214285712</v>
      </c>
    </row>
    <row r="40" spans="1:19" hidden="1" x14ac:dyDescent="0.2">
      <c r="A40" t="s">
        <v>92</v>
      </c>
      <c r="B40" t="s">
        <v>91</v>
      </c>
      <c r="C40" t="s">
        <v>59</v>
      </c>
      <c r="D40" t="s">
        <v>55</v>
      </c>
      <c r="E40" t="s">
        <v>90</v>
      </c>
      <c r="F40" t="s">
        <v>13</v>
      </c>
      <c r="G40" t="s">
        <v>84</v>
      </c>
      <c r="J40">
        <v>288</v>
      </c>
      <c r="K40" t="s">
        <v>67</v>
      </c>
      <c r="L40" t="s">
        <v>9</v>
      </c>
      <c r="M40" t="s">
        <v>8</v>
      </c>
      <c r="N40" s="1">
        <v>1857000000</v>
      </c>
      <c r="O40" s="1">
        <v>387700000</v>
      </c>
      <c r="P40" s="1">
        <v>51490000</v>
      </c>
      <c r="Q40" s="1">
        <v>305200000</v>
      </c>
      <c r="R40" s="1">
        <v>586900000</v>
      </c>
      <c r="S40" s="2">
        <f>N40/$N$35</f>
        <v>3.1341772151898732</v>
      </c>
    </row>
    <row r="41" spans="1:19" hidden="1" x14ac:dyDescent="0.2">
      <c r="A41" t="s">
        <v>92</v>
      </c>
      <c r="B41" t="s">
        <v>91</v>
      </c>
      <c r="C41" t="s">
        <v>60</v>
      </c>
      <c r="D41" t="s">
        <v>55</v>
      </c>
      <c r="E41" t="s">
        <v>90</v>
      </c>
      <c r="F41" t="s">
        <v>13</v>
      </c>
      <c r="G41" t="s">
        <v>84</v>
      </c>
      <c r="J41">
        <v>48</v>
      </c>
      <c r="K41" t="s">
        <v>67</v>
      </c>
      <c r="L41" t="s">
        <v>10</v>
      </c>
      <c r="M41" t="s">
        <v>8</v>
      </c>
      <c r="N41" s="1">
        <v>1979000000</v>
      </c>
      <c r="O41" s="1">
        <v>406800000</v>
      </c>
      <c r="P41" s="1">
        <v>76450000</v>
      </c>
      <c r="Q41" s="1">
        <v>288600000</v>
      </c>
      <c r="R41" s="1">
        <v>574000000</v>
      </c>
      <c r="S41" s="2">
        <f>N41/$N$36</f>
        <v>5.1296008294453088</v>
      </c>
    </row>
    <row r="42" spans="1:19" hidden="1" x14ac:dyDescent="0.2">
      <c r="A42" t="s">
        <v>92</v>
      </c>
      <c r="B42" t="s">
        <v>91</v>
      </c>
      <c r="C42" t="s">
        <v>61</v>
      </c>
      <c r="D42" t="s">
        <v>55</v>
      </c>
      <c r="E42" t="s">
        <v>90</v>
      </c>
      <c r="F42" t="s">
        <v>13</v>
      </c>
      <c r="G42" t="s">
        <v>84</v>
      </c>
      <c r="J42">
        <v>288</v>
      </c>
      <c r="K42" t="s">
        <v>67</v>
      </c>
      <c r="L42" t="s">
        <v>11</v>
      </c>
      <c r="M42" t="s">
        <v>8</v>
      </c>
      <c r="N42" s="1">
        <v>2006000000</v>
      </c>
      <c r="O42" s="1">
        <v>296500000</v>
      </c>
      <c r="P42" s="1">
        <v>47550000</v>
      </c>
      <c r="Q42" s="1">
        <v>96360000</v>
      </c>
      <c r="R42" s="1">
        <v>401500000</v>
      </c>
      <c r="S42" s="2">
        <f>N42/$N$37</f>
        <v>13.563218390804598</v>
      </c>
    </row>
    <row r="43" spans="1:19" hidden="1" x14ac:dyDescent="0.2">
      <c r="A43" t="s">
        <v>92</v>
      </c>
      <c r="B43" t="s">
        <v>91</v>
      </c>
      <c r="C43" t="s">
        <v>62</v>
      </c>
      <c r="D43" t="s">
        <v>55</v>
      </c>
      <c r="E43" t="s">
        <v>90</v>
      </c>
      <c r="F43" t="s">
        <v>13</v>
      </c>
      <c r="G43" t="s">
        <v>84</v>
      </c>
      <c r="J43">
        <v>48</v>
      </c>
      <c r="K43" t="s">
        <v>67</v>
      </c>
      <c r="L43" t="s">
        <v>16</v>
      </c>
      <c r="M43" t="s">
        <v>8</v>
      </c>
      <c r="N43" s="1">
        <v>1204000000</v>
      </c>
      <c r="O43" s="1">
        <v>263900000</v>
      </c>
      <c r="P43" s="1">
        <v>41280000</v>
      </c>
      <c r="Q43" s="1">
        <v>195000000</v>
      </c>
      <c r="R43" s="1">
        <v>372500000</v>
      </c>
      <c r="S43" s="2">
        <f>N43/$N$38</f>
        <v>4.7968127490039842</v>
      </c>
    </row>
    <row r="44" spans="1:19" hidden="1" x14ac:dyDescent="0.2">
      <c r="A44" t="s">
        <v>22</v>
      </c>
      <c r="B44" t="s">
        <v>91</v>
      </c>
      <c r="C44" t="s">
        <v>68</v>
      </c>
      <c r="D44" t="s">
        <v>55</v>
      </c>
      <c r="E44" t="s">
        <v>90</v>
      </c>
      <c r="F44" t="s">
        <v>13</v>
      </c>
      <c r="G44" t="s">
        <v>84</v>
      </c>
      <c r="J44">
        <v>4</v>
      </c>
      <c r="K44" t="s">
        <v>69</v>
      </c>
      <c r="L44" t="s">
        <v>7</v>
      </c>
      <c r="M44" t="s">
        <v>8</v>
      </c>
      <c r="N44" s="1">
        <v>228700000</v>
      </c>
      <c r="O44" s="1">
        <v>7675000</v>
      </c>
      <c r="P44" s="1">
        <v>9423000</v>
      </c>
      <c r="Q44" s="1">
        <v>1948000</v>
      </c>
      <c r="R44" s="1">
        <v>51730000</v>
      </c>
      <c r="S44" s="2">
        <f t="shared" ref="S44:S49" si="1">N44/$N$44</f>
        <v>1</v>
      </c>
    </row>
    <row r="45" spans="1:19" hidden="1" x14ac:dyDescent="0.2">
      <c r="A45" t="s">
        <v>23</v>
      </c>
      <c r="B45" t="s">
        <v>91</v>
      </c>
      <c r="C45" t="s">
        <v>68</v>
      </c>
      <c r="D45" t="s">
        <v>55</v>
      </c>
      <c r="E45" t="s">
        <v>90</v>
      </c>
      <c r="F45" t="s">
        <v>13</v>
      </c>
      <c r="G45" t="s">
        <v>84</v>
      </c>
      <c r="J45">
        <v>4</v>
      </c>
      <c r="K45" t="s">
        <v>69</v>
      </c>
      <c r="L45" t="s">
        <v>9</v>
      </c>
      <c r="M45" t="s">
        <v>8</v>
      </c>
      <c r="N45" s="1">
        <v>331800000</v>
      </c>
      <c r="O45" s="1">
        <v>13550000</v>
      </c>
      <c r="P45" s="1">
        <v>14610000</v>
      </c>
      <c r="Q45" s="1">
        <v>1699000</v>
      </c>
      <c r="R45" s="1">
        <v>56680000</v>
      </c>
      <c r="S45" s="2">
        <f t="shared" si="1"/>
        <v>1.4508089199825098</v>
      </c>
    </row>
    <row r="46" spans="1:19" hidden="1" x14ac:dyDescent="0.2">
      <c r="A46" t="s">
        <v>28</v>
      </c>
      <c r="B46" t="s">
        <v>91</v>
      </c>
      <c r="C46" t="s">
        <v>68</v>
      </c>
      <c r="D46" t="s">
        <v>55</v>
      </c>
      <c r="E46" t="s">
        <v>90</v>
      </c>
      <c r="F46" t="s">
        <v>13</v>
      </c>
      <c r="G46" t="s">
        <v>84</v>
      </c>
      <c r="J46">
        <v>4</v>
      </c>
      <c r="K46" t="s">
        <v>69</v>
      </c>
      <c r="L46" t="s">
        <v>10</v>
      </c>
      <c r="M46" t="s">
        <v>8</v>
      </c>
      <c r="N46" s="1">
        <v>495000000</v>
      </c>
      <c r="O46" s="1">
        <v>14620000</v>
      </c>
      <c r="P46" s="1">
        <v>23270000</v>
      </c>
      <c r="Q46" s="1">
        <v>1880000</v>
      </c>
      <c r="R46" s="1">
        <v>142300000</v>
      </c>
      <c r="S46" s="2">
        <f t="shared" si="1"/>
        <v>2.1644075207695672</v>
      </c>
    </row>
    <row r="47" spans="1:19" hidden="1" x14ac:dyDescent="0.2">
      <c r="A47" t="s">
        <v>34</v>
      </c>
      <c r="B47" t="s">
        <v>91</v>
      </c>
      <c r="C47" t="s">
        <v>68</v>
      </c>
      <c r="D47" t="s">
        <v>55</v>
      </c>
      <c r="E47" t="s">
        <v>90</v>
      </c>
      <c r="F47" t="s">
        <v>13</v>
      </c>
      <c r="G47" t="s">
        <v>84</v>
      </c>
      <c r="J47">
        <v>4</v>
      </c>
      <c r="K47" t="s">
        <v>69</v>
      </c>
      <c r="L47" t="s">
        <v>11</v>
      </c>
      <c r="M47" t="s">
        <v>8</v>
      </c>
      <c r="N47" s="1">
        <v>591700000</v>
      </c>
      <c r="O47" s="1">
        <v>19850000</v>
      </c>
      <c r="P47" s="1">
        <v>40590000</v>
      </c>
      <c r="Q47" s="1">
        <v>1488000</v>
      </c>
      <c r="R47" s="1">
        <v>219100000</v>
      </c>
      <c r="S47" s="2">
        <f t="shared" si="1"/>
        <v>2.5872321818976824</v>
      </c>
    </row>
    <row r="48" spans="1:19" hidden="1" x14ac:dyDescent="0.2">
      <c r="A48" t="s">
        <v>15</v>
      </c>
      <c r="B48" t="s">
        <v>91</v>
      </c>
      <c r="C48" t="s">
        <v>68</v>
      </c>
      <c r="D48" t="s">
        <v>55</v>
      </c>
      <c r="E48" t="s">
        <v>90</v>
      </c>
      <c r="F48" t="s">
        <v>13</v>
      </c>
      <c r="G48" t="s">
        <v>84</v>
      </c>
      <c r="J48">
        <v>4</v>
      </c>
      <c r="K48" t="s">
        <v>69</v>
      </c>
      <c r="L48" t="s">
        <v>12</v>
      </c>
      <c r="M48" t="s">
        <v>8</v>
      </c>
      <c r="N48" s="1">
        <v>504600000</v>
      </c>
      <c r="O48" s="1">
        <v>16350000</v>
      </c>
      <c r="P48" s="1">
        <v>33400000</v>
      </c>
      <c r="Q48" s="1">
        <v>1602000</v>
      </c>
      <c r="R48" s="1">
        <v>154300000</v>
      </c>
      <c r="S48" s="2">
        <f t="shared" si="1"/>
        <v>2.2063839090511586</v>
      </c>
    </row>
    <row r="49" spans="1:19" hidden="1" x14ac:dyDescent="0.2">
      <c r="A49" t="s">
        <v>92</v>
      </c>
      <c r="B49" t="s">
        <v>91</v>
      </c>
      <c r="C49" t="s">
        <v>68</v>
      </c>
      <c r="D49" t="s">
        <v>55</v>
      </c>
      <c r="E49" t="s">
        <v>90</v>
      </c>
      <c r="F49" t="s">
        <v>13</v>
      </c>
      <c r="G49" t="s">
        <v>84</v>
      </c>
      <c r="J49">
        <v>4</v>
      </c>
      <c r="K49" t="s">
        <v>69</v>
      </c>
      <c r="L49" t="s">
        <v>16</v>
      </c>
      <c r="M49" t="s">
        <v>8</v>
      </c>
      <c r="N49" s="1">
        <v>2154000000</v>
      </c>
      <c r="O49" s="1">
        <v>60540000</v>
      </c>
      <c r="P49" s="1">
        <v>105800000</v>
      </c>
      <c r="Q49" s="1">
        <v>2446000</v>
      </c>
      <c r="R49" s="1">
        <v>409600000</v>
      </c>
      <c r="S49" s="2">
        <f t="shared" si="1"/>
        <v>9.418452120682117</v>
      </c>
    </row>
    <row r="50" spans="1:19" hidden="1" x14ac:dyDescent="0.2">
      <c r="A50" t="s">
        <v>93</v>
      </c>
      <c r="B50" t="s">
        <v>70</v>
      </c>
      <c r="C50" t="s">
        <v>68</v>
      </c>
      <c r="D50" t="s">
        <v>55</v>
      </c>
      <c r="E50" t="s">
        <v>90</v>
      </c>
      <c r="F50" t="s">
        <v>13</v>
      </c>
      <c r="G50" t="s">
        <v>84</v>
      </c>
      <c r="J50">
        <v>4</v>
      </c>
      <c r="K50" t="s">
        <v>69</v>
      </c>
      <c r="L50" t="s">
        <v>17</v>
      </c>
      <c r="M50" t="s">
        <v>8</v>
      </c>
      <c r="N50" s="1">
        <v>3443000000</v>
      </c>
      <c r="O50" s="1">
        <v>111500000</v>
      </c>
      <c r="P50" s="1">
        <v>141500000</v>
      </c>
      <c r="Q50" s="1">
        <v>1706000</v>
      </c>
      <c r="R50" s="1">
        <v>455200000</v>
      </c>
      <c r="S50" s="2">
        <f>N50/$N$44</f>
        <v>15.054656755574989</v>
      </c>
    </row>
    <row r="51" spans="1:19" hidden="1" x14ac:dyDescent="0.2">
      <c r="A51" t="s">
        <v>94</v>
      </c>
      <c r="B51" t="s">
        <v>70</v>
      </c>
      <c r="C51" t="s">
        <v>68</v>
      </c>
      <c r="D51" t="s">
        <v>55</v>
      </c>
      <c r="E51" t="s">
        <v>90</v>
      </c>
      <c r="F51" t="s">
        <v>13</v>
      </c>
      <c r="G51" t="s">
        <v>84</v>
      </c>
      <c r="J51">
        <v>4</v>
      </c>
      <c r="K51" t="s">
        <v>69</v>
      </c>
      <c r="L51" t="s">
        <v>18</v>
      </c>
      <c r="M51" t="s">
        <v>8</v>
      </c>
      <c r="N51" s="1">
        <v>4580000000</v>
      </c>
      <c r="O51" s="1">
        <v>102300000</v>
      </c>
      <c r="P51" s="1">
        <v>120300000</v>
      </c>
      <c r="Q51" s="1">
        <v>1949000</v>
      </c>
      <c r="R51" s="1">
        <v>394300000</v>
      </c>
      <c r="S51" s="2">
        <f t="shared" ref="S51:S53" si="2">N51/$N$44</f>
        <v>20.026235242675995</v>
      </c>
    </row>
    <row r="52" spans="1:19" hidden="1" x14ac:dyDescent="0.2">
      <c r="A52" t="s">
        <v>95</v>
      </c>
      <c r="B52" t="s">
        <v>70</v>
      </c>
      <c r="C52" t="s">
        <v>68</v>
      </c>
      <c r="D52" t="s">
        <v>55</v>
      </c>
      <c r="E52" t="s">
        <v>90</v>
      </c>
      <c r="F52" t="s">
        <v>13</v>
      </c>
      <c r="G52" t="s">
        <v>84</v>
      </c>
      <c r="J52">
        <v>4</v>
      </c>
      <c r="K52" t="s">
        <v>69</v>
      </c>
      <c r="L52" t="s">
        <v>19</v>
      </c>
      <c r="M52" t="s">
        <v>8</v>
      </c>
      <c r="N52" s="1">
        <v>1471000000</v>
      </c>
      <c r="O52" s="1">
        <v>49350000</v>
      </c>
      <c r="P52" s="1">
        <v>92600000</v>
      </c>
      <c r="Q52" s="1">
        <v>2108000</v>
      </c>
      <c r="R52" s="1">
        <v>326200000</v>
      </c>
      <c r="S52" s="2">
        <f t="shared" si="2"/>
        <v>6.4320069960647137</v>
      </c>
    </row>
    <row r="53" spans="1:19" hidden="1" x14ac:dyDescent="0.2">
      <c r="A53" t="s">
        <v>96</v>
      </c>
      <c r="B53" t="s">
        <v>70</v>
      </c>
      <c r="C53" t="s">
        <v>68</v>
      </c>
      <c r="D53" t="s">
        <v>55</v>
      </c>
      <c r="E53" t="s">
        <v>90</v>
      </c>
      <c r="F53" t="s">
        <v>13</v>
      </c>
      <c r="G53" t="s">
        <v>84</v>
      </c>
      <c r="J53">
        <v>4</v>
      </c>
      <c r="K53" t="s">
        <v>69</v>
      </c>
      <c r="L53" t="s">
        <v>20</v>
      </c>
      <c r="M53" t="s">
        <v>8</v>
      </c>
      <c r="N53" s="1">
        <v>7515000000</v>
      </c>
      <c r="O53" s="1">
        <v>93830000</v>
      </c>
      <c r="P53" s="1">
        <v>148400000</v>
      </c>
      <c r="Q53" s="1">
        <v>1450000</v>
      </c>
      <c r="R53" s="1">
        <v>673200000</v>
      </c>
      <c r="S53" s="2">
        <f t="shared" si="2"/>
        <v>32.85964145168343</v>
      </c>
    </row>
    <row r="54" spans="1:19" hidden="1" x14ac:dyDescent="0.2">
      <c r="A54" t="s">
        <v>53</v>
      </c>
      <c r="B54" t="s">
        <v>89</v>
      </c>
      <c r="C54" t="s">
        <v>68</v>
      </c>
      <c r="D54" t="s">
        <v>55</v>
      </c>
      <c r="E54" t="s">
        <v>90</v>
      </c>
      <c r="F54" t="s">
        <v>13</v>
      </c>
      <c r="G54" t="s">
        <v>84</v>
      </c>
      <c r="J54">
        <v>4</v>
      </c>
      <c r="K54" t="s">
        <v>71</v>
      </c>
      <c r="L54" t="s">
        <v>7</v>
      </c>
      <c r="M54" t="s">
        <v>8</v>
      </c>
      <c r="N54" s="1">
        <v>1227000000</v>
      </c>
      <c r="O54" s="1">
        <v>53980000</v>
      </c>
      <c r="P54" s="1">
        <v>41640000</v>
      </c>
      <c r="Q54" s="1">
        <v>2474000</v>
      </c>
      <c r="R54" s="1">
        <v>143300000</v>
      </c>
      <c r="S54" s="2">
        <f>N54/$N$44</f>
        <v>5.3651071272409272</v>
      </c>
    </row>
    <row r="55" spans="1:19" hidden="1" x14ac:dyDescent="0.2">
      <c r="A55" t="s">
        <v>53</v>
      </c>
      <c r="B55" t="s">
        <v>89</v>
      </c>
      <c r="C55" t="s">
        <v>68</v>
      </c>
      <c r="D55" t="s">
        <v>55</v>
      </c>
      <c r="E55" t="s">
        <v>90</v>
      </c>
      <c r="F55" t="s">
        <v>13</v>
      </c>
      <c r="G55" t="s">
        <v>84</v>
      </c>
      <c r="J55">
        <v>4</v>
      </c>
      <c r="K55" t="s">
        <v>71</v>
      </c>
      <c r="L55" t="s">
        <v>9</v>
      </c>
      <c r="M55" t="s">
        <v>8</v>
      </c>
      <c r="N55" s="1">
        <v>931900000</v>
      </c>
      <c r="O55" s="1">
        <v>21210000</v>
      </c>
      <c r="P55" s="1">
        <v>29460000</v>
      </c>
      <c r="Q55" s="1">
        <v>2890000</v>
      </c>
      <c r="R55" s="1">
        <v>150900000</v>
      </c>
      <c r="S55" s="2">
        <f>N55/$N$44</f>
        <v>4.0747704416265851</v>
      </c>
    </row>
    <row r="56" spans="1:19" hidden="1" x14ac:dyDescent="0.2">
      <c r="A56" t="s">
        <v>53</v>
      </c>
      <c r="B56" t="s">
        <v>89</v>
      </c>
      <c r="C56" t="s">
        <v>68</v>
      </c>
      <c r="D56" t="s">
        <v>55</v>
      </c>
      <c r="E56" t="s">
        <v>90</v>
      </c>
      <c r="F56" t="s">
        <v>13</v>
      </c>
      <c r="G56" t="s">
        <v>84</v>
      </c>
      <c r="J56">
        <v>4</v>
      </c>
      <c r="K56" t="s">
        <v>71</v>
      </c>
      <c r="L56" t="s">
        <v>10</v>
      </c>
      <c r="M56" t="s">
        <v>8</v>
      </c>
      <c r="N56" s="1">
        <v>1461000000</v>
      </c>
      <c r="O56" s="1">
        <v>47450000</v>
      </c>
      <c r="P56" s="1">
        <v>48040000</v>
      </c>
      <c r="Q56" s="1">
        <v>3031000</v>
      </c>
      <c r="R56" s="1">
        <v>179200000</v>
      </c>
      <c r="S56" s="2">
        <f>N56/$N$44</f>
        <v>6.3882815916047226</v>
      </c>
    </row>
    <row r="57" spans="1:19" hidden="1" x14ac:dyDescent="0.2">
      <c r="A57" t="s">
        <v>53</v>
      </c>
      <c r="B57" t="s">
        <v>89</v>
      </c>
      <c r="C57" t="s">
        <v>68</v>
      </c>
      <c r="D57" t="s">
        <v>55</v>
      </c>
      <c r="E57" t="s">
        <v>90</v>
      </c>
      <c r="F57" t="s">
        <v>13</v>
      </c>
      <c r="G57" t="s">
        <v>84</v>
      </c>
      <c r="J57">
        <v>4</v>
      </c>
      <c r="K57" t="s">
        <v>71</v>
      </c>
      <c r="L57" t="s">
        <v>11</v>
      </c>
      <c r="M57" t="s">
        <v>8</v>
      </c>
      <c r="N57" s="1">
        <v>857900000</v>
      </c>
      <c r="O57" s="1">
        <v>63220000</v>
      </c>
      <c r="P57" s="1">
        <v>70230000</v>
      </c>
      <c r="Q57" s="1">
        <v>3730000</v>
      </c>
      <c r="R57" s="1">
        <v>272700000</v>
      </c>
      <c r="S57" s="2">
        <f>N57/$N$44</f>
        <v>3.7512024486226498</v>
      </c>
    </row>
    <row r="58" spans="1:19" hidden="1" x14ac:dyDescent="0.2">
      <c r="A58" t="s">
        <v>53</v>
      </c>
      <c r="B58" t="s">
        <v>89</v>
      </c>
      <c r="C58" t="s">
        <v>68</v>
      </c>
      <c r="D58" t="s">
        <v>55</v>
      </c>
      <c r="E58" t="s">
        <v>90</v>
      </c>
      <c r="F58" t="s">
        <v>13</v>
      </c>
      <c r="G58" t="s">
        <v>84</v>
      </c>
      <c r="J58">
        <v>4</v>
      </c>
      <c r="K58" t="s">
        <v>71</v>
      </c>
      <c r="L58" t="s">
        <v>12</v>
      </c>
      <c r="M58" t="s">
        <v>8</v>
      </c>
      <c r="N58" s="1">
        <v>1401000000</v>
      </c>
      <c r="O58" s="1">
        <v>30980000</v>
      </c>
      <c r="P58" s="1">
        <v>43940000</v>
      </c>
      <c r="Q58" s="1">
        <v>2890000</v>
      </c>
      <c r="R58" s="1">
        <v>164200000</v>
      </c>
      <c r="S58" s="2">
        <f>N58/$N$44</f>
        <v>6.1259291648447745</v>
      </c>
    </row>
    <row r="59" spans="1:19" hidden="1" x14ac:dyDescent="0.2">
      <c r="A59" t="s">
        <v>22</v>
      </c>
      <c r="B59" t="s">
        <v>91</v>
      </c>
      <c r="C59" t="s">
        <v>72</v>
      </c>
      <c r="D59" t="s">
        <v>55</v>
      </c>
      <c r="E59" t="s">
        <v>90</v>
      </c>
      <c r="F59" t="s">
        <v>13</v>
      </c>
      <c r="G59" t="s">
        <v>84</v>
      </c>
      <c r="H59" t="s">
        <v>14</v>
      </c>
      <c r="I59" t="s">
        <v>73</v>
      </c>
      <c r="J59">
        <v>72</v>
      </c>
      <c r="K59" t="s">
        <v>74</v>
      </c>
      <c r="L59" t="s">
        <v>7</v>
      </c>
      <c r="M59" t="s">
        <v>8</v>
      </c>
      <c r="N59" s="1">
        <v>300800000</v>
      </c>
      <c r="O59" s="1">
        <v>9915000</v>
      </c>
      <c r="P59" s="1">
        <v>9057000</v>
      </c>
      <c r="Q59" s="1">
        <v>-18260000</v>
      </c>
      <c r="R59" s="1">
        <v>65930000</v>
      </c>
      <c r="S59" s="2">
        <f>N59/N59</f>
        <v>1</v>
      </c>
    </row>
    <row r="60" spans="1:19" hidden="1" x14ac:dyDescent="0.2">
      <c r="A60" t="s">
        <v>22</v>
      </c>
      <c r="B60" t="s">
        <v>91</v>
      </c>
      <c r="C60" t="s">
        <v>75</v>
      </c>
      <c r="D60" t="s">
        <v>55</v>
      </c>
      <c r="E60" t="s">
        <v>90</v>
      </c>
      <c r="F60" t="s">
        <v>13</v>
      </c>
      <c r="G60" t="s">
        <v>84</v>
      </c>
      <c r="H60" t="s">
        <v>14</v>
      </c>
      <c r="I60" t="s">
        <v>73</v>
      </c>
      <c r="J60">
        <v>72</v>
      </c>
      <c r="K60" t="s">
        <v>74</v>
      </c>
      <c r="L60" t="s">
        <v>9</v>
      </c>
      <c r="M60" t="s">
        <v>8</v>
      </c>
      <c r="N60" s="1">
        <v>254200000</v>
      </c>
      <c r="O60" s="1">
        <v>8381000</v>
      </c>
      <c r="P60" s="1">
        <v>13480000</v>
      </c>
      <c r="Q60" s="1">
        <v>-22280000</v>
      </c>
      <c r="R60" s="1">
        <v>68940000</v>
      </c>
      <c r="S60" s="2">
        <f t="shared" ref="S60:S63" si="3">N60/N60</f>
        <v>1</v>
      </c>
    </row>
    <row r="61" spans="1:19" hidden="1" x14ac:dyDescent="0.2">
      <c r="A61" t="s">
        <v>22</v>
      </c>
      <c r="B61" t="s">
        <v>91</v>
      </c>
      <c r="C61" t="s">
        <v>76</v>
      </c>
      <c r="D61" t="s">
        <v>55</v>
      </c>
      <c r="E61" t="s">
        <v>90</v>
      </c>
      <c r="F61" t="s">
        <v>13</v>
      </c>
      <c r="G61" t="s">
        <v>84</v>
      </c>
      <c r="H61" t="s">
        <v>14</v>
      </c>
      <c r="I61" t="s">
        <v>73</v>
      </c>
      <c r="J61">
        <v>72</v>
      </c>
      <c r="K61" t="s">
        <v>74</v>
      </c>
      <c r="L61" t="s">
        <v>10</v>
      </c>
      <c r="M61" t="s">
        <v>8</v>
      </c>
      <c r="N61" s="1">
        <v>266700000</v>
      </c>
      <c r="O61" s="1">
        <v>8949000</v>
      </c>
      <c r="P61" s="1">
        <v>17260000</v>
      </c>
      <c r="Q61" s="1">
        <v>-16670000</v>
      </c>
      <c r="R61" s="1">
        <v>127900000</v>
      </c>
      <c r="S61" s="2">
        <f t="shared" si="3"/>
        <v>1</v>
      </c>
    </row>
    <row r="62" spans="1:19" hidden="1" x14ac:dyDescent="0.2">
      <c r="A62" t="s">
        <v>22</v>
      </c>
      <c r="B62" t="s">
        <v>91</v>
      </c>
      <c r="C62" t="s">
        <v>77</v>
      </c>
      <c r="D62" t="s">
        <v>55</v>
      </c>
      <c r="E62" t="s">
        <v>90</v>
      </c>
      <c r="F62" t="s">
        <v>13</v>
      </c>
      <c r="G62" t="s">
        <v>84</v>
      </c>
      <c r="H62" t="s">
        <v>14</v>
      </c>
      <c r="I62" t="s">
        <v>73</v>
      </c>
      <c r="J62">
        <v>72</v>
      </c>
      <c r="K62" t="s">
        <v>74</v>
      </c>
      <c r="L62" t="s">
        <v>11</v>
      </c>
      <c r="M62" t="s">
        <v>8</v>
      </c>
      <c r="N62" s="1">
        <v>243000000</v>
      </c>
      <c r="O62" s="1">
        <v>8011000</v>
      </c>
      <c r="P62" s="1">
        <v>11830000</v>
      </c>
      <c r="Q62" s="1">
        <v>-18830000</v>
      </c>
      <c r="R62" s="1">
        <v>55130000</v>
      </c>
      <c r="S62" s="2">
        <f t="shared" si="3"/>
        <v>1</v>
      </c>
    </row>
    <row r="63" spans="1:19" hidden="1" x14ac:dyDescent="0.2">
      <c r="A63" t="s">
        <v>22</v>
      </c>
      <c r="B63" t="s">
        <v>91</v>
      </c>
      <c r="C63" t="s">
        <v>78</v>
      </c>
      <c r="D63" s="7" t="s">
        <v>52</v>
      </c>
      <c r="E63" t="s">
        <v>90</v>
      </c>
      <c r="F63" s="7" t="s">
        <v>52</v>
      </c>
      <c r="G63" t="s">
        <v>84</v>
      </c>
      <c r="H63" t="s">
        <v>14</v>
      </c>
      <c r="I63" t="s">
        <v>73</v>
      </c>
      <c r="J63">
        <v>72</v>
      </c>
      <c r="K63" t="s">
        <v>74</v>
      </c>
      <c r="L63" t="s">
        <v>12</v>
      </c>
      <c r="M63" t="s">
        <v>8</v>
      </c>
      <c r="N63" s="1">
        <v>178500000</v>
      </c>
      <c r="O63" s="1">
        <v>5885000</v>
      </c>
      <c r="P63" s="1">
        <v>6733000</v>
      </c>
      <c r="Q63" s="1">
        <v>-21560000</v>
      </c>
      <c r="R63" s="1">
        <v>29710000</v>
      </c>
      <c r="S63" s="2">
        <f t="shared" si="3"/>
        <v>1</v>
      </c>
    </row>
    <row r="64" spans="1:19" hidden="1" x14ac:dyDescent="0.2">
      <c r="A64" t="s">
        <v>23</v>
      </c>
      <c r="B64" t="s">
        <v>91</v>
      </c>
      <c r="C64" t="s">
        <v>72</v>
      </c>
      <c r="D64" t="s">
        <v>55</v>
      </c>
      <c r="E64" t="s">
        <v>90</v>
      </c>
      <c r="F64" t="s">
        <v>13</v>
      </c>
      <c r="G64" t="s">
        <v>84</v>
      </c>
      <c r="H64" t="s">
        <v>14</v>
      </c>
      <c r="I64" t="s">
        <v>73</v>
      </c>
      <c r="J64">
        <v>72</v>
      </c>
      <c r="K64" t="s">
        <v>74</v>
      </c>
      <c r="L64" t="s">
        <v>16</v>
      </c>
      <c r="M64" t="s">
        <v>8</v>
      </c>
      <c r="N64" s="1">
        <v>734100000</v>
      </c>
      <c r="O64" s="1">
        <v>24200000</v>
      </c>
      <c r="P64" s="1">
        <v>25340000</v>
      </c>
      <c r="Q64" s="1">
        <v>-11790000</v>
      </c>
      <c r="R64" s="1">
        <v>146800000</v>
      </c>
      <c r="S64" s="2">
        <f>N64/N59</f>
        <v>2.4404920212765959</v>
      </c>
    </row>
    <row r="65" spans="1:19" hidden="1" x14ac:dyDescent="0.2">
      <c r="A65" t="s">
        <v>23</v>
      </c>
      <c r="B65" t="s">
        <v>91</v>
      </c>
      <c r="C65" t="s">
        <v>75</v>
      </c>
      <c r="D65" t="s">
        <v>55</v>
      </c>
      <c r="E65" t="s">
        <v>90</v>
      </c>
      <c r="F65" t="s">
        <v>13</v>
      </c>
      <c r="G65" t="s">
        <v>84</v>
      </c>
      <c r="H65" t="s">
        <v>14</v>
      </c>
      <c r="I65" t="s">
        <v>73</v>
      </c>
      <c r="J65">
        <v>72</v>
      </c>
      <c r="K65" t="s">
        <v>74</v>
      </c>
      <c r="L65" t="s">
        <v>17</v>
      </c>
      <c r="M65" t="s">
        <v>8</v>
      </c>
      <c r="N65" s="1">
        <v>1292000000</v>
      </c>
      <c r="O65" s="1">
        <v>42610000</v>
      </c>
      <c r="P65" s="1">
        <v>61830000</v>
      </c>
      <c r="Q65" s="1">
        <v>-11800000</v>
      </c>
      <c r="R65" s="1">
        <v>254700000</v>
      </c>
      <c r="S65" s="2">
        <f t="shared" ref="S65:S68" si="4">N65/N60</f>
        <v>5.0826121164437454</v>
      </c>
    </row>
    <row r="66" spans="1:19" hidden="1" x14ac:dyDescent="0.2">
      <c r="A66" t="s">
        <v>23</v>
      </c>
      <c r="B66" t="s">
        <v>91</v>
      </c>
      <c r="C66" t="s">
        <v>76</v>
      </c>
      <c r="D66" t="s">
        <v>55</v>
      </c>
      <c r="E66" t="s">
        <v>90</v>
      </c>
      <c r="F66" t="s">
        <v>13</v>
      </c>
      <c r="G66" t="s">
        <v>84</v>
      </c>
      <c r="H66" t="s">
        <v>14</v>
      </c>
      <c r="I66" t="s">
        <v>73</v>
      </c>
      <c r="J66">
        <v>72</v>
      </c>
      <c r="K66" t="s">
        <v>74</v>
      </c>
      <c r="L66" t="s">
        <v>18</v>
      </c>
      <c r="M66" t="s">
        <v>8</v>
      </c>
      <c r="N66" s="1">
        <v>1477000000</v>
      </c>
      <c r="O66" s="1">
        <v>48700000</v>
      </c>
      <c r="P66" s="1">
        <v>65340000</v>
      </c>
      <c r="Q66" s="1">
        <v>-16210000</v>
      </c>
      <c r="R66" s="1">
        <v>228100000</v>
      </c>
      <c r="S66" s="2">
        <f t="shared" si="4"/>
        <v>5.5380577427821525</v>
      </c>
    </row>
    <row r="67" spans="1:19" hidden="1" x14ac:dyDescent="0.2">
      <c r="A67" t="s">
        <v>23</v>
      </c>
      <c r="B67" t="s">
        <v>91</v>
      </c>
      <c r="C67" t="s">
        <v>77</v>
      </c>
      <c r="D67" t="s">
        <v>55</v>
      </c>
      <c r="E67" t="s">
        <v>90</v>
      </c>
      <c r="F67" t="s">
        <v>13</v>
      </c>
      <c r="G67" t="s">
        <v>84</v>
      </c>
      <c r="H67" t="s">
        <v>14</v>
      </c>
      <c r="I67" t="s">
        <v>73</v>
      </c>
      <c r="J67">
        <v>72</v>
      </c>
      <c r="K67" t="s">
        <v>74</v>
      </c>
      <c r="L67" t="s">
        <v>19</v>
      </c>
      <c r="M67" t="s">
        <v>8</v>
      </c>
      <c r="N67" s="1">
        <v>1471000000</v>
      </c>
      <c r="O67" s="1">
        <v>49350000</v>
      </c>
      <c r="P67" s="1">
        <v>60630000</v>
      </c>
      <c r="Q67" s="1">
        <v>-15000000</v>
      </c>
      <c r="R67" s="1">
        <v>232400000</v>
      </c>
      <c r="S67" s="2">
        <f t="shared" si="4"/>
        <v>6.0534979423868309</v>
      </c>
    </row>
    <row r="68" spans="1:19" hidden="1" x14ac:dyDescent="0.2">
      <c r="A68" t="s">
        <v>23</v>
      </c>
      <c r="B68" t="s">
        <v>91</v>
      </c>
      <c r="C68" t="s">
        <v>78</v>
      </c>
      <c r="D68" s="7" t="s">
        <v>52</v>
      </c>
      <c r="E68" t="s">
        <v>90</v>
      </c>
      <c r="F68" s="7" t="s">
        <v>52</v>
      </c>
      <c r="G68" t="s">
        <v>84</v>
      </c>
      <c r="H68" t="s">
        <v>14</v>
      </c>
      <c r="I68" t="s">
        <v>73</v>
      </c>
      <c r="J68">
        <v>72</v>
      </c>
      <c r="K68" t="s">
        <v>74</v>
      </c>
      <c r="L68" t="s">
        <v>20</v>
      </c>
      <c r="M68" t="s">
        <v>8</v>
      </c>
      <c r="N68" s="1">
        <v>325200000</v>
      </c>
      <c r="O68" s="1">
        <v>10720000</v>
      </c>
      <c r="P68" s="1">
        <v>7225000</v>
      </c>
      <c r="Q68" s="1">
        <v>-14090000</v>
      </c>
      <c r="R68" s="1">
        <v>51900000</v>
      </c>
      <c r="S68" s="2">
        <f t="shared" si="4"/>
        <v>1.8218487394957983</v>
      </c>
    </row>
    <row r="69" spans="1:19" hidden="1" x14ac:dyDescent="0.2">
      <c r="A69" t="s">
        <v>34</v>
      </c>
      <c r="B69" t="s">
        <v>91</v>
      </c>
      <c r="C69" t="s">
        <v>72</v>
      </c>
      <c r="D69" t="s">
        <v>55</v>
      </c>
      <c r="E69" t="s">
        <v>90</v>
      </c>
      <c r="F69" t="s">
        <v>13</v>
      </c>
      <c r="G69" t="s">
        <v>84</v>
      </c>
      <c r="H69" t="s">
        <v>14</v>
      </c>
      <c r="I69" t="s">
        <v>73</v>
      </c>
      <c r="J69">
        <v>72</v>
      </c>
      <c r="K69" t="s">
        <v>74</v>
      </c>
      <c r="L69" t="s">
        <v>24</v>
      </c>
      <c r="M69" t="s">
        <v>8</v>
      </c>
      <c r="N69" s="1">
        <v>713000000</v>
      </c>
      <c r="O69" s="1">
        <v>23920000</v>
      </c>
      <c r="P69" s="1">
        <v>27710000</v>
      </c>
      <c r="Q69" s="1">
        <v>-13310000</v>
      </c>
      <c r="R69" s="1">
        <v>128000000</v>
      </c>
      <c r="S69" s="2">
        <f>N69/N59</f>
        <v>2.3703457446808511</v>
      </c>
    </row>
    <row r="70" spans="1:19" hidden="1" x14ac:dyDescent="0.2">
      <c r="A70" t="s">
        <v>34</v>
      </c>
      <c r="B70" t="s">
        <v>91</v>
      </c>
      <c r="C70" t="s">
        <v>75</v>
      </c>
      <c r="D70" t="s">
        <v>55</v>
      </c>
      <c r="E70" t="s">
        <v>90</v>
      </c>
      <c r="F70" t="s">
        <v>13</v>
      </c>
      <c r="G70" t="s">
        <v>84</v>
      </c>
      <c r="H70" t="s">
        <v>14</v>
      </c>
      <c r="I70" t="s">
        <v>73</v>
      </c>
      <c r="J70">
        <v>72</v>
      </c>
      <c r="K70" t="s">
        <v>74</v>
      </c>
      <c r="L70" t="s">
        <v>25</v>
      </c>
      <c r="M70" t="s">
        <v>8</v>
      </c>
      <c r="N70" s="1">
        <v>981600000</v>
      </c>
      <c r="O70" s="1">
        <v>32940000</v>
      </c>
      <c r="P70" s="1">
        <v>53740000</v>
      </c>
      <c r="Q70" s="1">
        <v>-14020000</v>
      </c>
      <c r="R70" s="1">
        <v>216900000</v>
      </c>
      <c r="S70" s="2">
        <f t="shared" ref="S70:S73" si="5">N70/N60</f>
        <v>3.8615263571990557</v>
      </c>
    </row>
    <row r="71" spans="1:19" hidden="1" x14ac:dyDescent="0.2">
      <c r="A71" t="s">
        <v>34</v>
      </c>
      <c r="B71" t="s">
        <v>91</v>
      </c>
      <c r="C71" t="s">
        <v>76</v>
      </c>
      <c r="D71" t="s">
        <v>55</v>
      </c>
      <c r="E71" t="s">
        <v>90</v>
      </c>
      <c r="F71" t="s">
        <v>13</v>
      </c>
      <c r="G71" t="s">
        <v>84</v>
      </c>
      <c r="H71" t="s">
        <v>14</v>
      </c>
      <c r="I71" t="s">
        <v>73</v>
      </c>
      <c r="J71">
        <v>72</v>
      </c>
      <c r="K71" t="s">
        <v>74</v>
      </c>
      <c r="L71" t="s">
        <v>26</v>
      </c>
      <c r="M71" t="s">
        <v>8</v>
      </c>
      <c r="N71" s="1">
        <v>1916000000</v>
      </c>
      <c r="O71" s="1">
        <v>62050000</v>
      </c>
      <c r="P71" s="1">
        <v>98590000</v>
      </c>
      <c r="Q71" s="1">
        <v>-9259000</v>
      </c>
      <c r="R71" s="1">
        <v>936200000</v>
      </c>
      <c r="S71" s="2">
        <f t="shared" si="5"/>
        <v>7.1841019872515934</v>
      </c>
    </row>
    <row r="72" spans="1:19" hidden="1" x14ac:dyDescent="0.2">
      <c r="A72" t="s">
        <v>34</v>
      </c>
      <c r="B72" t="s">
        <v>91</v>
      </c>
      <c r="C72" t="s">
        <v>77</v>
      </c>
      <c r="D72" t="s">
        <v>55</v>
      </c>
      <c r="E72" t="s">
        <v>90</v>
      </c>
      <c r="F72" t="s">
        <v>13</v>
      </c>
      <c r="G72" t="s">
        <v>84</v>
      </c>
      <c r="H72" t="s">
        <v>14</v>
      </c>
      <c r="I72" t="s">
        <v>73</v>
      </c>
      <c r="J72">
        <v>72</v>
      </c>
      <c r="K72" t="s">
        <v>74</v>
      </c>
      <c r="L72" t="s">
        <v>27</v>
      </c>
      <c r="M72" t="s">
        <v>8</v>
      </c>
      <c r="N72" s="1">
        <v>1705000000</v>
      </c>
      <c r="O72" s="1">
        <v>56210000</v>
      </c>
      <c r="P72" s="1">
        <v>71010000</v>
      </c>
      <c r="Q72" s="1">
        <v>-8730000</v>
      </c>
      <c r="R72" s="1">
        <v>225600000</v>
      </c>
      <c r="S72" s="2">
        <f t="shared" si="5"/>
        <v>7.0164609053497946</v>
      </c>
    </row>
    <row r="73" spans="1:19" hidden="1" x14ac:dyDescent="0.2">
      <c r="A73" t="s">
        <v>34</v>
      </c>
      <c r="B73" t="s">
        <v>91</v>
      </c>
      <c r="C73" t="s">
        <v>78</v>
      </c>
      <c r="D73" s="7" t="s">
        <v>52</v>
      </c>
      <c r="E73" t="s">
        <v>90</v>
      </c>
      <c r="F73" s="7" t="s">
        <v>52</v>
      </c>
      <c r="G73" t="s">
        <v>84</v>
      </c>
      <c r="H73" t="s">
        <v>14</v>
      </c>
      <c r="I73" t="s">
        <v>73</v>
      </c>
      <c r="J73">
        <v>72</v>
      </c>
      <c r="K73" t="s">
        <v>74</v>
      </c>
      <c r="L73" t="s">
        <v>29</v>
      </c>
      <c r="M73" t="s">
        <v>8</v>
      </c>
      <c r="N73" s="1">
        <v>346200000</v>
      </c>
      <c r="O73" s="1">
        <v>11620000</v>
      </c>
      <c r="P73" s="1">
        <v>9214000</v>
      </c>
      <c r="Q73" s="1">
        <v>-9238000</v>
      </c>
      <c r="R73" s="1">
        <v>68900000</v>
      </c>
      <c r="S73" s="2">
        <f t="shared" si="5"/>
        <v>1.9394957983193277</v>
      </c>
    </row>
    <row r="74" spans="1:19" hidden="1" x14ac:dyDescent="0.2">
      <c r="A74" t="s">
        <v>53</v>
      </c>
      <c r="B74" t="s">
        <v>89</v>
      </c>
      <c r="C74" t="s">
        <v>72</v>
      </c>
      <c r="D74" t="s">
        <v>55</v>
      </c>
      <c r="E74" t="s">
        <v>90</v>
      </c>
      <c r="F74" t="s">
        <v>13</v>
      </c>
      <c r="G74" t="s">
        <v>84</v>
      </c>
      <c r="H74" t="s">
        <v>14</v>
      </c>
      <c r="I74" t="s">
        <v>73</v>
      </c>
      <c r="J74">
        <v>72</v>
      </c>
      <c r="K74" t="s">
        <v>74</v>
      </c>
      <c r="L74" t="s">
        <v>30</v>
      </c>
      <c r="M74" t="s">
        <v>8</v>
      </c>
      <c r="N74" s="1">
        <v>21500000000</v>
      </c>
      <c r="O74" s="1">
        <v>292800000</v>
      </c>
      <c r="P74" s="1">
        <v>472900000</v>
      </c>
      <c r="Q74" s="1">
        <v>-13450000</v>
      </c>
      <c r="R74" s="1">
        <v>2636000000</v>
      </c>
      <c r="S74" s="2">
        <f>N74/N59</f>
        <v>71.476063829787236</v>
      </c>
    </row>
    <row r="75" spans="1:19" hidden="1" x14ac:dyDescent="0.2">
      <c r="A75" t="s">
        <v>53</v>
      </c>
      <c r="B75" t="s">
        <v>89</v>
      </c>
      <c r="C75" t="s">
        <v>75</v>
      </c>
      <c r="D75" t="s">
        <v>55</v>
      </c>
      <c r="E75" t="s">
        <v>90</v>
      </c>
      <c r="F75" t="s">
        <v>13</v>
      </c>
      <c r="G75" t="s">
        <v>84</v>
      </c>
      <c r="H75" t="s">
        <v>14</v>
      </c>
      <c r="I75" t="s">
        <v>73</v>
      </c>
      <c r="J75">
        <v>72</v>
      </c>
      <c r="K75" t="s">
        <v>74</v>
      </c>
      <c r="L75" t="s">
        <v>31</v>
      </c>
      <c r="M75" t="s">
        <v>8</v>
      </c>
      <c r="N75" s="1">
        <v>73230000000</v>
      </c>
      <c r="O75" s="1">
        <v>759700000</v>
      </c>
      <c r="P75" s="1">
        <v>1181000000</v>
      </c>
      <c r="Q75" s="1">
        <v>-8630000</v>
      </c>
      <c r="R75" s="1">
        <v>7598000000</v>
      </c>
      <c r="S75" s="2">
        <f t="shared" ref="S75:S78" si="6">N75/N60</f>
        <v>288.08025177025962</v>
      </c>
    </row>
    <row r="76" spans="1:19" hidden="1" x14ac:dyDescent="0.2">
      <c r="A76" t="s">
        <v>53</v>
      </c>
      <c r="B76" t="s">
        <v>89</v>
      </c>
      <c r="C76" t="s">
        <v>76</v>
      </c>
      <c r="D76" t="s">
        <v>55</v>
      </c>
      <c r="E76" t="s">
        <v>90</v>
      </c>
      <c r="F76" t="s">
        <v>13</v>
      </c>
      <c r="G76" t="s">
        <v>84</v>
      </c>
      <c r="H76" t="s">
        <v>14</v>
      </c>
      <c r="I76" t="s">
        <v>73</v>
      </c>
      <c r="J76">
        <v>72</v>
      </c>
      <c r="K76" t="s">
        <v>74</v>
      </c>
      <c r="L76" t="s">
        <v>32</v>
      </c>
      <c r="M76" t="s">
        <v>8</v>
      </c>
      <c r="N76" s="1">
        <v>38870000000</v>
      </c>
      <c r="O76" s="1">
        <v>422500000</v>
      </c>
      <c r="P76" s="1">
        <v>729000000</v>
      </c>
      <c r="Q76" s="1">
        <v>-8781000</v>
      </c>
      <c r="R76" s="1">
        <v>3580000000</v>
      </c>
      <c r="S76" s="2">
        <f t="shared" si="6"/>
        <v>145.74428196475441</v>
      </c>
    </row>
    <row r="77" spans="1:19" hidden="1" x14ac:dyDescent="0.2">
      <c r="A77" t="s">
        <v>53</v>
      </c>
      <c r="B77" t="s">
        <v>89</v>
      </c>
      <c r="C77" t="s">
        <v>77</v>
      </c>
      <c r="D77" t="s">
        <v>55</v>
      </c>
      <c r="E77" t="s">
        <v>90</v>
      </c>
      <c r="F77" t="s">
        <v>13</v>
      </c>
      <c r="G77" t="s">
        <v>84</v>
      </c>
      <c r="H77" t="s">
        <v>14</v>
      </c>
      <c r="I77" t="s">
        <v>73</v>
      </c>
      <c r="J77">
        <v>72</v>
      </c>
      <c r="K77" t="s">
        <v>74</v>
      </c>
      <c r="L77" t="s">
        <v>33</v>
      </c>
      <c r="M77" t="s">
        <v>8</v>
      </c>
      <c r="N77" s="1">
        <v>69690000000</v>
      </c>
      <c r="O77" s="1">
        <v>633800000</v>
      </c>
      <c r="P77" s="1">
        <v>1246000000</v>
      </c>
      <c r="Q77" s="1">
        <v>-10790000</v>
      </c>
      <c r="R77" s="1">
        <v>7848000000</v>
      </c>
      <c r="S77" s="2">
        <f t="shared" si="6"/>
        <v>286.79012345679013</v>
      </c>
    </row>
    <row r="78" spans="1:19" hidden="1" x14ac:dyDescent="0.2">
      <c r="A78" t="s">
        <v>53</v>
      </c>
      <c r="B78" t="s">
        <v>89</v>
      </c>
      <c r="C78" t="s">
        <v>78</v>
      </c>
      <c r="D78" s="7" t="s">
        <v>52</v>
      </c>
      <c r="E78" t="s">
        <v>90</v>
      </c>
      <c r="F78" s="7" t="s">
        <v>52</v>
      </c>
      <c r="G78" t="s">
        <v>84</v>
      </c>
      <c r="H78" t="s">
        <v>14</v>
      </c>
      <c r="I78" t="s">
        <v>73</v>
      </c>
      <c r="J78">
        <v>72</v>
      </c>
      <c r="K78" t="s">
        <v>74</v>
      </c>
      <c r="L78" t="s">
        <v>35</v>
      </c>
      <c r="M78" t="s">
        <v>8</v>
      </c>
      <c r="N78" s="1">
        <v>202600000</v>
      </c>
      <c r="O78" s="1">
        <v>45440000</v>
      </c>
      <c r="P78" s="1">
        <v>53270000</v>
      </c>
      <c r="Q78" s="1">
        <v>-19080000</v>
      </c>
      <c r="R78" s="1">
        <v>515300000</v>
      </c>
      <c r="S78" s="2">
        <f t="shared" si="6"/>
        <v>1.1350140056022409</v>
      </c>
    </row>
    <row r="79" spans="1:19" hidden="1" x14ac:dyDescent="0.2">
      <c r="A79" t="s">
        <v>15</v>
      </c>
      <c r="B79" t="s">
        <v>91</v>
      </c>
      <c r="C79" t="s">
        <v>72</v>
      </c>
      <c r="D79" t="s">
        <v>55</v>
      </c>
      <c r="E79" t="s">
        <v>90</v>
      </c>
      <c r="F79" t="s">
        <v>13</v>
      </c>
      <c r="G79" t="s">
        <v>84</v>
      </c>
      <c r="H79" t="s">
        <v>14</v>
      </c>
      <c r="I79" t="s">
        <v>73</v>
      </c>
      <c r="J79">
        <v>72</v>
      </c>
      <c r="K79" t="s">
        <v>74</v>
      </c>
      <c r="L79" t="s">
        <v>36</v>
      </c>
      <c r="M79" t="s">
        <v>8</v>
      </c>
      <c r="N79" s="1">
        <v>1470000000</v>
      </c>
      <c r="O79" s="1">
        <v>58750000</v>
      </c>
      <c r="P79" s="1">
        <v>93530000</v>
      </c>
      <c r="Q79" s="1">
        <v>-10200000</v>
      </c>
      <c r="R79" s="1">
        <v>391000000</v>
      </c>
      <c r="S79" s="2">
        <f>N79/N59</f>
        <v>4.8869680851063828</v>
      </c>
    </row>
    <row r="80" spans="1:19" hidden="1" x14ac:dyDescent="0.2">
      <c r="A80" t="s">
        <v>15</v>
      </c>
      <c r="B80" t="s">
        <v>91</v>
      </c>
      <c r="C80" t="s">
        <v>75</v>
      </c>
      <c r="D80" t="s">
        <v>55</v>
      </c>
      <c r="E80" t="s">
        <v>90</v>
      </c>
      <c r="F80" t="s">
        <v>13</v>
      </c>
      <c r="G80" t="s">
        <v>84</v>
      </c>
      <c r="H80" t="s">
        <v>14</v>
      </c>
      <c r="I80" t="s">
        <v>73</v>
      </c>
      <c r="J80">
        <v>72</v>
      </c>
      <c r="K80" t="s">
        <v>74</v>
      </c>
      <c r="L80" t="s">
        <v>37</v>
      </c>
      <c r="M80" t="s">
        <v>8</v>
      </c>
      <c r="N80" s="1">
        <v>1459000000</v>
      </c>
      <c r="O80" s="1">
        <v>71000000</v>
      </c>
      <c r="P80" s="1">
        <v>119400000</v>
      </c>
      <c r="Q80" s="1">
        <v>-8878000</v>
      </c>
      <c r="R80" s="1">
        <v>470300000</v>
      </c>
      <c r="S80" s="2">
        <f t="shared" ref="S80:S83" si="7">N80/N60</f>
        <v>5.7395751376868605</v>
      </c>
    </row>
    <row r="81" spans="1:19" hidden="1" x14ac:dyDescent="0.2">
      <c r="A81" t="s">
        <v>15</v>
      </c>
      <c r="B81" t="s">
        <v>91</v>
      </c>
      <c r="C81" t="s">
        <v>76</v>
      </c>
      <c r="D81" t="s">
        <v>55</v>
      </c>
      <c r="E81" t="s">
        <v>90</v>
      </c>
      <c r="F81" t="s">
        <v>13</v>
      </c>
      <c r="G81" t="s">
        <v>84</v>
      </c>
      <c r="H81" t="s">
        <v>14</v>
      </c>
      <c r="I81" t="s">
        <v>73</v>
      </c>
      <c r="J81">
        <v>72</v>
      </c>
      <c r="K81" t="s">
        <v>74</v>
      </c>
      <c r="L81" t="s">
        <v>38</v>
      </c>
      <c r="M81" t="s">
        <v>8</v>
      </c>
      <c r="N81" s="1">
        <v>1684000000</v>
      </c>
      <c r="O81" s="1">
        <v>100400000</v>
      </c>
      <c r="P81" s="1">
        <v>195200000</v>
      </c>
      <c r="Q81" s="1">
        <v>-13860000</v>
      </c>
      <c r="R81" s="1">
        <v>839100000</v>
      </c>
      <c r="S81" s="2">
        <f t="shared" si="7"/>
        <v>6.3142107236595422</v>
      </c>
    </row>
    <row r="82" spans="1:19" hidden="1" x14ac:dyDescent="0.2">
      <c r="A82" t="s">
        <v>15</v>
      </c>
      <c r="B82" t="s">
        <v>91</v>
      </c>
      <c r="C82" t="s">
        <v>77</v>
      </c>
      <c r="D82" t="s">
        <v>55</v>
      </c>
      <c r="E82" t="s">
        <v>90</v>
      </c>
      <c r="F82" t="s">
        <v>13</v>
      </c>
      <c r="G82" t="s">
        <v>84</v>
      </c>
      <c r="H82" t="s">
        <v>14</v>
      </c>
      <c r="I82" t="s">
        <v>73</v>
      </c>
      <c r="J82">
        <v>72</v>
      </c>
      <c r="K82" t="s">
        <v>74</v>
      </c>
      <c r="L82" t="s">
        <v>39</v>
      </c>
      <c r="M82" t="s">
        <v>8</v>
      </c>
      <c r="N82" s="1">
        <v>1471000000</v>
      </c>
      <c r="O82" s="1">
        <v>68620000</v>
      </c>
      <c r="P82" s="1">
        <v>118500000</v>
      </c>
      <c r="Q82" s="1">
        <v>-11310000</v>
      </c>
      <c r="R82" s="1">
        <v>604500000</v>
      </c>
      <c r="S82" s="2">
        <f t="shared" si="7"/>
        <v>6.0534979423868309</v>
      </c>
    </row>
    <row r="83" spans="1:19" hidden="1" x14ac:dyDescent="0.2">
      <c r="A83" t="s">
        <v>15</v>
      </c>
      <c r="B83" t="s">
        <v>91</v>
      </c>
      <c r="C83" t="s">
        <v>78</v>
      </c>
      <c r="D83" s="7" t="s">
        <v>52</v>
      </c>
      <c r="E83" t="s">
        <v>90</v>
      </c>
      <c r="F83" s="7" t="s">
        <v>52</v>
      </c>
      <c r="G83" t="s">
        <v>84</v>
      </c>
      <c r="H83" t="s">
        <v>14</v>
      </c>
      <c r="I83" t="s">
        <v>73</v>
      </c>
      <c r="J83">
        <v>72</v>
      </c>
      <c r="K83" t="s">
        <v>74</v>
      </c>
      <c r="L83" t="s">
        <v>21</v>
      </c>
      <c r="M83" t="s">
        <v>8</v>
      </c>
      <c r="N83" s="1">
        <v>251100000</v>
      </c>
      <c r="O83" s="1">
        <v>13680000</v>
      </c>
      <c r="P83" s="1">
        <v>7059000</v>
      </c>
      <c r="Q83" s="1">
        <v>-8654000</v>
      </c>
      <c r="R83" s="1">
        <v>43710000</v>
      </c>
      <c r="S83" s="2">
        <f t="shared" si="7"/>
        <v>1.4067226890756304</v>
      </c>
    </row>
    <row r="84" spans="1:19" hidden="1" x14ac:dyDescent="0.2">
      <c r="A84" t="s">
        <v>28</v>
      </c>
      <c r="B84" t="s">
        <v>91</v>
      </c>
      <c r="C84" t="s">
        <v>72</v>
      </c>
      <c r="D84" t="s">
        <v>55</v>
      </c>
      <c r="E84" t="s">
        <v>90</v>
      </c>
      <c r="F84" t="s">
        <v>13</v>
      </c>
      <c r="G84" t="s">
        <v>84</v>
      </c>
      <c r="H84" t="s">
        <v>14</v>
      </c>
      <c r="I84" t="s">
        <v>73</v>
      </c>
      <c r="J84">
        <v>72</v>
      </c>
      <c r="K84" t="s">
        <v>74</v>
      </c>
      <c r="L84" t="s">
        <v>40</v>
      </c>
      <c r="M84" t="s">
        <v>8</v>
      </c>
      <c r="N84" s="1">
        <v>424200000</v>
      </c>
      <c r="O84" s="1">
        <v>23440000</v>
      </c>
      <c r="P84" s="1">
        <v>20970000</v>
      </c>
      <c r="Q84" s="1">
        <v>-7690000</v>
      </c>
      <c r="R84" s="1">
        <v>155900000</v>
      </c>
      <c r="S84" s="2">
        <f>N84/N59</f>
        <v>1.4102393617021276</v>
      </c>
    </row>
    <row r="85" spans="1:19" hidden="1" x14ac:dyDescent="0.2">
      <c r="A85" t="s">
        <v>28</v>
      </c>
      <c r="B85" t="s">
        <v>91</v>
      </c>
      <c r="C85" t="s">
        <v>75</v>
      </c>
      <c r="D85" t="s">
        <v>55</v>
      </c>
      <c r="E85" t="s">
        <v>90</v>
      </c>
      <c r="F85" t="s">
        <v>13</v>
      </c>
      <c r="G85" t="s">
        <v>84</v>
      </c>
      <c r="H85" t="s">
        <v>14</v>
      </c>
      <c r="I85" t="s">
        <v>73</v>
      </c>
      <c r="J85">
        <v>72</v>
      </c>
      <c r="K85" t="s">
        <v>74</v>
      </c>
      <c r="L85" t="s">
        <v>41</v>
      </c>
      <c r="M85" t="s">
        <v>8</v>
      </c>
      <c r="N85" s="1">
        <v>1341000000</v>
      </c>
      <c r="O85" s="1">
        <v>75390000</v>
      </c>
      <c r="P85" s="1">
        <v>96750000</v>
      </c>
      <c r="Q85" s="1">
        <v>-11980000</v>
      </c>
      <c r="R85" s="1">
        <v>462100000</v>
      </c>
      <c r="S85" s="2">
        <f>N85/N60</f>
        <v>5.2753737214791503</v>
      </c>
    </row>
    <row r="86" spans="1:19" hidden="1" x14ac:dyDescent="0.2">
      <c r="A86" t="s">
        <v>28</v>
      </c>
      <c r="B86" t="s">
        <v>91</v>
      </c>
      <c r="C86" t="s">
        <v>76</v>
      </c>
      <c r="D86" t="s">
        <v>55</v>
      </c>
      <c r="E86" t="s">
        <v>90</v>
      </c>
      <c r="F86" t="s">
        <v>13</v>
      </c>
      <c r="G86" t="s">
        <v>84</v>
      </c>
      <c r="H86" t="s">
        <v>14</v>
      </c>
      <c r="I86" t="s">
        <v>73</v>
      </c>
      <c r="J86">
        <v>72</v>
      </c>
      <c r="K86" t="s">
        <v>74</v>
      </c>
      <c r="L86" t="s">
        <v>42</v>
      </c>
      <c r="M86" t="s">
        <v>8</v>
      </c>
      <c r="N86" s="1">
        <v>1388000000</v>
      </c>
      <c r="O86" s="1">
        <v>65610000</v>
      </c>
      <c r="P86" s="1">
        <v>102300000</v>
      </c>
      <c r="Q86" s="1">
        <v>-15900000</v>
      </c>
      <c r="R86" s="1">
        <v>460900000</v>
      </c>
      <c r="S86" s="2">
        <f>N86/N61</f>
        <v>5.20434945631796</v>
      </c>
    </row>
    <row r="87" spans="1:19" hidden="1" x14ac:dyDescent="0.2">
      <c r="A87" t="s">
        <v>28</v>
      </c>
      <c r="B87" t="s">
        <v>91</v>
      </c>
      <c r="C87" t="s">
        <v>77</v>
      </c>
      <c r="D87" t="s">
        <v>55</v>
      </c>
      <c r="E87" t="s">
        <v>90</v>
      </c>
      <c r="F87" t="s">
        <v>13</v>
      </c>
      <c r="G87" t="s">
        <v>84</v>
      </c>
      <c r="H87" t="s">
        <v>14</v>
      </c>
      <c r="I87" t="s">
        <v>73</v>
      </c>
      <c r="J87">
        <v>72</v>
      </c>
      <c r="K87" t="s">
        <v>74</v>
      </c>
      <c r="L87" t="s">
        <v>79</v>
      </c>
      <c r="M87" t="s">
        <v>8</v>
      </c>
      <c r="N87" s="1">
        <v>521600000</v>
      </c>
      <c r="O87" s="1">
        <v>24090000</v>
      </c>
      <c r="P87" s="1">
        <v>30850000</v>
      </c>
      <c r="Q87" s="1">
        <v>-15690000</v>
      </c>
      <c r="R87" s="1">
        <v>148900000</v>
      </c>
      <c r="S87" s="2">
        <f t="shared" ref="S87:S88" si="8">N87/N62</f>
        <v>2.1465020576131688</v>
      </c>
    </row>
    <row r="88" spans="1:19" hidden="1" x14ac:dyDescent="0.2">
      <c r="A88" t="s">
        <v>28</v>
      </c>
      <c r="B88" t="s">
        <v>91</v>
      </c>
      <c r="C88" t="s">
        <v>78</v>
      </c>
      <c r="D88" s="7" t="s">
        <v>52</v>
      </c>
      <c r="E88" t="s">
        <v>90</v>
      </c>
      <c r="F88" s="7" t="s">
        <v>52</v>
      </c>
      <c r="G88" t="s">
        <v>84</v>
      </c>
      <c r="H88" t="s">
        <v>14</v>
      </c>
      <c r="I88" t="s">
        <v>73</v>
      </c>
      <c r="J88">
        <v>72</v>
      </c>
      <c r="K88" t="s">
        <v>74</v>
      </c>
      <c r="L88" t="s">
        <v>80</v>
      </c>
      <c r="M88" t="s">
        <v>8</v>
      </c>
      <c r="N88" s="1">
        <v>183100000</v>
      </c>
      <c r="O88" s="1">
        <v>8040000</v>
      </c>
      <c r="P88" s="1">
        <v>6328000</v>
      </c>
      <c r="Q88" s="1">
        <v>-11850000</v>
      </c>
      <c r="R88" s="1">
        <v>32060000</v>
      </c>
      <c r="S88" s="2">
        <f t="shared" si="8"/>
        <v>1.0257703081232492</v>
      </c>
    </row>
    <row r="89" spans="1:19" hidden="1" x14ac:dyDescent="0.2">
      <c r="A89" t="s">
        <v>96</v>
      </c>
      <c r="B89" t="s">
        <v>70</v>
      </c>
      <c r="C89" t="s">
        <v>72</v>
      </c>
      <c r="D89" t="s">
        <v>55</v>
      </c>
      <c r="E89" t="s">
        <v>90</v>
      </c>
      <c r="F89" t="s">
        <v>13</v>
      </c>
      <c r="G89" t="s">
        <v>84</v>
      </c>
      <c r="H89" t="s">
        <v>14</v>
      </c>
      <c r="I89" t="s">
        <v>70</v>
      </c>
      <c r="J89">
        <v>72</v>
      </c>
      <c r="K89" t="s">
        <v>81</v>
      </c>
      <c r="L89" t="s">
        <v>7</v>
      </c>
      <c r="M89" t="s">
        <v>8</v>
      </c>
      <c r="N89" s="1">
        <v>5888000000</v>
      </c>
      <c r="O89" s="1">
        <v>194100000</v>
      </c>
      <c r="P89" s="1">
        <v>792200000</v>
      </c>
      <c r="Q89" s="1">
        <v>-4294000</v>
      </c>
      <c r="R89" s="1">
        <v>6562000000</v>
      </c>
      <c r="S89" s="2">
        <f>N89/N59</f>
        <v>19.574468085106382</v>
      </c>
    </row>
    <row r="90" spans="1:19" hidden="1" x14ac:dyDescent="0.2">
      <c r="A90" t="s">
        <v>94</v>
      </c>
      <c r="B90" t="s">
        <v>70</v>
      </c>
      <c r="C90" t="s">
        <v>75</v>
      </c>
      <c r="D90" t="s">
        <v>55</v>
      </c>
      <c r="E90" t="s">
        <v>90</v>
      </c>
      <c r="F90" t="s">
        <v>13</v>
      </c>
      <c r="G90" t="s">
        <v>84</v>
      </c>
      <c r="H90" t="s">
        <v>14</v>
      </c>
      <c r="I90" t="s">
        <v>70</v>
      </c>
      <c r="J90">
        <v>72</v>
      </c>
      <c r="K90" t="s">
        <v>81</v>
      </c>
      <c r="L90" t="s">
        <v>9</v>
      </c>
      <c r="M90" t="s">
        <v>8</v>
      </c>
      <c r="N90" s="1">
        <v>5235000000</v>
      </c>
      <c r="O90" s="1">
        <v>146800000</v>
      </c>
      <c r="P90" s="1">
        <v>279600000</v>
      </c>
      <c r="Q90" s="1">
        <v>-7133000</v>
      </c>
      <c r="R90" s="1">
        <v>2588000000</v>
      </c>
      <c r="S90" s="2">
        <f>N90/N60</f>
        <v>20.594020456333595</v>
      </c>
    </row>
    <row r="91" spans="1:19" hidden="1" x14ac:dyDescent="0.2">
      <c r="A91" t="s">
        <v>93</v>
      </c>
      <c r="B91" t="s">
        <v>70</v>
      </c>
      <c r="C91" t="s">
        <v>76</v>
      </c>
      <c r="D91" t="s">
        <v>55</v>
      </c>
      <c r="E91" t="s">
        <v>90</v>
      </c>
      <c r="F91" t="s">
        <v>13</v>
      </c>
      <c r="G91" t="s">
        <v>84</v>
      </c>
      <c r="H91" t="s">
        <v>14</v>
      </c>
      <c r="I91" t="s">
        <v>70</v>
      </c>
      <c r="J91">
        <v>72</v>
      </c>
      <c r="K91" t="s">
        <v>81</v>
      </c>
      <c r="L91" t="s">
        <v>10</v>
      </c>
      <c r="M91" t="s">
        <v>8</v>
      </c>
      <c r="N91" s="1">
        <v>9255000000</v>
      </c>
      <c r="O91" s="1">
        <v>1383000000</v>
      </c>
      <c r="P91" s="1">
        <v>1960000000</v>
      </c>
      <c r="Q91" s="1">
        <v>-194700</v>
      </c>
      <c r="R91" s="1">
        <v>7083000000</v>
      </c>
      <c r="S91" s="2">
        <f>N91/N61</f>
        <v>34.701912260967376</v>
      </c>
    </row>
    <row r="92" spans="1:19" hidden="1" x14ac:dyDescent="0.2">
      <c r="A92" t="s">
        <v>96</v>
      </c>
      <c r="B92" t="s">
        <v>70</v>
      </c>
      <c r="C92" t="s">
        <v>77</v>
      </c>
      <c r="D92" t="s">
        <v>55</v>
      </c>
      <c r="E92" t="s">
        <v>90</v>
      </c>
      <c r="F92" t="s">
        <v>13</v>
      </c>
      <c r="G92" t="s">
        <v>84</v>
      </c>
      <c r="H92" t="s">
        <v>14</v>
      </c>
      <c r="I92" t="s">
        <v>70</v>
      </c>
      <c r="J92">
        <v>72</v>
      </c>
      <c r="K92" t="s">
        <v>81</v>
      </c>
      <c r="L92" t="s">
        <v>11</v>
      </c>
      <c r="M92" t="s">
        <v>8</v>
      </c>
      <c r="N92" s="1">
        <v>5754000000</v>
      </c>
      <c r="O92" s="1">
        <v>539600000</v>
      </c>
      <c r="P92" s="1">
        <v>1234000000</v>
      </c>
      <c r="Q92" s="1">
        <v>-3217000</v>
      </c>
      <c r="R92" s="1">
        <v>8112000000</v>
      </c>
      <c r="S92" s="2">
        <f>N92/N62</f>
        <v>23.679012345679013</v>
      </c>
    </row>
    <row r="93" spans="1:19" hidden="1" x14ac:dyDescent="0.2">
      <c r="A93" t="s">
        <v>96</v>
      </c>
      <c r="B93" t="s">
        <v>70</v>
      </c>
      <c r="C93" t="s">
        <v>78</v>
      </c>
      <c r="D93" s="7" t="s">
        <v>52</v>
      </c>
      <c r="E93" t="s">
        <v>90</v>
      </c>
      <c r="F93" s="7" t="s">
        <v>52</v>
      </c>
      <c r="G93" t="s">
        <v>84</v>
      </c>
      <c r="H93" t="s">
        <v>14</v>
      </c>
      <c r="I93" t="s">
        <v>70</v>
      </c>
      <c r="J93">
        <v>72</v>
      </c>
      <c r="K93" t="s">
        <v>81</v>
      </c>
      <c r="L93" t="s">
        <v>12</v>
      </c>
      <c r="M93" t="s">
        <v>8</v>
      </c>
      <c r="N93" s="1">
        <v>315000000</v>
      </c>
      <c r="O93" s="1">
        <v>10380000</v>
      </c>
      <c r="P93" s="1">
        <v>43710000</v>
      </c>
      <c r="Q93" s="1">
        <v>-7783000</v>
      </c>
      <c r="R93" s="1">
        <v>505700000</v>
      </c>
      <c r="S93" s="2">
        <f>N93/N63</f>
        <v>1.7647058823529411</v>
      </c>
    </row>
    <row r="94" spans="1:19" hidden="1" x14ac:dyDescent="0.2">
      <c r="A94" t="s">
        <v>96</v>
      </c>
      <c r="B94" t="s">
        <v>70</v>
      </c>
      <c r="C94" t="s">
        <v>72</v>
      </c>
      <c r="D94" t="s">
        <v>55</v>
      </c>
      <c r="E94" t="s">
        <v>90</v>
      </c>
      <c r="F94" t="s">
        <v>13</v>
      </c>
      <c r="G94" t="s">
        <v>84</v>
      </c>
      <c r="H94" t="s">
        <v>14</v>
      </c>
      <c r="I94" t="s">
        <v>82</v>
      </c>
      <c r="J94">
        <v>72</v>
      </c>
      <c r="K94" t="s">
        <v>83</v>
      </c>
      <c r="L94" t="s">
        <v>7</v>
      </c>
      <c r="M94" t="s">
        <v>8</v>
      </c>
      <c r="N94" s="1">
        <v>24650000000</v>
      </c>
      <c r="O94" s="1">
        <v>395600000</v>
      </c>
      <c r="P94" s="1">
        <v>775700000</v>
      </c>
      <c r="Q94" s="1">
        <v>3190000</v>
      </c>
      <c r="R94" s="1">
        <v>4624000000</v>
      </c>
      <c r="S94" s="2">
        <f>N94/N59</f>
        <v>81.948138297872347</v>
      </c>
    </row>
    <row r="95" spans="1:19" hidden="1" x14ac:dyDescent="0.2">
      <c r="A95" t="s">
        <v>93</v>
      </c>
      <c r="B95" t="s">
        <v>70</v>
      </c>
      <c r="C95" t="s">
        <v>75</v>
      </c>
      <c r="D95" t="s">
        <v>55</v>
      </c>
      <c r="E95" t="s">
        <v>90</v>
      </c>
      <c r="F95" t="s">
        <v>13</v>
      </c>
      <c r="G95" t="s">
        <v>84</v>
      </c>
      <c r="H95" t="s">
        <v>14</v>
      </c>
      <c r="I95" t="s">
        <v>82</v>
      </c>
      <c r="J95">
        <v>72</v>
      </c>
      <c r="K95" t="s">
        <v>83</v>
      </c>
      <c r="L95" t="s">
        <v>9</v>
      </c>
      <c r="M95" t="s">
        <v>8</v>
      </c>
      <c r="N95" s="1">
        <v>27620000000</v>
      </c>
      <c r="O95" s="1">
        <v>930900000</v>
      </c>
      <c r="P95" s="1">
        <v>1575000000</v>
      </c>
      <c r="Q95" s="1">
        <v>7042000</v>
      </c>
      <c r="R95" s="1">
        <v>8447000000</v>
      </c>
      <c r="S95" s="2">
        <f t="shared" ref="S95:S98" si="9">N95/N60</f>
        <v>108.65460267505901</v>
      </c>
    </row>
    <row r="96" spans="1:19" hidden="1" x14ac:dyDescent="0.2">
      <c r="A96" t="s">
        <v>95</v>
      </c>
      <c r="B96" t="s">
        <v>70</v>
      </c>
      <c r="C96" t="s">
        <v>76</v>
      </c>
      <c r="D96" t="s">
        <v>55</v>
      </c>
      <c r="E96" t="s">
        <v>90</v>
      </c>
      <c r="F96" t="s">
        <v>13</v>
      </c>
      <c r="G96" t="s">
        <v>84</v>
      </c>
      <c r="H96" t="s">
        <v>14</v>
      </c>
      <c r="I96" t="s">
        <v>82</v>
      </c>
      <c r="J96">
        <v>72</v>
      </c>
      <c r="K96" t="s">
        <v>83</v>
      </c>
      <c r="L96" t="s">
        <v>10</v>
      </c>
      <c r="M96" t="s">
        <v>8</v>
      </c>
      <c r="N96" s="1">
        <v>9139000000</v>
      </c>
      <c r="O96" s="1">
        <v>379600000</v>
      </c>
      <c r="P96" s="1">
        <v>456300000</v>
      </c>
      <c r="Q96" s="1">
        <v>5209000</v>
      </c>
      <c r="R96" s="1">
        <v>1739000000</v>
      </c>
      <c r="S96" s="2">
        <f t="shared" si="9"/>
        <v>34.266966629171357</v>
      </c>
    </row>
    <row r="97" spans="1:19" hidden="1" x14ac:dyDescent="0.2">
      <c r="A97" t="s">
        <v>95</v>
      </c>
      <c r="B97" t="s">
        <v>70</v>
      </c>
      <c r="C97" t="s">
        <v>77</v>
      </c>
      <c r="D97" t="s">
        <v>55</v>
      </c>
      <c r="E97" t="s">
        <v>90</v>
      </c>
      <c r="F97" t="s">
        <v>13</v>
      </c>
      <c r="G97" t="s">
        <v>84</v>
      </c>
      <c r="H97" t="s">
        <v>14</v>
      </c>
      <c r="I97" t="s">
        <v>82</v>
      </c>
      <c r="J97">
        <v>72</v>
      </c>
      <c r="K97" t="s">
        <v>83</v>
      </c>
      <c r="L97" t="s">
        <v>11</v>
      </c>
      <c r="M97" t="s">
        <v>8</v>
      </c>
      <c r="N97" s="1">
        <v>22450000000</v>
      </c>
      <c r="O97" s="1">
        <v>904900000</v>
      </c>
      <c r="P97" s="1">
        <v>792200000</v>
      </c>
      <c r="Q97" s="1">
        <v>10560000</v>
      </c>
      <c r="R97" s="1">
        <v>2887000000</v>
      </c>
      <c r="S97" s="2">
        <f t="shared" si="9"/>
        <v>92.386831275720169</v>
      </c>
    </row>
    <row r="98" spans="1:19" hidden="1" x14ac:dyDescent="0.2">
      <c r="A98" t="s">
        <v>96</v>
      </c>
      <c r="B98" t="s">
        <v>70</v>
      </c>
      <c r="C98" t="s">
        <v>78</v>
      </c>
      <c r="D98" s="7" t="s">
        <v>52</v>
      </c>
      <c r="E98" t="s">
        <v>90</v>
      </c>
      <c r="F98" s="7" t="s">
        <v>52</v>
      </c>
      <c r="G98" t="s">
        <v>84</v>
      </c>
      <c r="H98" t="s">
        <v>14</v>
      </c>
      <c r="I98" t="s">
        <v>82</v>
      </c>
      <c r="J98">
        <v>72</v>
      </c>
      <c r="K98" t="s">
        <v>83</v>
      </c>
      <c r="L98" t="s">
        <v>12</v>
      </c>
      <c r="M98" t="s">
        <v>8</v>
      </c>
      <c r="N98" s="1">
        <v>1042000000</v>
      </c>
      <c r="O98" s="1">
        <v>65330000</v>
      </c>
      <c r="P98" s="1">
        <v>66840000</v>
      </c>
      <c r="Q98" s="1">
        <v>2248000</v>
      </c>
      <c r="R98" s="1">
        <v>243400000</v>
      </c>
      <c r="S98" s="2">
        <f t="shared" si="9"/>
        <v>5.8375350140056019</v>
      </c>
    </row>
    <row r="99" spans="1:19" hidden="1" x14ac:dyDescent="0.2">
      <c r="A99" t="s">
        <v>97</v>
      </c>
      <c r="B99" t="s">
        <v>91</v>
      </c>
      <c r="C99" t="s">
        <v>98</v>
      </c>
      <c r="D99" t="s">
        <v>55</v>
      </c>
      <c r="E99" t="s">
        <v>90</v>
      </c>
      <c r="F99" s="8" t="s">
        <v>99</v>
      </c>
      <c r="G99" t="s">
        <v>84</v>
      </c>
      <c r="J99">
        <v>24</v>
      </c>
      <c r="K99" t="s">
        <v>100</v>
      </c>
      <c r="L99" t="s">
        <v>7</v>
      </c>
      <c r="M99" t="s">
        <v>8</v>
      </c>
      <c r="N99" s="1">
        <v>315900000</v>
      </c>
      <c r="O99" s="1">
        <v>13230000</v>
      </c>
      <c r="P99" s="1">
        <v>8374000</v>
      </c>
      <c r="Q99" s="1">
        <v>4951000</v>
      </c>
      <c r="R99" s="1">
        <v>62360000</v>
      </c>
      <c r="S99" s="2">
        <f>N99/$N$113</f>
        <v>0.87994428969359328</v>
      </c>
    </row>
    <row r="100" spans="1:19" hidden="1" x14ac:dyDescent="0.2">
      <c r="A100" t="s">
        <v>15</v>
      </c>
      <c r="B100" t="s">
        <v>91</v>
      </c>
      <c r="C100" t="s">
        <v>98</v>
      </c>
      <c r="D100" t="s">
        <v>55</v>
      </c>
      <c r="E100" t="s">
        <v>90</v>
      </c>
      <c r="F100" s="8" t="s">
        <v>99</v>
      </c>
      <c r="G100" t="s">
        <v>84</v>
      </c>
      <c r="J100">
        <v>24</v>
      </c>
      <c r="K100" t="s">
        <v>100</v>
      </c>
      <c r="L100" t="s">
        <v>9</v>
      </c>
      <c r="M100" t="s">
        <v>8</v>
      </c>
      <c r="N100" s="1">
        <v>438400000</v>
      </c>
      <c r="O100" s="1">
        <v>40190000</v>
      </c>
      <c r="P100" s="1">
        <v>41790000</v>
      </c>
      <c r="Q100" s="1">
        <v>6937000</v>
      </c>
      <c r="R100" s="1">
        <v>128000000</v>
      </c>
      <c r="S100" s="2">
        <f t="shared" ref="S100:S113" si="10">N100/$N$113</f>
        <v>1.2211699164345404</v>
      </c>
    </row>
    <row r="101" spans="1:19" hidden="1" x14ac:dyDescent="0.2">
      <c r="A101" t="s">
        <v>23</v>
      </c>
      <c r="B101" t="s">
        <v>91</v>
      </c>
      <c r="C101" t="s">
        <v>98</v>
      </c>
      <c r="D101" t="s">
        <v>55</v>
      </c>
      <c r="E101" t="s">
        <v>90</v>
      </c>
      <c r="F101" s="8" t="s">
        <v>99</v>
      </c>
      <c r="G101" t="s">
        <v>84</v>
      </c>
      <c r="J101">
        <v>24</v>
      </c>
      <c r="K101" t="s">
        <v>100</v>
      </c>
      <c r="L101" t="s">
        <v>10</v>
      </c>
      <c r="M101" t="s">
        <v>8</v>
      </c>
      <c r="N101" s="1">
        <v>1659000000</v>
      </c>
      <c r="O101" s="1">
        <v>69810000</v>
      </c>
      <c r="P101" s="1">
        <v>58940000</v>
      </c>
      <c r="Q101" s="1">
        <v>6078000</v>
      </c>
      <c r="R101" s="1">
        <v>188600000</v>
      </c>
      <c r="S101" s="2">
        <f t="shared" si="10"/>
        <v>4.6211699164345408</v>
      </c>
    </row>
    <row r="102" spans="1:19" hidden="1" x14ac:dyDescent="0.2">
      <c r="A102" t="s">
        <v>28</v>
      </c>
      <c r="B102" t="s">
        <v>91</v>
      </c>
      <c r="C102" t="s">
        <v>98</v>
      </c>
      <c r="D102" t="s">
        <v>55</v>
      </c>
      <c r="E102" t="s">
        <v>90</v>
      </c>
      <c r="F102" s="8" t="s">
        <v>99</v>
      </c>
      <c r="G102" t="s">
        <v>84</v>
      </c>
      <c r="J102">
        <v>24</v>
      </c>
      <c r="K102" t="s">
        <v>100</v>
      </c>
      <c r="L102" t="s">
        <v>11</v>
      </c>
      <c r="M102" t="s">
        <v>8</v>
      </c>
      <c r="N102" s="1">
        <v>848400000</v>
      </c>
      <c r="O102" s="1">
        <v>138600000</v>
      </c>
      <c r="P102" s="1">
        <v>127500000</v>
      </c>
      <c r="Q102" s="1">
        <v>5970000</v>
      </c>
      <c r="R102" s="1">
        <v>375200000</v>
      </c>
      <c r="S102" s="2">
        <f t="shared" si="10"/>
        <v>2.3632311977715879</v>
      </c>
    </row>
    <row r="103" spans="1:19" hidden="1" x14ac:dyDescent="0.2">
      <c r="A103" t="s">
        <v>34</v>
      </c>
      <c r="B103" t="s">
        <v>91</v>
      </c>
      <c r="C103" t="s">
        <v>98</v>
      </c>
      <c r="D103" t="s">
        <v>55</v>
      </c>
      <c r="E103" t="s">
        <v>90</v>
      </c>
      <c r="F103" s="8" t="s">
        <v>99</v>
      </c>
      <c r="G103" t="s">
        <v>84</v>
      </c>
      <c r="J103">
        <v>24</v>
      </c>
      <c r="K103" t="s">
        <v>100</v>
      </c>
      <c r="L103" t="s">
        <v>12</v>
      </c>
      <c r="M103" t="s">
        <v>8</v>
      </c>
      <c r="N103" s="1">
        <v>1484000000</v>
      </c>
      <c r="O103" s="1">
        <v>157400000</v>
      </c>
      <c r="P103" s="1">
        <v>73100000</v>
      </c>
      <c r="Q103" s="1">
        <v>6965000</v>
      </c>
      <c r="R103" s="1">
        <v>287900000</v>
      </c>
      <c r="S103" s="2">
        <f t="shared" si="10"/>
        <v>4.1337047353760443</v>
      </c>
    </row>
    <row r="104" spans="1:19" hidden="1" x14ac:dyDescent="0.2">
      <c r="A104" t="s">
        <v>92</v>
      </c>
      <c r="B104" t="s">
        <v>91</v>
      </c>
      <c r="C104" t="s">
        <v>98</v>
      </c>
      <c r="D104" t="s">
        <v>55</v>
      </c>
      <c r="E104" t="s">
        <v>90</v>
      </c>
      <c r="F104" s="8" t="s">
        <v>99</v>
      </c>
      <c r="G104" t="s">
        <v>84</v>
      </c>
      <c r="J104">
        <v>24</v>
      </c>
      <c r="K104" t="s">
        <v>100</v>
      </c>
      <c r="L104" t="s">
        <v>16</v>
      </c>
      <c r="M104" t="s">
        <v>8</v>
      </c>
      <c r="N104" s="1">
        <v>874000000</v>
      </c>
      <c r="O104" s="1">
        <v>40760000</v>
      </c>
      <c r="P104" s="1">
        <v>33810000</v>
      </c>
      <c r="Q104" s="1">
        <v>6074000</v>
      </c>
      <c r="R104" s="1">
        <v>114300000</v>
      </c>
      <c r="S104" s="2">
        <f t="shared" si="10"/>
        <v>2.4345403899721449</v>
      </c>
    </row>
    <row r="105" spans="1:19" hidden="1" x14ac:dyDescent="0.2">
      <c r="A105" t="s">
        <v>53</v>
      </c>
      <c r="B105" t="s">
        <v>89</v>
      </c>
      <c r="C105" t="s">
        <v>98</v>
      </c>
      <c r="D105" t="s">
        <v>55</v>
      </c>
      <c r="E105" t="s">
        <v>90</v>
      </c>
      <c r="F105" s="8" t="s">
        <v>99</v>
      </c>
      <c r="G105" t="s">
        <v>84</v>
      </c>
      <c r="J105">
        <v>24</v>
      </c>
      <c r="K105" t="s">
        <v>100</v>
      </c>
      <c r="L105" t="s">
        <v>17</v>
      </c>
      <c r="M105" t="s">
        <v>8</v>
      </c>
      <c r="N105" s="1">
        <v>4520000000</v>
      </c>
      <c r="O105" s="1">
        <v>148100000</v>
      </c>
      <c r="P105" s="1">
        <v>183200000</v>
      </c>
      <c r="Q105" s="1">
        <v>7131000</v>
      </c>
      <c r="R105" s="1">
        <v>798900000</v>
      </c>
      <c r="S105" s="2">
        <f t="shared" si="10"/>
        <v>12.590529247910863</v>
      </c>
    </row>
    <row r="106" spans="1:19" hidden="1" x14ac:dyDescent="0.2">
      <c r="A106" t="s">
        <v>94</v>
      </c>
      <c r="B106" t="s">
        <v>70</v>
      </c>
      <c r="C106" t="s">
        <v>98</v>
      </c>
      <c r="D106" t="s">
        <v>55</v>
      </c>
      <c r="E106" t="s">
        <v>90</v>
      </c>
      <c r="F106" s="8" t="s">
        <v>99</v>
      </c>
      <c r="G106" t="s">
        <v>14</v>
      </c>
      <c r="J106">
        <v>24</v>
      </c>
      <c r="K106" t="s">
        <v>100</v>
      </c>
      <c r="L106" t="s">
        <v>18</v>
      </c>
      <c r="M106" t="s">
        <v>8</v>
      </c>
      <c r="N106" s="1">
        <v>2562000000</v>
      </c>
      <c r="O106" s="1">
        <v>107300000</v>
      </c>
      <c r="P106" s="1">
        <v>149800000</v>
      </c>
      <c r="Q106" s="1">
        <v>6550000</v>
      </c>
      <c r="R106" s="1">
        <v>607100000</v>
      </c>
      <c r="S106" s="2">
        <f t="shared" si="10"/>
        <v>7.1364902506963785</v>
      </c>
    </row>
    <row r="107" spans="1:19" hidden="1" x14ac:dyDescent="0.2">
      <c r="A107" t="s">
        <v>95</v>
      </c>
      <c r="B107" t="s">
        <v>70</v>
      </c>
      <c r="C107" t="s">
        <v>98</v>
      </c>
      <c r="D107" t="s">
        <v>55</v>
      </c>
      <c r="E107" t="s">
        <v>90</v>
      </c>
      <c r="F107" s="8" t="s">
        <v>99</v>
      </c>
      <c r="G107" t="s">
        <v>14</v>
      </c>
      <c r="J107">
        <v>24</v>
      </c>
      <c r="K107" t="s">
        <v>100</v>
      </c>
      <c r="L107" t="s">
        <v>19</v>
      </c>
      <c r="M107" t="s">
        <v>8</v>
      </c>
      <c r="N107" s="1">
        <v>1549000000</v>
      </c>
      <c r="O107" s="1">
        <v>64970000</v>
      </c>
      <c r="P107" s="1">
        <v>111700000</v>
      </c>
      <c r="Q107" s="1">
        <v>7041000</v>
      </c>
      <c r="R107" s="1">
        <v>501700000</v>
      </c>
      <c r="S107" s="2">
        <f t="shared" si="10"/>
        <v>4.3147632311977713</v>
      </c>
    </row>
    <row r="108" spans="1:19" hidden="1" x14ac:dyDescent="0.2">
      <c r="A108" t="s">
        <v>53</v>
      </c>
      <c r="B108" t="s">
        <v>89</v>
      </c>
      <c r="C108" t="s">
        <v>98</v>
      </c>
      <c r="D108" t="s">
        <v>55</v>
      </c>
      <c r="E108" t="s">
        <v>90</v>
      </c>
      <c r="F108" s="8" t="s">
        <v>99</v>
      </c>
      <c r="G108" t="s">
        <v>84</v>
      </c>
      <c r="J108">
        <v>24</v>
      </c>
      <c r="K108" t="s">
        <v>100</v>
      </c>
      <c r="L108" t="s">
        <v>20</v>
      </c>
      <c r="M108" t="s">
        <v>8</v>
      </c>
      <c r="N108" s="1">
        <v>4274000000</v>
      </c>
      <c r="O108" s="1">
        <v>180500000</v>
      </c>
      <c r="P108" s="1">
        <v>205200000</v>
      </c>
      <c r="Q108" s="1">
        <v>5814000</v>
      </c>
      <c r="R108" s="1">
        <v>649400000</v>
      </c>
      <c r="S108" s="2">
        <f t="shared" si="10"/>
        <v>11.905292479108635</v>
      </c>
    </row>
    <row r="109" spans="1:19" hidden="1" x14ac:dyDescent="0.2">
      <c r="A109" t="s">
        <v>96</v>
      </c>
      <c r="B109" t="s">
        <v>70</v>
      </c>
      <c r="C109" t="s">
        <v>98</v>
      </c>
      <c r="D109" t="s">
        <v>55</v>
      </c>
      <c r="E109" t="s">
        <v>90</v>
      </c>
      <c r="F109" s="8" t="s">
        <v>99</v>
      </c>
      <c r="G109" t="s">
        <v>84</v>
      </c>
      <c r="J109">
        <v>24</v>
      </c>
      <c r="K109" t="s">
        <v>100</v>
      </c>
      <c r="L109" t="s">
        <v>24</v>
      </c>
      <c r="M109" t="s">
        <v>8</v>
      </c>
      <c r="N109" s="1">
        <v>6049000000</v>
      </c>
      <c r="O109" s="1">
        <v>396800000</v>
      </c>
      <c r="P109" s="1">
        <v>211800000</v>
      </c>
      <c r="Q109" s="1">
        <v>9818000</v>
      </c>
      <c r="R109" s="1">
        <v>955500000</v>
      </c>
      <c r="S109" s="2">
        <f t="shared" si="10"/>
        <v>16.84958217270195</v>
      </c>
    </row>
    <row r="110" spans="1:19" hidden="1" x14ac:dyDescent="0.2">
      <c r="A110" t="s">
        <v>96</v>
      </c>
      <c r="B110" t="s">
        <v>70</v>
      </c>
      <c r="C110" t="s">
        <v>98</v>
      </c>
      <c r="D110" t="s">
        <v>55</v>
      </c>
      <c r="E110" t="s">
        <v>90</v>
      </c>
      <c r="F110" s="8" t="s">
        <v>99</v>
      </c>
      <c r="G110" t="s">
        <v>84</v>
      </c>
      <c r="J110">
        <v>24</v>
      </c>
      <c r="K110" t="s">
        <v>100</v>
      </c>
      <c r="L110" t="s">
        <v>25</v>
      </c>
      <c r="M110" t="s">
        <v>8</v>
      </c>
      <c r="N110" s="1">
        <v>10600000000</v>
      </c>
      <c r="O110" s="1">
        <v>621300000</v>
      </c>
      <c r="P110" s="1">
        <v>287000000</v>
      </c>
      <c r="Q110" s="1">
        <v>14580000</v>
      </c>
      <c r="R110" s="1">
        <v>1380000000</v>
      </c>
      <c r="S110" s="2">
        <f t="shared" si="10"/>
        <v>29.526462395543174</v>
      </c>
    </row>
    <row r="111" spans="1:19" hidden="1" x14ac:dyDescent="0.2">
      <c r="A111" t="s">
        <v>96</v>
      </c>
      <c r="B111" t="s">
        <v>70</v>
      </c>
      <c r="C111" t="s">
        <v>98</v>
      </c>
      <c r="D111" t="s">
        <v>55</v>
      </c>
      <c r="E111" t="s">
        <v>90</v>
      </c>
      <c r="F111" s="8" t="s">
        <v>99</v>
      </c>
      <c r="G111" t="s">
        <v>84</v>
      </c>
      <c r="J111">
        <v>24</v>
      </c>
      <c r="K111" t="s">
        <v>100</v>
      </c>
      <c r="L111" t="s">
        <v>26</v>
      </c>
      <c r="M111" t="s">
        <v>8</v>
      </c>
      <c r="N111" s="1">
        <v>11970000000</v>
      </c>
      <c r="O111" s="1">
        <v>341600000</v>
      </c>
      <c r="P111" s="1">
        <v>244700000</v>
      </c>
      <c r="Q111" s="1">
        <v>8847000</v>
      </c>
      <c r="R111" s="1">
        <v>1093000000</v>
      </c>
      <c r="S111" s="2">
        <f t="shared" si="10"/>
        <v>33.342618384401113</v>
      </c>
    </row>
    <row r="112" spans="1:19" hidden="1" x14ac:dyDescent="0.2">
      <c r="A112" t="s">
        <v>96</v>
      </c>
      <c r="B112" t="s">
        <v>70</v>
      </c>
      <c r="C112" t="s">
        <v>98</v>
      </c>
      <c r="D112" t="s">
        <v>55</v>
      </c>
      <c r="E112" t="s">
        <v>90</v>
      </c>
      <c r="F112" s="8" t="s">
        <v>99</v>
      </c>
      <c r="G112" t="s">
        <v>84</v>
      </c>
      <c r="J112">
        <v>24</v>
      </c>
      <c r="K112" t="s">
        <v>100</v>
      </c>
      <c r="L112" t="s">
        <v>27</v>
      </c>
      <c r="M112" t="s">
        <v>8</v>
      </c>
      <c r="N112" s="1">
        <v>8665000000</v>
      </c>
      <c r="O112" s="1">
        <v>521600000</v>
      </c>
      <c r="P112" s="1">
        <v>271300000</v>
      </c>
      <c r="Q112" s="1">
        <v>11330000</v>
      </c>
      <c r="R112" s="1">
        <v>1024000000</v>
      </c>
      <c r="S112" s="2">
        <f t="shared" si="10"/>
        <v>24.136490250696379</v>
      </c>
    </row>
    <row r="113" spans="1:19" hidden="1" x14ac:dyDescent="0.2">
      <c r="A113" t="s">
        <v>22</v>
      </c>
      <c r="B113" t="s">
        <v>91</v>
      </c>
      <c r="C113" t="s">
        <v>98</v>
      </c>
      <c r="D113" t="s">
        <v>55</v>
      </c>
      <c r="E113" t="s">
        <v>90</v>
      </c>
      <c r="F113" s="8" t="s">
        <v>99</v>
      </c>
      <c r="G113" t="s">
        <v>84</v>
      </c>
      <c r="J113">
        <v>24</v>
      </c>
      <c r="K113" t="s">
        <v>100</v>
      </c>
      <c r="L113" t="s">
        <v>29</v>
      </c>
      <c r="M113" t="s">
        <v>8</v>
      </c>
      <c r="N113" s="1">
        <v>359000000</v>
      </c>
      <c r="O113" s="1">
        <v>46300000</v>
      </c>
      <c r="P113" s="1">
        <v>45010000</v>
      </c>
      <c r="Q113" s="1">
        <v>6231000</v>
      </c>
      <c r="R113" s="1">
        <v>135100000</v>
      </c>
      <c r="S113" s="2">
        <f t="shared" si="10"/>
        <v>1</v>
      </c>
    </row>
    <row r="114" spans="1:19" hidden="1" x14ac:dyDescent="0.2">
      <c r="A114" t="s">
        <v>22</v>
      </c>
      <c r="B114" t="s">
        <v>91</v>
      </c>
      <c r="C114" t="s">
        <v>101</v>
      </c>
      <c r="D114" t="s">
        <v>55</v>
      </c>
      <c r="E114" t="s">
        <v>90</v>
      </c>
      <c r="F114" s="8" t="s">
        <v>99</v>
      </c>
      <c r="G114" t="s">
        <v>84</v>
      </c>
      <c r="J114">
        <v>288</v>
      </c>
      <c r="K114" t="s">
        <v>102</v>
      </c>
      <c r="L114" t="s">
        <v>7</v>
      </c>
      <c r="M114" t="s">
        <v>8</v>
      </c>
      <c r="N114" s="1">
        <v>650900000</v>
      </c>
      <c r="O114" s="1">
        <v>27270000</v>
      </c>
      <c r="P114" s="1">
        <v>41480000</v>
      </c>
      <c r="Q114" s="1">
        <v>5228000</v>
      </c>
      <c r="R114" s="1">
        <v>180200000</v>
      </c>
      <c r="S114" s="2">
        <f>N114/$N$114</f>
        <v>1</v>
      </c>
    </row>
    <row r="115" spans="1:19" hidden="1" x14ac:dyDescent="0.2">
      <c r="A115" t="s">
        <v>23</v>
      </c>
      <c r="B115" t="s">
        <v>91</v>
      </c>
      <c r="C115" t="s">
        <v>101</v>
      </c>
      <c r="D115" t="s">
        <v>55</v>
      </c>
      <c r="E115" t="s">
        <v>90</v>
      </c>
      <c r="F115" s="8" t="s">
        <v>99</v>
      </c>
      <c r="G115" t="s">
        <v>84</v>
      </c>
      <c r="J115">
        <v>288</v>
      </c>
      <c r="K115" t="s">
        <v>102</v>
      </c>
      <c r="L115" t="s">
        <v>9</v>
      </c>
      <c r="M115" t="s">
        <v>8</v>
      </c>
      <c r="N115" s="1">
        <v>2716000000</v>
      </c>
      <c r="O115" s="1">
        <v>126200000</v>
      </c>
      <c r="P115" s="1">
        <v>101600000</v>
      </c>
      <c r="Q115" s="1">
        <v>5945000</v>
      </c>
      <c r="R115" s="1">
        <v>306500000</v>
      </c>
      <c r="S115" s="2">
        <f t="shared" ref="S115:S123" si="11">N115/$N$114</f>
        <v>4.1726839760331851</v>
      </c>
    </row>
    <row r="116" spans="1:19" hidden="1" x14ac:dyDescent="0.2">
      <c r="A116" t="s">
        <v>28</v>
      </c>
      <c r="B116" t="s">
        <v>91</v>
      </c>
      <c r="C116" t="s">
        <v>101</v>
      </c>
      <c r="D116" t="s">
        <v>55</v>
      </c>
      <c r="E116" t="s">
        <v>90</v>
      </c>
      <c r="F116" s="8" t="s">
        <v>99</v>
      </c>
      <c r="G116" t="s">
        <v>84</v>
      </c>
      <c r="J116">
        <v>288</v>
      </c>
      <c r="K116" t="s">
        <v>102</v>
      </c>
      <c r="L116" t="s">
        <v>10</v>
      </c>
      <c r="M116" t="s">
        <v>8</v>
      </c>
      <c r="N116" s="1">
        <v>1543000000</v>
      </c>
      <c r="O116" s="1">
        <v>124100000</v>
      </c>
      <c r="P116" s="1">
        <v>100600000</v>
      </c>
      <c r="Q116" s="1">
        <v>7455000</v>
      </c>
      <c r="R116" s="1">
        <v>503700000</v>
      </c>
      <c r="S116" s="2">
        <f t="shared" si="11"/>
        <v>2.3705638346904285</v>
      </c>
    </row>
    <row r="117" spans="1:19" hidden="1" x14ac:dyDescent="0.2">
      <c r="A117" t="s">
        <v>34</v>
      </c>
      <c r="B117" t="s">
        <v>91</v>
      </c>
      <c r="C117" t="s">
        <v>101</v>
      </c>
      <c r="D117" t="s">
        <v>55</v>
      </c>
      <c r="E117" t="s">
        <v>90</v>
      </c>
      <c r="F117" s="8" t="s">
        <v>99</v>
      </c>
      <c r="G117" t="s">
        <v>84</v>
      </c>
      <c r="J117">
        <v>288</v>
      </c>
      <c r="K117" t="s">
        <v>102</v>
      </c>
      <c r="L117" t="s">
        <v>11</v>
      </c>
      <c r="M117" t="s">
        <v>8</v>
      </c>
      <c r="N117" s="1">
        <v>3456000000</v>
      </c>
      <c r="O117" s="1">
        <v>176200000</v>
      </c>
      <c r="P117" s="1">
        <v>166200000</v>
      </c>
      <c r="Q117" s="1">
        <v>6274000</v>
      </c>
      <c r="R117" s="1">
        <v>519200000</v>
      </c>
      <c r="S117" s="2">
        <f t="shared" si="11"/>
        <v>5.3095713627285299</v>
      </c>
    </row>
    <row r="118" spans="1:19" x14ac:dyDescent="0.2">
      <c r="A118" t="s">
        <v>15</v>
      </c>
      <c r="B118" t="s">
        <v>91</v>
      </c>
      <c r="C118" t="s">
        <v>101</v>
      </c>
      <c r="D118" t="s">
        <v>55</v>
      </c>
      <c r="E118" t="s">
        <v>90</v>
      </c>
      <c r="F118" s="8" t="s">
        <v>99</v>
      </c>
      <c r="G118" t="s">
        <v>84</v>
      </c>
      <c r="J118">
        <v>288</v>
      </c>
      <c r="K118" t="s">
        <v>102</v>
      </c>
      <c r="L118" t="s">
        <v>12</v>
      </c>
      <c r="M118" t="s">
        <v>8</v>
      </c>
      <c r="N118" s="1">
        <v>439500000</v>
      </c>
      <c r="O118" s="1">
        <v>35250000</v>
      </c>
      <c r="P118" s="1">
        <v>22330000</v>
      </c>
      <c r="Q118" s="1">
        <v>8028000</v>
      </c>
      <c r="R118" s="1">
        <v>86530000</v>
      </c>
      <c r="S118" s="2">
        <f t="shared" si="11"/>
        <v>0.67521892763865421</v>
      </c>
    </row>
    <row r="119" spans="1:19" hidden="1" x14ac:dyDescent="0.2">
      <c r="A119" t="s">
        <v>53</v>
      </c>
      <c r="B119" t="s">
        <v>89</v>
      </c>
      <c r="C119" t="s">
        <v>101</v>
      </c>
      <c r="D119" t="s">
        <v>55</v>
      </c>
      <c r="E119" t="s">
        <v>90</v>
      </c>
      <c r="F119" s="8" t="s">
        <v>99</v>
      </c>
      <c r="G119" t="s">
        <v>84</v>
      </c>
      <c r="J119">
        <v>288</v>
      </c>
      <c r="K119" t="s">
        <v>102</v>
      </c>
      <c r="L119" t="s">
        <v>16</v>
      </c>
      <c r="M119" t="s">
        <v>8</v>
      </c>
      <c r="N119" s="1">
        <v>11720000000</v>
      </c>
      <c r="O119" s="1">
        <v>309400000</v>
      </c>
      <c r="P119" s="1">
        <v>428400000</v>
      </c>
      <c r="Q119" s="1">
        <v>6978000</v>
      </c>
      <c r="R119" s="1">
        <v>2465000000</v>
      </c>
      <c r="S119" s="2">
        <f t="shared" si="11"/>
        <v>18.00583807036411</v>
      </c>
    </row>
    <row r="120" spans="1:19" hidden="1" x14ac:dyDescent="0.2">
      <c r="A120" t="s">
        <v>97</v>
      </c>
      <c r="B120" t="s">
        <v>91</v>
      </c>
      <c r="C120" t="s">
        <v>101</v>
      </c>
      <c r="D120" t="s">
        <v>55</v>
      </c>
      <c r="E120" t="s">
        <v>90</v>
      </c>
      <c r="F120" s="8" t="s">
        <v>99</v>
      </c>
      <c r="G120" t="s">
        <v>84</v>
      </c>
      <c r="J120">
        <v>288</v>
      </c>
      <c r="K120" t="s">
        <v>102</v>
      </c>
      <c r="L120" t="s">
        <v>17</v>
      </c>
      <c r="M120" t="s">
        <v>8</v>
      </c>
      <c r="N120" s="1">
        <v>1062000000</v>
      </c>
      <c r="O120" s="1">
        <v>65420000</v>
      </c>
      <c r="P120" s="1">
        <v>77030000</v>
      </c>
      <c r="Q120" s="1">
        <v>6007000</v>
      </c>
      <c r="R120" s="1">
        <v>407700000</v>
      </c>
      <c r="S120" s="2">
        <f t="shared" si="11"/>
        <v>1.6315870333384543</v>
      </c>
    </row>
    <row r="121" spans="1:19" hidden="1" x14ac:dyDescent="0.2">
      <c r="A121" t="s">
        <v>96</v>
      </c>
      <c r="B121" t="s">
        <v>70</v>
      </c>
      <c r="C121" t="s">
        <v>101</v>
      </c>
      <c r="D121" t="s">
        <v>55</v>
      </c>
      <c r="E121" t="s">
        <v>90</v>
      </c>
      <c r="F121" s="8" t="s">
        <v>99</v>
      </c>
      <c r="G121" t="s">
        <v>84</v>
      </c>
      <c r="J121">
        <v>288</v>
      </c>
      <c r="K121" t="s">
        <v>102</v>
      </c>
      <c r="L121" t="s">
        <v>18</v>
      </c>
      <c r="M121" t="s">
        <v>8</v>
      </c>
      <c r="N121" s="1">
        <v>51250000000</v>
      </c>
      <c r="O121" s="1">
        <v>545400000</v>
      </c>
      <c r="P121" s="1">
        <v>362200000</v>
      </c>
      <c r="Q121" s="1">
        <v>8493000</v>
      </c>
      <c r="R121" s="1">
        <v>3440000000</v>
      </c>
      <c r="S121" s="2">
        <f t="shared" si="11"/>
        <v>78.73713320018436</v>
      </c>
    </row>
    <row r="122" spans="1:19" hidden="1" x14ac:dyDescent="0.2">
      <c r="A122" t="s">
        <v>93</v>
      </c>
      <c r="B122" t="s">
        <v>70</v>
      </c>
      <c r="C122" t="s">
        <v>101</v>
      </c>
      <c r="D122" t="s">
        <v>55</v>
      </c>
      <c r="E122" t="s">
        <v>90</v>
      </c>
      <c r="F122" s="8" t="s">
        <v>99</v>
      </c>
      <c r="G122" t="s">
        <v>84</v>
      </c>
      <c r="J122">
        <v>288</v>
      </c>
      <c r="K122" t="s">
        <v>102</v>
      </c>
      <c r="L122" t="s">
        <v>19</v>
      </c>
      <c r="M122" t="s">
        <v>8</v>
      </c>
      <c r="N122" s="1">
        <v>15360000000</v>
      </c>
      <c r="O122" s="1">
        <v>666600000</v>
      </c>
      <c r="P122" s="1">
        <v>894900000</v>
      </c>
      <c r="Q122" s="1">
        <v>8757000</v>
      </c>
      <c r="R122" s="1">
        <v>4055000000</v>
      </c>
      <c r="S122" s="2">
        <f t="shared" si="11"/>
        <v>23.598094945460133</v>
      </c>
    </row>
    <row r="123" spans="1:19" hidden="1" x14ac:dyDescent="0.2">
      <c r="A123" t="s">
        <v>53</v>
      </c>
      <c r="B123" t="s">
        <v>89</v>
      </c>
      <c r="C123" t="s">
        <v>101</v>
      </c>
      <c r="D123" t="s">
        <v>55</v>
      </c>
      <c r="E123" t="s">
        <v>90</v>
      </c>
      <c r="F123" s="8" t="s">
        <v>99</v>
      </c>
      <c r="G123" t="s">
        <v>84</v>
      </c>
      <c r="J123">
        <v>288</v>
      </c>
      <c r="K123" t="s">
        <v>102</v>
      </c>
      <c r="L123" t="s">
        <v>20</v>
      </c>
      <c r="M123" t="s">
        <v>8</v>
      </c>
      <c r="N123" s="1">
        <v>13770000000</v>
      </c>
      <c r="O123" s="1">
        <v>578500000</v>
      </c>
      <c r="P123" s="1">
        <v>850500000</v>
      </c>
      <c r="Q123" s="1">
        <v>9988000</v>
      </c>
      <c r="R123" s="1">
        <v>3596000000</v>
      </c>
      <c r="S123" s="2">
        <f t="shared" si="11"/>
        <v>21.155323398371486</v>
      </c>
    </row>
    <row r="124" spans="1:19" hidden="1" x14ac:dyDescent="0.2">
      <c r="A124" t="s">
        <v>22</v>
      </c>
      <c r="B124" t="s">
        <v>91</v>
      </c>
      <c r="C124" t="s">
        <v>103</v>
      </c>
      <c r="D124" t="s">
        <v>104</v>
      </c>
      <c r="E124" t="s">
        <v>90</v>
      </c>
      <c r="F124" s="8" t="s">
        <v>99</v>
      </c>
      <c r="G124" t="s">
        <v>84</v>
      </c>
      <c r="J124">
        <v>288</v>
      </c>
      <c r="K124" t="s">
        <v>102</v>
      </c>
      <c r="L124" t="s">
        <v>24</v>
      </c>
      <c r="M124" t="s">
        <v>8</v>
      </c>
      <c r="N124" s="1">
        <v>239200000</v>
      </c>
      <c r="O124" s="1">
        <v>10090000</v>
      </c>
      <c r="P124" s="1">
        <v>7042000</v>
      </c>
      <c r="Q124" s="1">
        <v>3901000</v>
      </c>
      <c r="R124" s="1">
        <v>40010000</v>
      </c>
      <c r="S124" s="2">
        <f>N124/$N$124</f>
        <v>1</v>
      </c>
    </row>
    <row r="125" spans="1:19" hidden="1" x14ac:dyDescent="0.2">
      <c r="A125" t="s">
        <v>23</v>
      </c>
      <c r="B125" t="s">
        <v>91</v>
      </c>
      <c r="C125" t="s">
        <v>103</v>
      </c>
      <c r="D125" t="s">
        <v>104</v>
      </c>
      <c r="E125" t="s">
        <v>90</v>
      </c>
      <c r="F125" s="8" t="s">
        <v>99</v>
      </c>
      <c r="G125" t="s">
        <v>84</v>
      </c>
      <c r="J125">
        <v>288</v>
      </c>
      <c r="K125" t="s">
        <v>102</v>
      </c>
      <c r="L125" t="s">
        <v>25</v>
      </c>
      <c r="M125" t="s">
        <v>8</v>
      </c>
      <c r="N125" s="1">
        <v>503100000</v>
      </c>
      <c r="O125" s="1">
        <v>21080000</v>
      </c>
      <c r="P125" s="1">
        <v>13770000</v>
      </c>
      <c r="Q125" s="1">
        <v>-175600000</v>
      </c>
      <c r="R125" s="1">
        <v>51960000</v>
      </c>
      <c r="S125" s="2">
        <f t="shared" ref="S125:S135" si="12">N125/$N$124</f>
        <v>2.1032608695652173</v>
      </c>
    </row>
    <row r="126" spans="1:19" hidden="1" x14ac:dyDescent="0.2">
      <c r="A126" t="s">
        <v>28</v>
      </c>
      <c r="B126" t="s">
        <v>91</v>
      </c>
      <c r="C126" t="s">
        <v>103</v>
      </c>
      <c r="D126" t="s">
        <v>104</v>
      </c>
      <c r="E126" t="s">
        <v>90</v>
      </c>
      <c r="F126" s="8" t="s">
        <v>99</v>
      </c>
      <c r="G126" t="s">
        <v>84</v>
      </c>
      <c r="J126">
        <v>288</v>
      </c>
      <c r="K126" t="s">
        <v>102</v>
      </c>
      <c r="L126" t="s">
        <v>26</v>
      </c>
      <c r="M126" t="s">
        <v>8</v>
      </c>
      <c r="N126" s="1">
        <v>244000000</v>
      </c>
      <c r="O126" s="1">
        <v>16540000</v>
      </c>
      <c r="P126" s="1">
        <v>8126000</v>
      </c>
      <c r="Q126" s="1">
        <v>6691000</v>
      </c>
      <c r="R126" s="1">
        <v>38020000</v>
      </c>
      <c r="S126" s="2">
        <f t="shared" si="12"/>
        <v>1.020066889632107</v>
      </c>
    </row>
    <row r="127" spans="1:19" hidden="1" x14ac:dyDescent="0.2">
      <c r="A127" t="s">
        <v>34</v>
      </c>
      <c r="B127" t="s">
        <v>91</v>
      </c>
      <c r="C127" t="s">
        <v>103</v>
      </c>
      <c r="D127" t="s">
        <v>104</v>
      </c>
      <c r="E127" t="s">
        <v>90</v>
      </c>
      <c r="F127" s="8" t="s">
        <v>99</v>
      </c>
      <c r="G127" t="s">
        <v>84</v>
      </c>
      <c r="J127">
        <v>288</v>
      </c>
      <c r="K127" t="s">
        <v>102</v>
      </c>
      <c r="L127" t="s">
        <v>27</v>
      </c>
      <c r="M127" t="s">
        <v>8</v>
      </c>
      <c r="N127" s="1">
        <v>617700000</v>
      </c>
      <c r="O127" s="1">
        <v>26000000</v>
      </c>
      <c r="P127" s="1">
        <v>13120000</v>
      </c>
      <c r="Q127" s="1">
        <v>8874000</v>
      </c>
      <c r="R127" s="1">
        <v>57270000</v>
      </c>
      <c r="S127" s="2">
        <f t="shared" si="12"/>
        <v>2.5823578595317724</v>
      </c>
    </row>
    <row r="128" spans="1:19" x14ac:dyDescent="0.2">
      <c r="A128" t="s">
        <v>15</v>
      </c>
      <c r="B128" t="s">
        <v>91</v>
      </c>
      <c r="C128" t="s">
        <v>103</v>
      </c>
      <c r="D128" t="s">
        <v>104</v>
      </c>
      <c r="E128" t="s">
        <v>90</v>
      </c>
      <c r="F128" s="8" t="s">
        <v>99</v>
      </c>
      <c r="G128" t="s">
        <v>84</v>
      </c>
      <c r="J128">
        <v>288</v>
      </c>
      <c r="K128" t="s">
        <v>102</v>
      </c>
      <c r="L128" t="s">
        <v>29</v>
      </c>
      <c r="M128" t="s">
        <v>8</v>
      </c>
      <c r="N128" s="1">
        <v>536600000</v>
      </c>
      <c r="O128" s="1">
        <v>22520000</v>
      </c>
      <c r="P128" s="1">
        <v>10570000</v>
      </c>
      <c r="Q128" s="1">
        <v>10010000</v>
      </c>
      <c r="R128" s="1">
        <v>48840000</v>
      </c>
      <c r="S128" s="2">
        <f t="shared" si="12"/>
        <v>2.2433110367892977</v>
      </c>
    </row>
    <row r="129" spans="1:19" hidden="1" x14ac:dyDescent="0.2">
      <c r="A129" t="s">
        <v>53</v>
      </c>
      <c r="B129" t="s">
        <v>89</v>
      </c>
      <c r="C129" t="s">
        <v>103</v>
      </c>
      <c r="D129" t="s">
        <v>104</v>
      </c>
      <c r="E129" t="s">
        <v>90</v>
      </c>
      <c r="F129" s="8" t="s">
        <v>99</v>
      </c>
      <c r="G129" t="s">
        <v>84</v>
      </c>
      <c r="J129">
        <v>288</v>
      </c>
      <c r="K129" t="s">
        <v>102</v>
      </c>
      <c r="L129" t="s">
        <v>30</v>
      </c>
      <c r="M129" t="s">
        <v>8</v>
      </c>
      <c r="N129" s="1">
        <v>575800000</v>
      </c>
      <c r="O129" s="1">
        <v>25850000</v>
      </c>
      <c r="P129" s="1">
        <v>11390000</v>
      </c>
      <c r="Q129" s="1">
        <v>11350000</v>
      </c>
      <c r="R129" s="1">
        <v>62020000</v>
      </c>
      <c r="S129" s="2">
        <f t="shared" si="12"/>
        <v>2.4071906354515051</v>
      </c>
    </row>
    <row r="130" spans="1:19" hidden="1" x14ac:dyDescent="0.2">
      <c r="A130" t="s">
        <v>97</v>
      </c>
      <c r="B130" t="s">
        <v>91</v>
      </c>
      <c r="C130" t="s">
        <v>103</v>
      </c>
      <c r="D130" t="s">
        <v>104</v>
      </c>
      <c r="E130" t="s">
        <v>90</v>
      </c>
      <c r="F130" s="8" t="s">
        <v>99</v>
      </c>
      <c r="G130" t="s">
        <v>84</v>
      </c>
      <c r="J130">
        <v>288</v>
      </c>
      <c r="K130" t="s">
        <v>102</v>
      </c>
      <c r="L130" t="s">
        <v>31</v>
      </c>
      <c r="M130" t="s">
        <v>8</v>
      </c>
      <c r="N130" s="1">
        <v>295800000</v>
      </c>
      <c r="O130" s="1">
        <v>14180000</v>
      </c>
      <c r="P130" s="1">
        <v>3601000</v>
      </c>
      <c r="Q130" s="1">
        <v>7265000</v>
      </c>
      <c r="R130" s="1">
        <v>26370000</v>
      </c>
      <c r="S130" s="2">
        <f t="shared" si="12"/>
        <v>1.2366220735785953</v>
      </c>
    </row>
    <row r="131" spans="1:19" hidden="1" x14ac:dyDescent="0.2">
      <c r="A131" t="s">
        <v>96</v>
      </c>
      <c r="B131" t="s">
        <v>70</v>
      </c>
      <c r="C131" t="s">
        <v>103</v>
      </c>
      <c r="D131" t="s">
        <v>104</v>
      </c>
      <c r="E131" t="s">
        <v>90</v>
      </c>
      <c r="F131" s="8" t="s">
        <v>99</v>
      </c>
      <c r="G131" t="s">
        <v>84</v>
      </c>
      <c r="J131">
        <v>288</v>
      </c>
      <c r="K131" t="s">
        <v>102</v>
      </c>
      <c r="L131" t="s">
        <v>32</v>
      </c>
      <c r="M131" t="s">
        <v>8</v>
      </c>
      <c r="N131" s="1">
        <v>133400000</v>
      </c>
      <c r="O131" s="1">
        <v>24360000</v>
      </c>
      <c r="P131" s="1">
        <v>6214000</v>
      </c>
      <c r="Q131" s="1">
        <v>11040000</v>
      </c>
      <c r="R131" s="1">
        <v>39990000</v>
      </c>
      <c r="S131" s="2">
        <f t="shared" si="12"/>
        <v>0.55769230769230771</v>
      </c>
    </row>
    <row r="132" spans="1:19" hidden="1" x14ac:dyDescent="0.2">
      <c r="A132" t="s">
        <v>93</v>
      </c>
      <c r="B132" t="s">
        <v>70</v>
      </c>
      <c r="C132" t="s">
        <v>103</v>
      </c>
      <c r="D132" t="s">
        <v>104</v>
      </c>
      <c r="E132" t="s">
        <v>90</v>
      </c>
      <c r="F132" s="8" t="s">
        <v>99</v>
      </c>
      <c r="G132" t="s">
        <v>84</v>
      </c>
      <c r="J132">
        <v>288</v>
      </c>
      <c r="K132" t="s">
        <v>102</v>
      </c>
      <c r="L132" t="s">
        <v>33</v>
      </c>
      <c r="M132" t="s">
        <v>8</v>
      </c>
      <c r="N132" s="1">
        <v>500300000</v>
      </c>
      <c r="O132" s="1">
        <v>21130000</v>
      </c>
      <c r="P132" s="1">
        <v>10020000</v>
      </c>
      <c r="Q132" s="1">
        <v>7067000</v>
      </c>
      <c r="R132" s="1">
        <v>56750000</v>
      </c>
      <c r="S132" s="2">
        <f t="shared" si="12"/>
        <v>2.0915551839464883</v>
      </c>
    </row>
    <row r="133" spans="1:19" hidden="1" x14ac:dyDescent="0.2">
      <c r="A133" t="s">
        <v>53</v>
      </c>
      <c r="B133" t="s">
        <v>89</v>
      </c>
      <c r="C133" t="s">
        <v>103</v>
      </c>
      <c r="D133" t="s">
        <v>104</v>
      </c>
      <c r="E133" t="s">
        <v>90</v>
      </c>
      <c r="F133" s="8" t="s">
        <v>99</v>
      </c>
      <c r="G133" t="s">
        <v>84</v>
      </c>
      <c r="J133">
        <v>288</v>
      </c>
      <c r="K133" t="s">
        <v>102</v>
      </c>
      <c r="L133" t="s">
        <v>35</v>
      </c>
      <c r="M133" t="s">
        <v>8</v>
      </c>
      <c r="N133" s="1">
        <v>519300000</v>
      </c>
      <c r="O133" s="1">
        <v>18240000</v>
      </c>
      <c r="P133" s="1">
        <v>8701000</v>
      </c>
      <c r="Q133" s="1">
        <v>7564000</v>
      </c>
      <c r="R133" s="1">
        <v>44500000</v>
      </c>
      <c r="S133" s="2">
        <f t="shared" si="12"/>
        <v>2.1709866220735785</v>
      </c>
    </row>
    <row r="134" spans="1:19" hidden="1" x14ac:dyDescent="0.2">
      <c r="A134" t="s">
        <v>92</v>
      </c>
      <c r="B134" t="s">
        <v>91</v>
      </c>
      <c r="C134" t="s">
        <v>103</v>
      </c>
      <c r="D134" t="s">
        <v>104</v>
      </c>
      <c r="E134" t="s">
        <v>90</v>
      </c>
      <c r="F134" s="8" t="s">
        <v>99</v>
      </c>
      <c r="G134" t="s">
        <v>84</v>
      </c>
      <c r="J134">
        <v>288</v>
      </c>
      <c r="K134" t="s">
        <v>102</v>
      </c>
      <c r="L134" t="s">
        <v>36</v>
      </c>
      <c r="M134" t="s">
        <v>8</v>
      </c>
      <c r="N134" s="1">
        <v>369600000</v>
      </c>
      <c r="O134" s="1">
        <v>33180000</v>
      </c>
      <c r="P134" s="1">
        <v>23950000</v>
      </c>
      <c r="Q134" s="1">
        <v>4910000</v>
      </c>
      <c r="R134" s="1">
        <v>99040000</v>
      </c>
      <c r="S134" s="2">
        <f t="shared" si="12"/>
        <v>1.5451505016722409</v>
      </c>
    </row>
    <row r="135" spans="1:19" hidden="1" x14ac:dyDescent="0.2">
      <c r="A135" t="s">
        <v>96</v>
      </c>
      <c r="B135" t="s">
        <v>70</v>
      </c>
      <c r="C135" t="s">
        <v>103</v>
      </c>
      <c r="D135" t="s">
        <v>104</v>
      </c>
      <c r="E135" t="s">
        <v>90</v>
      </c>
      <c r="F135" s="8" t="s">
        <v>99</v>
      </c>
      <c r="G135" t="s">
        <v>84</v>
      </c>
      <c r="J135">
        <v>288</v>
      </c>
      <c r="K135" t="s">
        <v>102</v>
      </c>
      <c r="L135" t="s">
        <v>37</v>
      </c>
      <c r="M135" t="s">
        <v>8</v>
      </c>
      <c r="N135" s="1">
        <v>475200000</v>
      </c>
      <c r="O135" s="1">
        <v>59240000</v>
      </c>
      <c r="P135" s="1">
        <v>10670000</v>
      </c>
      <c r="Q135" s="1">
        <v>36440000</v>
      </c>
      <c r="R135" s="1">
        <v>100700000</v>
      </c>
      <c r="S135" s="2">
        <f t="shared" si="12"/>
        <v>1.9866220735785953</v>
      </c>
    </row>
    <row r="136" spans="1:19" hidden="1" x14ac:dyDescent="0.2">
      <c r="A136" t="s">
        <v>92</v>
      </c>
      <c r="B136" t="s">
        <v>91</v>
      </c>
      <c r="C136" t="s">
        <v>101</v>
      </c>
      <c r="D136" t="s">
        <v>55</v>
      </c>
      <c r="E136" t="s">
        <v>90</v>
      </c>
      <c r="F136" s="8" t="s">
        <v>99</v>
      </c>
      <c r="G136" t="s">
        <v>84</v>
      </c>
      <c r="J136">
        <v>288</v>
      </c>
      <c r="K136" t="s">
        <v>102</v>
      </c>
      <c r="L136" t="s">
        <v>38</v>
      </c>
      <c r="M136" t="s">
        <v>8</v>
      </c>
      <c r="N136" s="1">
        <v>2516000000</v>
      </c>
      <c r="O136" s="1">
        <v>204200000</v>
      </c>
      <c r="P136" s="1">
        <v>143300000</v>
      </c>
      <c r="Q136" s="1">
        <v>8514000</v>
      </c>
      <c r="R136" s="1">
        <v>501300000</v>
      </c>
      <c r="S136" s="2">
        <f>N136/$N$114</f>
        <v>3.8654171147641727</v>
      </c>
    </row>
    <row r="137" spans="1:19" hidden="1" x14ac:dyDescent="0.2">
      <c r="A137" t="s">
        <v>22</v>
      </c>
      <c r="B137" t="s">
        <v>91</v>
      </c>
      <c r="C137" s="9" t="s">
        <v>105</v>
      </c>
      <c r="D137" s="7" t="s">
        <v>52</v>
      </c>
      <c r="E137" t="s">
        <v>106</v>
      </c>
      <c r="F137" s="7" t="s">
        <v>52</v>
      </c>
      <c r="G137" t="s">
        <v>84</v>
      </c>
      <c r="J137">
        <v>72</v>
      </c>
      <c r="K137" t="s">
        <v>107</v>
      </c>
      <c r="L137" t="s">
        <v>7</v>
      </c>
      <c r="M137" t="s">
        <v>8</v>
      </c>
      <c r="N137" s="1">
        <v>373800000</v>
      </c>
      <c r="O137" s="1">
        <v>15730000</v>
      </c>
      <c r="P137" s="1">
        <v>2422000</v>
      </c>
      <c r="Q137" s="1">
        <v>11060000</v>
      </c>
      <c r="R137" s="1">
        <v>24360000</v>
      </c>
      <c r="S137" s="2">
        <f>N137/$N$137</f>
        <v>1</v>
      </c>
    </row>
    <row r="138" spans="1:19" hidden="1" x14ac:dyDescent="0.2">
      <c r="A138" t="s">
        <v>23</v>
      </c>
      <c r="B138" t="s">
        <v>91</v>
      </c>
      <c r="C138" s="9" t="s">
        <v>105</v>
      </c>
      <c r="D138" s="7" t="s">
        <v>52</v>
      </c>
      <c r="E138" t="s">
        <v>106</v>
      </c>
      <c r="F138" s="7" t="s">
        <v>52</v>
      </c>
      <c r="G138" t="s">
        <v>84</v>
      </c>
      <c r="J138">
        <v>72</v>
      </c>
      <c r="K138" t="s">
        <v>107</v>
      </c>
      <c r="L138" t="s">
        <v>9</v>
      </c>
      <c r="M138" t="s">
        <v>8</v>
      </c>
      <c r="N138" s="1">
        <v>347500000</v>
      </c>
      <c r="O138" s="1">
        <v>14650000</v>
      </c>
      <c r="P138" s="1">
        <v>1516000</v>
      </c>
      <c r="Q138" s="1">
        <v>11000000</v>
      </c>
      <c r="R138" s="1">
        <v>19430000</v>
      </c>
      <c r="S138" s="2">
        <f t="shared" ref="S138:S145" si="13">N138/$N$137</f>
        <v>0.92964151952915997</v>
      </c>
    </row>
    <row r="139" spans="1:19" hidden="1" x14ac:dyDescent="0.2">
      <c r="A139" t="s">
        <v>28</v>
      </c>
      <c r="B139" t="s">
        <v>91</v>
      </c>
      <c r="C139" s="9" t="s">
        <v>105</v>
      </c>
      <c r="D139" s="7" t="s">
        <v>52</v>
      </c>
      <c r="E139" t="s">
        <v>106</v>
      </c>
      <c r="F139" s="7" t="s">
        <v>52</v>
      </c>
      <c r="G139" t="s">
        <v>84</v>
      </c>
      <c r="J139">
        <v>72</v>
      </c>
      <c r="K139" t="s">
        <v>107</v>
      </c>
      <c r="L139" t="s">
        <v>10</v>
      </c>
      <c r="M139" t="s">
        <v>8</v>
      </c>
      <c r="N139" s="1">
        <v>492100000</v>
      </c>
      <c r="O139" s="1">
        <v>20710000</v>
      </c>
      <c r="P139" s="1">
        <v>10790000</v>
      </c>
      <c r="Q139" s="1">
        <v>10290000</v>
      </c>
      <c r="R139" s="1">
        <v>43560000</v>
      </c>
      <c r="S139" s="2">
        <f t="shared" si="13"/>
        <v>1.3164794007490637</v>
      </c>
    </row>
    <row r="140" spans="1:19" hidden="1" x14ac:dyDescent="0.2">
      <c r="A140" t="s">
        <v>34</v>
      </c>
      <c r="B140" t="s">
        <v>91</v>
      </c>
      <c r="C140" s="9" t="s">
        <v>105</v>
      </c>
      <c r="D140" s="7" t="s">
        <v>52</v>
      </c>
      <c r="E140" t="s">
        <v>106</v>
      </c>
      <c r="F140" s="7" t="s">
        <v>52</v>
      </c>
      <c r="G140" t="s">
        <v>84</v>
      </c>
      <c r="J140">
        <v>72</v>
      </c>
      <c r="K140" t="s">
        <v>107</v>
      </c>
      <c r="L140" t="s">
        <v>11</v>
      </c>
      <c r="M140" t="s">
        <v>8</v>
      </c>
      <c r="N140" s="1">
        <v>755900000</v>
      </c>
      <c r="O140" s="1">
        <v>21610000</v>
      </c>
      <c r="P140" s="1">
        <v>8438000</v>
      </c>
      <c r="Q140" s="1">
        <v>9881000</v>
      </c>
      <c r="R140" s="1">
        <v>41090000</v>
      </c>
      <c r="S140" s="2">
        <f t="shared" si="13"/>
        <v>2.0222043873729265</v>
      </c>
    </row>
    <row r="141" spans="1:19" hidden="1" x14ac:dyDescent="0.2">
      <c r="A141" t="s">
        <v>15</v>
      </c>
      <c r="B141" t="s">
        <v>91</v>
      </c>
      <c r="C141" s="9" t="s">
        <v>105</v>
      </c>
      <c r="D141" s="7" t="s">
        <v>52</v>
      </c>
      <c r="E141" t="s">
        <v>106</v>
      </c>
      <c r="F141" s="7" t="s">
        <v>52</v>
      </c>
      <c r="G141" t="s">
        <v>84</v>
      </c>
      <c r="J141">
        <v>72</v>
      </c>
      <c r="K141" t="s">
        <v>107</v>
      </c>
      <c r="L141" t="s">
        <v>12</v>
      </c>
      <c r="M141" t="s">
        <v>8</v>
      </c>
      <c r="N141" s="1">
        <v>296400000</v>
      </c>
      <c r="O141" s="1">
        <v>17100000</v>
      </c>
      <c r="P141" s="1">
        <v>5402000</v>
      </c>
      <c r="Q141" s="1">
        <v>9563000</v>
      </c>
      <c r="R141" s="1">
        <v>28460000</v>
      </c>
      <c r="S141" s="2">
        <f t="shared" si="13"/>
        <v>0.7929373996789727</v>
      </c>
    </row>
    <row r="142" spans="1:19" hidden="1" x14ac:dyDescent="0.2">
      <c r="A142" t="s">
        <v>108</v>
      </c>
      <c r="B142" t="s">
        <v>91</v>
      </c>
      <c r="C142" s="9" t="s">
        <v>105</v>
      </c>
      <c r="D142" s="7" t="s">
        <v>52</v>
      </c>
      <c r="E142" t="s">
        <v>106</v>
      </c>
      <c r="F142" s="7" t="s">
        <v>52</v>
      </c>
      <c r="G142" t="s">
        <v>84</v>
      </c>
      <c r="J142">
        <v>72</v>
      </c>
      <c r="K142" t="s">
        <v>107</v>
      </c>
      <c r="L142" t="s">
        <v>16</v>
      </c>
      <c r="M142" t="s">
        <v>8</v>
      </c>
      <c r="N142" s="1">
        <v>665900000</v>
      </c>
      <c r="O142" s="1">
        <v>13790000</v>
      </c>
      <c r="P142" s="1">
        <v>2855000</v>
      </c>
      <c r="Q142" s="1">
        <v>9552000</v>
      </c>
      <c r="R142" s="1">
        <v>24710000</v>
      </c>
      <c r="S142" s="2">
        <f t="shared" si="13"/>
        <v>1.7814339218833601</v>
      </c>
    </row>
    <row r="143" spans="1:19" hidden="1" x14ac:dyDescent="0.2">
      <c r="A143" t="s">
        <v>97</v>
      </c>
      <c r="B143" t="s">
        <v>91</v>
      </c>
      <c r="C143" s="9" t="s">
        <v>105</v>
      </c>
      <c r="D143" s="7" t="s">
        <v>52</v>
      </c>
      <c r="E143" t="s">
        <v>106</v>
      </c>
      <c r="F143" s="7" t="s">
        <v>52</v>
      </c>
      <c r="G143" t="s">
        <v>84</v>
      </c>
      <c r="J143">
        <v>72</v>
      </c>
      <c r="K143" t="s">
        <v>107</v>
      </c>
      <c r="L143" t="s">
        <v>17</v>
      </c>
      <c r="M143" t="s">
        <v>8</v>
      </c>
      <c r="N143" s="1">
        <v>212900000</v>
      </c>
      <c r="O143" s="1">
        <v>13370000</v>
      </c>
      <c r="P143" s="1">
        <v>940200</v>
      </c>
      <c r="Q143" s="1">
        <v>10420000</v>
      </c>
      <c r="R143" s="1">
        <v>16040000</v>
      </c>
      <c r="S143" s="2">
        <f t="shared" si="13"/>
        <v>0.56955591225254143</v>
      </c>
    </row>
    <row r="144" spans="1:19" hidden="1" x14ac:dyDescent="0.2">
      <c r="A144" t="s">
        <v>109</v>
      </c>
      <c r="B144" t="s">
        <v>91</v>
      </c>
      <c r="C144" s="9" t="s">
        <v>105</v>
      </c>
      <c r="D144" s="7" t="s">
        <v>52</v>
      </c>
      <c r="E144" t="s">
        <v>106</v>
      </c>
      <c r="F144" s="7" t="s">
        <v>52</v>
      </c>
      <c r="G144" t="s">
        <v>84</v>
      </c>
      <c r="J144">
        <v>72</v>
      </c>
      <c r="K144" t="s">
        <v>107</v>
      </c>
      <c r="L144" t="s">
        <v>18</v>
      </c>
      <c r="M144" t="s">
        <v>8</v>
      </c>
      <c r="N144" s="1">
        <v>437100000</v>
      </c>
      <c r="O144" s="1">
        <v>12720000</v>
      </c>
      <c r="P144" s="1">
        <v>948200</v>
      </c>
      <c r="Q144" s="1">
        <v>9588000</v>
      </c>
      <c r="R144" s="1">
        <v>15940000</v>
      </c>
      <c r="S144" s="2">
        <f t="shared" si="13"/>
        <v>1.1693418940609952</v>
      </c>
    </row>
    <row r="145" spans="1:19" hidden="1" x14ac:dyDescent="0.2">
      <c r="A145" t="s">
        <v>92</v>
      </c>
      <c r="B145" t="s">
        <v>91</v>
      </c>
      <c r="C145" s="9" t="s">
        <v>105</v>
      </c>
      <c r="D145" s="7" t="s">
        <v>52</v>
      </c>
      <c r="E145" t="s">
        <v>106</v>
      </c>
      <c r="F145" s="7" t="s">
        <v>52</v>
      </c>
      <c r="G145" t="s">
        <v>84</v>
      </c>
      <c r="J145">
        <v>72</v>
      </c>
      <c r="K145" t="s">
        <v>107</v>
      </c>
      <c r="L145" t="s">
        <v>19</v>
      </c>
      <c r="M145" t="s">
        <v>8</v>
      </c>
      <c r="N145" s="1">
        <v>1133000000</v>
      </c>
      <c r="O145" s="1">
        <v>14830000</v>
      </c>
      <c r="P145" s="1">
        <v>3502000</v>
      </c>
      <c r="Q145" s="1">
        <v>10020000</v>
      </c>
      <c r="R145" s="1">
        <v>39670000</v>
      </c>
      <c r="S145" s="2">
        <f t="shared" si="13"/>
        <v>3.0310326377742109</v>
      </c>
    </row>
    <row r="146" spans="1:19" hidden="1" x14ac:dyDescent="0.2">
      <c r="A146" t="s">
        <v>22</v>
      </c>
      <c r="B146" t="s">
        <v>91</v>
      </c>
      <c r="C146" s="10" t="s">
        <v>110</v>
      </c>
      <c r="D146" t="s">
        <v>104</v>
      </c>
      <c r="E146" t="s">
        <v>106</v>
      </c>
      <c r="F146" s="8" t="s">
        <v>99</v>
      </c>
      <c r="G146" t="s">
        <v>84</v>
      </c>
      <c r="J146">
        <v>72</v>
      </c>
      <c r="K146" t="s">
        <v>107</v>
      </c>
      <c r="L146" t="s">
        <v>20</v>
      </c>
      <c r="M146" t="s">
        <v>8</v>
      </c>
      <c r="N146" s="1">
        <v>534700000</v>
      </c>
      <c r="O146" s="1">
        <v>22470000</v>
      </c>
      <c r="P146" s="1">
        <v>19040000</v>
      </c>
      <c r="Q146" s="1">
        <v>10700000</v>
      </c>
      <c r="R146" s="1">
        <v>94610000</v>
      </c>
      <c r="S146" s="2">
        <f>N146/$N$146</f>
        <v>1</v>
      </c>
    </row>
    <row r="147" spans="1:19" hidden="1" x14ac:dyDescent="0.2">
      <c r="A147" t="s">
        <v>23</v>
      </c>
      <c r="B147" t="s">
        <v>91</v>
      </c>
      <c r="C147" s="10" t="s">
        <v>110</v>
      </c>
      <c r="D147" t="s">
        <v>104</v>
      </c>
      <c r="E147" t="s">
        <v>106</v>
      </c>
      <c r="F147" s="8" t="s">
        <v>99</v>
      </c>
      <c r="G147" t="s">
        <v>84</v>
      </c>
      <c r="J147">
        <v>72</v>
      </c>
      <c r="K147" t="s">
        <v>107</v>
      </c>
      <c r="L147" t="s">
        <v>24</v>
      </c>
      <c r="M147" t="s">
        <v>8</v>
      </c>
      <c r="N147" s="1">
        <v>1673000000</v>
      </c>
      <c r="O147" s="1">
        <v>79590000</v>
      </c>
      <c r="P147" s="1">
        <v>52010000</v>
      </c>
      <c r="Q147" s="1">
        <v>10630000</v>
      </c>
      <c r="R147" s="1">
        <v>204300000</v>
      </c>
      <c r="S147" s="2">
        <f t="shared" ref="S147:S154" si="14">N147/$N$146</f>
        <v>3.1288573031606508</v>
      </c>
    </row>
    <row r="148" spans="1:19" hidden="1" x14ac:dyDescent="0.2">
      <c r="A148" t="s">
        <v>28</v>
      </c>
      <c r="B148" t="s">
        <v>91</v>
      </c>
      <c r="C148" s="10" t="s">
        <v>110</v>
      </c>
      <c r="D148" t="s">
        <v>104</v>
      </c>
      <c r="E148" t="s">
        <v>106</v>
      </c>
      <c r="F148" s="8" t="s">
        <v>99</v>
      </c>
      <c r="G148" t="s">
        <v>84</v>
      </c>
      <c r="J148">
        <v>72</v>
      </c>
      <c r="K148" t="s">
        <v>107</v>
      </c>
      <c r="L148" t="s">
        <v>25</v>
      </c>
      <c r="M148" t="s">
        <v>8</v>
      </c>
      <c r="N148" s="1">
        <v>392700000</v>
      </c>
      <c r="O148" s="1">
        <v>30290000</v>
      </c>
      <c r="P148" s="1">
        <v>13410000</v>
      </c>
      <c r="Q148" s="1">
        <v>11250000</v>
      </c>
      <c r="R148" s="1">
        <v>68570000</v>
      </c>
      <c r="S148" s="2">
        <f t="shared" si="14"/>
        <v>0.73443052178791846</v>
      </c>
    </row>
    <row r="149" spans="1:19" hidden="1" x14ac:dyDescent="0.2">
      <c r="A149" t="s">
        <v>34</v>
      </c>
      <c r="B149" t="s">
        <v>91</v>
      </c>
      <c r="C149" s="10" t="s">
        <v>110</v>
      </c>
      <c r="D149" t="s">
        <v>104</v>
      </c>
      <c r="E149" t="s">
        <v>106</v>
      </c>
      <c r="F149" s="8" t="s">
        <v>99</v>
      </c>
      <c r="G149" t="s">
        <v>84</v>
      </c>
      <c r="J149">
        <v>72</v>
      </c>
      <c r="K149" t="s">
        <v>107</v>
      </c>
      <c r="L149" t="s">
        <v>26</v>
      </c>
      <c r="M149" t="s">
        <v>8</v>
      </c>
      <c r="N149" s="1">
        <v>4350000000</v>
      </c>
      <c r="O149" s="1">
        <v>89200000</v>
      </c>
      <c r="P149" s="1">
        <v>91810000</v>
      </c>
      <c r="Q149" s="1">
        <v>10490000</v>
      </c>
      <c r="R149" s="1">
        <v>737700000</v>
      </c>
      <c r="S149" s="2">
        <f t="shared" si="14"/>
        <v>8.1354030297363007</v>
      </c>
    </row>
    <row r="150" spans="1:19" hidden="1" x14ac:dyDescent="0.2">
      <c r="A150" t="s">
        <v>15</v>
      </c>
      <c r="B150" t="s">
        <v>91</v>
      </c>
      <c r="C150" s="10" t="s">
        <v>110</v>
      </c>
      <c r="D150" t="s">
        <v>104</v>
      </c>
      <c r="E150" t="s">
        <v>106</v>
      </c>
      <c r="F150" s="8" t="s">
        <v>99</v>
      </c>
      <c r="G150" t="s">
        <v>84</v>
      </c>
      <c r="J150">
        <v>72</v>
      </c>
      <c r="K150" t="s">
        <v>107</v>
      </c>
      <c r="L150" t="s">
        <v>27</v>
      </c>
      <c r="M150" t="s">
        <v>8</v>
      </c>
      <c r="N150" s="1">
        <v>633000000</v>
      </c>
      <c r="O150" s="1">
        <v>40320000</v>
      </c>
      <c r="P150" s="1">
        <v>31640000</v>
      </c>
      <c r="Q150" s="1">
        <v>10510000</v>
      </c>
      <c r="R150" s="1">
        <v>98340000</v>
      </c>
      <c r="S150" s="2">
        <f t="shared" si="14"/>
        <v>1.18384140639611</v>
      </c>
    </row>
    <row r="151" spans="1:19" hidden="1" x14ac:dyDescent="0.2">
      <c r="A151" t="s">
        <v>108</v>
      </c>
      <c r="B151" t="s">
        <v>91</v>
      </c>
      <c r="C151" s="10" t="s">
        <v>110</v>
      </c>
      <c r="D151" t="s">
        <v>104</v>
      </c>
      <c r="E151" t="s">
        <v>106</v>
      </c>
      <c r="F151" s="8" t="s">
        <v>99</v>
      </c>
      <c r="G151" t="s">
        <v>84</v>
      </c>
      <c r="J151">
        <v>72</v>
      </c>
      <c r="K151" t="s">
        <v>107</v>
      </c>
      <c r="L151" t="s">
        <v>29</v>
      </c>
      <c r="M151" t="s">
        <v>8</v>
      </c>
      <c r="N151" s="1">
        <v>2060000000</v>
      </c>
      <c r="O151" s="1">
        <v>66160000</v>
      </c>
      <c r="P151" s="1">
        <v>67050000</v>
      </c>
      <c r="Q151" s="1">
        <v>9493000</v>
      </c>
      <c r="R151" s="1">
        <v>226600000</v>
      </c>
      <c r="S151" s="2">
        <f t="shared" si="14"/>
        <v>3.8526276416682252</v>
      </c>
    </row>
    <row r="152" spans="1:19" hidden="1" x14ac:dyDescent="0.2">
      <c r="A152" t="s">
        <v>97</v>
      </c>
      <c r="B152" t="s">
        <v>91</v>
      </c>
      <c r="C152" s="10" t="s">
        <v>110</v>
      </c>
      <c r="D152" t="s">
        <v>104</v>
      </c>
      <c r="E152" t="s">
        <v>106</v>
      </c>
      <c r="F152" s="8" t="s">
        <v>99</v>
      </c>
      <c r="G152" t="s">
        <v>84</v>
      </c>
      <c r="J152">
        <v>72</v>
      </c>
      <c r="K152" t="s">
        <v>107</v>
      </c>
      <c r="L152" t="s">
        <v>30</v>
      </c>
      <c r="M152" t="s">
        <v>8</v>
      </c>
      <c r="N152" s="1">
        <v>297100000</v>
      </c>
      <c r="O152" s="1">
        <v>22460000</v>
      </c>
      <c r="P152" s="1">
        <v>12700000</v>
      </c>
      <c r="Q152" s="1">
        <v>10280000</v>
      </c>
      <c r="R152" s="1">
        <v>48490000</v>
      </c>
      <c r="S152" s="2">
        <f t="shared" si="14"/>
        <v>0.55563867589302418</v>
      </c>
    </row>
    <row r="153" spans="1:19" hidden="1" x14ac:dyDescent="0.2">
      <c r="A153" t="s">
        <v>109</v>
      </c>
      <c r="B153" t="s">
        <v>91</v>
      </c>
      <c r="C153" s="10" t="s">
        <v>110</v>
      </c>
      <c r="D153" t="s">
        <v>104</v>
      </c>
      <c r="E153" t="s">
        <v>106</v>
      </c>
      <c r="F153" s="8" t="s">
        <v>99</v>
      </c>
      <c r="G153" t="s">
        <v>84</v>
      </c>
      <c r="J153">
        <v>72</v>
      </c>
      <c r="K153" t="s">
        <v>107</v>
      </c>
      <c r="L153" t="s">
        <v>31</v>
      </c>
      <c r="M153" t="s">
        <v>8</v>
      </c>
      <c r="N153" s="1">
        <v>353200000</v>
      </c>
      <c r="O153" s="1">
        <v>23890000</v>
      </c>
      <c r="P153" s="1">
        <v>15440000</v>
      </c>
      <c r="Q153" s="1">
        <v>10090000</v>
      </c>
      <c r="R153" s="1">
        <v>64870000</v>
      </c>
      <c r="S153" s="2">
        <f t="shared" si="14"/>
        <v>0.66055732186272675</v>
      </c>
    </row>
    <row r="154" spans="1:19" hidden="1" x14ac:dyDescent="0.2">
      <c r="A154" t="s">
        <v>92</v>
      </c>
      <c r="B154" t="s">
        <v>91</v>
      </c>
      <c r="C154" s="10" t="s">
        <v>110</v>
      </c>
      <c r="D154" t="s">
        <v>104</v>
      </c>
      <c r="E154" t="s">
        <v>106</v>
      </c>
      <c r="F154" s="8" t="s">
        <v>99</v>
      </c>
      <c r="G154" t="s">
        <v>84</v>
      </c>
      <c r="J154">
        <v>72</v>
      </c>
      <c r="K154" t="s">
        <v>107</v>
      </c>
      <c r="L154" t="s">
        <v>32</v>
      </c>
      <c r="M154" t="s">
        <v>8</v>
      </c>
      <c r="N154" s="1">
        <v>2509000000</v>
      </c>
      <c r="O154" s="1">
        <v>23240000</v>
      </c>
      <c r="P154" s="1">
        <v>22550000</v>
      </c>
      <c r="Q154" s="1">
        <v>10080000</v>
      </c>
      <c r="R154" s="1">
        <v>172800000</v>
      </c>
      <c r="S154" s="2">
        <f t="shared" si="14"/>
        <v>4.6923508509444547</v>
      </c>
    </row>
    <row r="155" spans="1:19" hidden="1" x14ac:dyDescent="0.2">
      <c r="A155" t="s">
        <v>22</v>
      </c>
      <c r="B155" t="s">
        <v>91</v>
      </c>
      <c r="C155" s="10" t="s">
        <v>111</v>
      </c>
      <c r="D155" t="s">
        <v>55</v>
      </c>
      <c r="E155" t="s">
        <v>106</v>
      </c>
      <c r="F155" s="8" t="s">
        <v>99</v>
      </c>
      <c r="G155" t="s">
        <v>84</v>
      </c>
      <c r="J155">
        <v>72</v>
      </c>
      <c r="K155" t="s">
        <v>107</v>
      </c>
      <c r="L155" t="s">
        <v>33</v>
      </c>
      <c r="M155" t="s">
        <v>8</v>
      </c>
      <c r="N155" s="1">
        <v>584600000</v>
      </c>
      <c r="O155" s="1">
        <v>40050000</v>
      </c>
      <c r="P155" s="1">
        <v>40580000</v>
      </c>
      <c r="Q155" s="1">
        <v>11290000</v>
      </c>
      <c r="R155" s="1">
        <v>131200000</v>
      </c>
      <c r="S155" s="2">
        <f>N155/$N$155</f>
        <v>1</v>
      </c>
    </row>
    <row r="156" spans="1:19" hidden="1" x14ac:dyDescent="0.2">
      <c r="A156" t="s">
        <v>23</v>
      </c>
      <c r="B156" t="s">
        <v>91</v>
      </c>
      <c r="C156" s="10" t="s">
        <v>111</v>
      </c>
      <c r="D156" t="s">
        <v>55</v>
      </c>
      <c r="E156" t="s">
        <v>106</v>
      </c>
      <c r="F156" s="8" t="s">
        <v>99</v>
      </c>
      <c r="G156" t="s">
        <v>84</v>
      </c>
      <c r="J156">
        <v>72</v>
      </c>
      <c r="K156" t="s">
        <v>107</v>
      </c>
      <c r="L156" t="s">
        <v>35</v>
      </c>
      <c r="M156" t="s">
        <v>8</v>
      </c>
      <c r="N156" s="1">
        <v>1869000000</v>
      </c>
      <c r="O156" s="1">
        <v>78530000</v>
      </c>
      <c r="P156" s="1">
        <v>52830000</v>
      </c>
      <c r="Q156" s="1">
        <v>10540000</v>
      </c>
      <c r="R156" s="1">
        <v>185500000</v>
      </c>
      <c r="S156" s="2">
        <f t="shared" ref="S156:S163" si="15">N156/$N$155</f>
        <v>3.197057817310982</v>
      </c>
    </row>
    <row r="157" spans="1:19" hidden="1" x14ac:dyDescent="0.2">
      <c r="A157" t="s">
        <v>28</v>
      </c>
      <c r="B157" t="s">
        <v>91</v>
      </c>
      <c r="C157" s="10" t="s">
        <v>111</v>
      </c>
      <c r="D157" t="s">
        <v>55</v>
      </c>
      <c r="E157" t="s">
        <v>106</v>
      </c>
      <c r="F157" s="8" t="s">
        <v>99</v>
      </c>
      <c r="G157" t="s">
        <v>84</v>
      </c>
      <c r="J157">
        <v>72</v>
      </c>
      <c r="K157" t="s">
        <v>107</v>
      </c>
      <c r="L157" t="s">
        <v>36</v>
      </c>
      <c r="M157" t="s">
        <v>8</v>
      </c>
      <c r="N157" s="1">
        <v>726600000</v>
      </c>
      <c r="O157" s="1">
        <v>38770000</v>
      </c>
      <c r="P157" s="1">
        <v>27770000</v>
      </c>
      <c r="Q157" s="1">
        <v>10790000</v>
      </c>
      <c r="R157" s="1">
        <v>88690000</v>
      </c>
      <c r="S157" s="2">
        <f t="shared" si="15"/>
        <v>1.2429011289770784</v>
      </c>
    </row>
    <row r="158" spans="1:19" hidden="1" x14ac:dyDescent="0.2">
      <c r="A158" t="s">
        <v>34</v>
      </c>
      <c r="B158" t="s">
        <v>91</v>
      </c>
      <c r="C158" s="10" t="s">
        <v>111</v>
      </c>
      <c r="D158" t="s">
        <v>55</v>
      </c>
      <c r="E158" t="s">
        <v>106</v>
      </c>
      <c r="F158" s="8" t="s">
        <v>99</v>
      </c>
      <c r="G158" t="s">
        <v>84</v>
      </c>
      <c r="J158">
        <v>72</v>
      </c>
      <c r="K158" t="s">
        <v>107</v>
      </c>
      <c r="L158" t="s">
        <v>37</v>
      </c>
      <c r="M158" t="s">
        <v>8</v>
      </c>
      <c r="N158" s="1">
        <v>4926000000</v>
      </c>
      <c r="O158" s="1">
        <v>206700000</v>
      </c>
      <c r="P158" s="1">
        <v>110800000</v>
      </c>
      <c r="Q158" s="1">
        <v>12060000</v>
      </c>
      <c r="R158" s="1">
        <v>378700000</v>
      </c>
      <c r="S158" s="2">
        <f t="shared" si="15"/>
        <v>8.426274375641464</v>
      </c>
    </row>
    <row r="159" spans="1:19" hidden="1" x14ac:dyDescent="0.2">
      <c r="A159" t="s">
        <v>15</v>
      </c>
      <c r="B159" t="s">
        <v>91</v>
      </c>
      <c r="C159" s="10" t="s">
        <v>111</v>
      </c>
      <c r="D159" t="s">
        <v>55</v>
      </c>
      <c r="E159" t="s">
        <v>106</v>
      </c>
      <c r="F159" s="8" t="s">
        <v>99</v>
      </c>
      <c r="G159" t="s">
        <v>84</v>
      </c>
      <c r="J159">
        <v>72</v>
      </c>
      <c r="K159" t="s">
        <v>107</v>
      </c>
      <c r="L159" t="s">
        <v>38</v>
      </c>
      <c r="M159" t="s">
        <v>8</v>
      </c>
      <c r="N159" s="1">
        <v>563000000</v>
      </c>
      <c r="O159" s="1">
        <v>39390000</v>
      </c>
      <c r="P159" s="1">
        <v>29580000</v>
      </c>
      <c r="Q159" s="1">
        <v>11360000</v>
      </c>
      <c r="R159" s="1">
        <v>96130000</v>
      </c>
      <c r="S159" s="2">
        <f t="shared" si="15"/>
        <v>0.96305165925419089</v>
      </c>
    </row>
    <row r="160" spans="1:19" hidden="1" x14ac:dyDescent="0.2">
      <c r="A160" t="s">
        <v>108</v>
      </c>
      <c r="B160" t="s">
        <v>91</v>
      </c>
      <c r="C160" s="10" t="s">
        <v>111</v>
      </c>
      <c r="D160" t="s">
        <v>55</v>
      </c>
      <c r="E160" t="s">
        <v>106</v>
      </c>
      <c r="F160" s="8" t="s">
        <v>99</v>
      </c>
      <c r="G160" t="s">
        <v>84</v>
      </c>
      <c r="J160">
        <v>72</v>
      </c>
      <c r="K160" t="s">
        <v>107</v>
      </c>
      <c r="L160" t="s">
        <v>39</v>
      </c>
      <c r="M160" t="s">
        <v>8</v>
      </c>
      <c r="N160" s="1">
        <v>1252000000</v>
      </c>
      <c r="O160" s="1">
        <v>35750000</v>
      </c>
      <c r="P160" s="1">
        <v>35430000</v>
      </c>
      <c r="Q160" s="1">
        <v>10890000</v>
      </c>
      <c r="R160" s="1">
        <v>206000000</v>
      </c>
      <c r="S160" s="2">
        <f t="shared" si="15"/>
        <v>2.1416353061922684</v>
      </c>
    </row>
    <row r="161" spans="1:19" hidden="1" x14ac:dyDescent="0.2">
      <c r="A161" t="s">
        <v>97</v>
      </c>
      <c r="B161" t="s">
        <v>91</v>
      </c>
      <c r="C161" s="10" t="s">
        <v>111</v>
      </c>
      <c r="D161" t="s">
        <v>55</v>
      </c>
      <c r="E161" t="s">
        <v>106</v>
      </c>
      <c r="F161" s="8" t="s">
        <v>99</v>
      </c>
      <c r="G161" t="s">
        <v>84</v>
      </c>
      <c r="J161">
        <v>72</v>
      </c>
      <c r="K161" t="s">
        <v>107</v>
      </c>
      <c r="L161" t="s">
        <v>21</v>
      </c>
      <c r="M161" t="s">
        <v>8</v>
      </c>
      <c r="N161" s="1">
        <v>245000000</v>
      </c>
      <c r="O161" s="1">
        <v>19010000</v>
      </c>
      <c r="P161" s="1">
        <v>9161000</v>
      </c>
      <c r="Q161" s="1">
        <v>11420000</v>
      </c>
      <c r="R161" s="1">
        <v>44340000</v>
      </c>
      <c r="S161" s="2">
        <f t="shared" si="15"/>
        <v>0.41908997605200138</v>
      </c>
    </row>
    <row r="162" spans="1:19" hidden="1" x14ac:dyDescent="0.2">
      <c r="A162" t="s">
        <v>109</v>
      </c>
      <c r="B162" t="s">
        <v>91</v>
      </c>
      <c r="C162" s="10" t="s">
        <v>111</v>
      </c>
      <c r="D162" t="s">
        <v>55</v>
      </c>
      <c r="E162" t="s">
        <v>106</v>
      </c>
      <c r="F162" s="8" t="s">
        <v>99</v>
      </c>
      <c r="G162" t="s">
        <v>84</v>
      </c>
      <c r="J162">
        <v>72</v>
      </c>
      <c r="K162" t="s">
        <v>107</v>
      </c>
      <c r="L162" t="s">
        <v>40</v>
      </c>
      <c r="M162" t="s">
        <v>8</v>
      </c>
      <c r="N162" s="1">
        <v>361600000</v>
      </c>
      <c r="O162" s="1">
        <v>19380000</v>
      </c>
      <c r="P162" s="1">
        <v>8928000</v>
      </c>
      <c r="Q162" s="1">
        <v>11750000</v>
      </c>
      <c r="R162" s="1">
        <v>45160000</v>
      </c>
      <c r="S162" s="2">
        <f t="shared" si="15"/>
        <v>0.61854259322613758</v>
      </c>
    </row>
    <row r="163" spans="1:19" hidden="1" x14ac:dyDescent="0.2">
      <c r="A163" t="s">
        <v>92</v>
      </c>
      <c r="B163" t="s">
        <v>91</v>
      </c>
      <c r="C163" s="10" t="s">
        <v>111</v>
      </c>
      <c r="D163" t="s">
        <v>55</v>
      </c>
      <c r="E163" t="s">
        <v>106</v>
      </c>
      <c r="F163" s="8" t="s">
        <v>99</v>
      </c>
      <c r="G163" t="s">
        <v>84</v>
      </c>
      <c r="J163">
        <v>72</v>
      </c>
      <c r="K163" t="s">
        <v>107</v>
      </c>
      <c r="L163" t="s">
        <v>41</v>
      </c>
      <c r="M163" t="s">
        <v>8</v>
      </c>
      <c r="N163" s="1">
        <v>2801000000</v>
      </c>
      <c r="O163" s="1">
        <v>21390000</v>
      </c>
      <c r="P163" s="1">
        <v>16680000</v>
      </c>
      <c r="Q163" s="1">
        <v>10330000</v>
      </c>
      <c r="R163" s="1">
        <v>113500000</v>
      </c>
      <c r="S163" s="2">
        <f t="shared" si="15"/>
        <v>4.791310297639412</v>
      </c>
    </row>
    <row r="164" spans="1:19" hidden="1" x14ac:dyDescent="0.2">
      <c r="A164" t="s">
        <v>22</v>
      </c>
      <c r="B164" t="s">
        <v>91</v>
      </c>
      <c r="C164" s="11" t="s">
        <v>112</v>
      </c>
      <c r="D164" s="7" t="s">
        <v>52</v>
      </c>
      <c r="E164" t="s">
        <v>106</v>
      </c>
      <c r="F164" s="7" t="s">
        <v>52</v>
      </c>
      <c r="G164" t="s">
        <v>84</v>
      </c>
      <c r="J164">
        <v>72</v>
      </c>
      <c r="K164" t="s">
        <v>113</v>
      </c>
      <c r="L164" t="s">
        <v>7</v>
      </c>
      <c r="M164" t="s">
        <v>8</v>
      </c>
      <c r="N164" s="1">
        <v>425600000</v>
      </c>
      <c r="O164" s="1">
        <v>18750000</v>
      </c>
      <c r="P164" s="1">
        <v>2649000</v>
      </c>
      <c r="Q164" s="1">
        <v>12740000</v>
      </c>
      <c r="R164" s="1">
        <v>27420000</v>
      </c>
      <c r="S164" s="2">
        <f>N164/$N$164</f>
        <v>1</v>
      </c>
    </row>
    <row r="165" spans="1:19" hidden="1" x14ac:dyDescent="0.2">
      <c r="A165" t="s">
        <v>23</v>
      </c>
      <c r="B165" t="s">
        <v>91</v>
      </c>
      <c r="C165" s="11" t="s">
        <v>112</v>
      </c>
      <c r="D165" s="7" t="s">
        <v>52</v>
      </c>
      <c r="E165" t="s">
        <v>106</v>
      </c>
      <c r="F165" s="7" t="s">
        <v>52</v>
      </c>
      <c r="G165" t="s">
        <v>84</v>
      </c>
      <c r="J165">
        <v>72</v>
      </c>
      <c r="K165" t="s">
        <v>113</v>
      </c>
      <c r="L165" t="s">
        <v>9</v>
      </c>
      <c r="M165" t="s">
        <v>8</v>
      </c>
      <c r="N165" s="1">
        <v>777700000</v>
      </c>
      <c r="O165" s="1">
        <v>18140000</v>
      </c>
      <c r="P165" s="1">
        <v>1569000</v>
      </c>
      <c r="Q165" s="1">
        <v>13840000</v>
      </c>
      <c r="R165" s="1">
        <v>22980000</v>
      </c>
      <c r="S165" s="2">
        <f t="shared" ref="S165:S172" si="16">N165/$N$164</f>
        <v>1.8273026315789473</v>
      </c>
    </row>
    <row r="166" spans="1:19" hidden="1" x14ac:dyDescent="0.2">
      <c r="A166" t="s">
        <v>28</v>
      </c>
      <c r="B166" t="s">
        <v>91</v>
      </c>
      <c r="C166" s="11" t="s">
        <v>112</v>
      </c>
      <c r="D166" s="7" t="s">
        <v>52</v>
      </c>
      <c r="E166" t="s">
        <v>106</v>
      </c>
      <c r="F166" s="7" t="s">
        <v>52</v>
      </c>
      <c r="G166" t="s">
        <v>84</v>
      </c>
      <c r="J166">
        <v>72</v>
      </c>
      <c r="K166" t="s">
        <v>113</v>
      </c>
      <c r="L166" t="s">
        <v>10</v>
      </c>
      <c r="M166" t="s">
        <v>8</v>
      </c>
      <c r="N166" s="1">
        <v>864400000</v>
      </c>
      <c r="O166" s="1">
        <v>23390000</v>
      </c>
      <c r="P166" s="1">
        <v>10960000</v>
      </c>
      <c r="Q166" s="1">
        <v>12160000</v>
      </c>
      <c r="R166" s="1">
        <v>52620000</v>
      </c>
      <c r="S166" s="2">
        <f t="shared" si="16"/>
        <v>2.0310150375939848</v>
      </c>
    </row>
    <row r="167" spans="1:19" hidden="1" x14ac:dyDescent="0.2">
      <c r="A167" t="s">
        <v>34</v>
      </c>
      <c r="B167" t="s">
        <v>91</v>
      </c>
      <c r="C167" s="11" t="s">
        <v>112</v>
      </c>
      <c r="D167" s="7" t="s">
        <v>52</v>
      </c>
      <c r="E167" t="s">
        <v>106</v>
      </c>
      <c r="F167" s="7" t="s">
        <v>52</v>
      </c>
      <c r="G167" t="s">
        <v>84</v>
      </c>
      <c r="J167">
        <v>72</v>
      </c>
      <c r="K167" t="s">
        <v>113</v>
      </c>
      <c r="L167" t="s">
        <v>11</v>
      </c>
      <c r="M167" t="s">
        <v>8</v>
      </c>
      <c r="N167" s="1">
        <v>1243000000</v>
      </c>
      <c r="O167" s="1">
        <v>24420000</v>
      </c>
      <c r="P167" s="1">
        <v>9332000</v>
      </c>
      <c r="Q167" s="1">
        <v>11990000</v>
      </c>
      <c r="R167" s="1">
        <v>49980000</v>
      </c>
      <c r="S167" s="2">
        <f t="shared" si="16"/>
        <v>2.9205827067669174</v>
      </c>
    </row>
    <row r="168" spans="1:19" hidden="1" x14ac:dyDescent="0.2">
      <c r="A168" t="s">
        <v>15</v>
      </c>
      <c r="B168" t="s">
        <v>91</v>
      </c>
      <c r="C168" s="11" t="s">
        <v>112</v>
      </c>
      <c r="D168" s="7" t="s">
        <v>52</v>
      </c>
      <c r="E168" t="s">
        <v>106</v>
      </c>
      <c r="F168" s="7" t="s">
        <v>52</v>
      </c>
      <c r="G168" t="s">
        <v>84</v>
      </c>
      <c r="J168">
        <v>72</v>
      </c>
      <c r="K168" t="s">
        <v>113</v>
      </c>
      <c r="L168" t="s">
        <v>12</v>
      </c>
      <c r="M168" t="s">
        <v>8</v>
      </c>
      <c r="N168" s="1">
        <v>396700000</v>
      </c>
      <c r="O168" s="1">
        <v>22230000</v>
      </c>
      <c r="P168" s="1">
        <v>6145000</v>
      </c>
      <c r="Q168" s="1">
        <v>12700000</v>
      </c>
      <c r="R168" s="1">
        <v>34810000</v>
      </c>
      <c r="S168" s="2">
        <f t="shared" si="16"/>
        <v>0.93209586466165417</v>
      </c>
    </row>
    <row r="169" spans="1:19" hidden="1" x14ac:dyDescent="0.2">
      <c r="A169" t="s">
        <v>108</v>
      </c>
      <c r="B169" t="s">
        <v>91</v>
      </c>
      <c r="C169" s="11" t="s">
        <v>112</v>
      </c>
      <c r="D169" s="7" t="s">
        <v>52</v>
      </c>
      <c r="E169" t="s">
        <v>106</v>
      </c>
      <c r="F169" s="7" t="s">
        <v>52</v>
      </c>
      <c r="G169" t="s">
        <v>84</v>
      </c>
      <c r="J169">
        <v>72</v>
      </c>
      <c r="K169" t="s">
        <v>113</v>
      </c>
      <c r="L169" t="s">
        <v>16</v>
      </c>
      <c r="M169" t="s">
        <v>8</v>
      </c>
      <c r="N169" s="1">
        <v>1064000000</v>
      </c>
      <c r="O169" s="1">
        <v>18160000</v>
      </c>
      <c r="P169" s="1">
        <v>2753000</v>
      </c>
      <c r="Q169" s="1">
        <v>13960000</v>
      </c>
      <c r="R169" s="1">
        <v>29750000</v>
      </c>
      <c r="S169" s="2">
        <f t="shared" si="16"/>
        <v>2.5</v>
      </c>
    </row>
    <row r="170" spans="1:19" hidden="1" x14ac:dyDescent="0.2">
      <c r="A170" t="s">
        <v>97</v>
      </c>
      <c r="B170" t="s">
        <v>91</v>
      </c>
      <c r="C170" s="11" t="s">
        <v>112</v>
      </c>
      <c r="D170" s="7" t="s">
        <v>52</v>
      </c>
      <c r="E170" t="s">
        <v>106</v>
      </c>
      <c r="F170" s="7" t="s">
        <v>52</v>
      </c>
      <c r="G170" t="s">
        <v>84</v>
      </c>
      <c r="J170">
        <v>72</v>
      </c>
      <c r="K170" t="s">
        <v>113</v>
      </c>
      <c r="L170" t="s">
        <v>17</v>
      </c>
      <c r="M170" t="s">
        <v>8</v>
      </c>
      <c r="N170" s="1">
        <v>519300000</v>
      </c>
      <c r="O170" s="1">
        <v>17020000</v>
      </c>
      <c r="P170" s="1">
        <v>1455000</v>
      </c>
      <c r="Q170" s="1">
        <v>10670000</v>
      </c>
      <c r="R170" s="1">
        <v>20740000</v>
      </c>
      <c r="S170" s="2">
        <f t="shared" si="16"/>
        <v>1.2201597744360901</v>
      </c>
    </row>
    <row r="171" spans="1:19" hidden="1" x14ac:dyDescent="0.2">
      <c r="A171" t="s">
        <v>109</v>
      </c>
      <c r="B171" t="s">
        <v>91</v>
      </c>
      <c r="C171" s="11" t="s">
        <v>112</v>
      </c>
      <c r="D171" s="7" t="s">
        <v>52</v>
      </c>
      <c r="E171" t="s">
        <v>106</v>
      </c>
      <c r="F171" s="7" t="s">
        <v>52</v>
      </c>
      <c r="G171" t="s">
        <v>84</v>
      </c>
      <c r="J171">
        <v>72</v>
      </c>
      <c r="K171" t="s">
        <v>113</v>
      </c>
      <c r="L171" t="s">
        <v>18</v>
      </c>
      <c r="M171" t="s">
        <v>8</v>
      </c>
      <c r="N171" s="1">
        <v>420700000</v>
      </c>
      <c r="O171" s="1">
        <v>17170000</v>
      </c>
      <c r="P171" s="1">
        <v>1016000</v>
      </c>
      <c r="Q171" s="1">
        <v>14850000</v>
      </c>
      <c r="R171" s="1">
        <v>20300000</v>
      </c>
      <c r="S171" s="2">
        <f t="shared" si="16"/>
        <v>0.98848684210526316</v>
      </c>
    </row>
    <row r="172" spans="1:19" hidden="1" x14ac:dyDescent="0.2">
      <c r="A172" t="s">
        <v>92</v>
      </c>
      <c r="B172" t="s">
        <v>91</v>
      </c>
      <c r="C172" s="11" t="s">
        <v>112</v>
      </c>
      <c r="D172" s="7" t="s">
        <v>52</v>
      </c>
      <c r="E172" t="s">
        <v>106</v>
      </c>
      <c r="F172" s="7" t="s">
        <v>52</v>
      </c>
      <c r="G172" t="s">
        <v>84</v>
      </c>
      <c r="J172">
        <v>72</v>
      </c>
      <c r="K172" t="s">
        <v>113</v>
      </c>
      <c r="L172" t="s">
        <v>19</v>
      </c>
      <c r="M172" t="s">
        <v>8</v>
      </c>
      <c r="N172" s="1">
        <v>2362000000</v>
      </c>
      <c r="O172" s="1">
        <v>18040000</v>
      </c>
      <c r="P172" s="1">
        <v>2893000</v>
      </c>
      <c r="Q172" s="1">
        <v>11160000</v>
      </c>
      <c r="R172" s="1">
        <v>42130000</v>
      </c>
      <c r="S172" s="2">
        <f t="shared" si="16"/>
        <v>5.5498120300751879</v>
      </c>
    </row>
    <row r="173" spans="1:19" hidden="1" x14ac:dyDescent="0.2">
      <c r="A173" t="s">
        <v>22</v>
      </c>
      <c r="B173" t="s">
        <v>91</v>
      </c>
      <c r="C173" s="12" t="s">
        <v>114</v>
      </c>
      <c r="D173" s="7" t="s">
        <v>52</v>
      </c>
      <c r="E173" t="s">
        <v>106</v>
      </c>
      <c r="F173" s="7" t="s">
        <v>52</v>
      </c>
      <c r="G173" t="s">
        <v>84</v>
      </c>
      <c r="J173">
        <v>72</v>
      </c>
      <c r="K173" t="s">
        <v>113</v>
      </c>
      <c r="L173" t="s">
        <v>20</v>
      </c>
      <c r="M173" t="s">
        <v>8</v>
      </c>
      <c r="N173" s="1">
        <v>315700000</v>
      </c>
      <c r="O173" s="1">
        <v>19170000</v>
      </c>
      <c r="P173" s="1">
        <v>2896000</v>
      </c>
      <c r="Q173" s="1">
        <v>13700000</v>
      </c>
      <c r="R173" s="1">
        <v>27200000</v>
      </c>
      <c r="S173" s="2">
        <f>N173/$N$173</f>
        <v>1</v>
      </c>
    </row>
    <row r="174" spans="1:19" hidden="1" x14ac:dyDescent="0.2">
      <c r="A174" t="s">
        <v>23</v>
      </c>
      <c r="B174" t="s">
        <v>91</v>
      </c>
      <c r="C174" s="12" t="s">
        <v>114</v>
      </c>
      <c r="D174" s="7" t="s">
        <v>52</v>
      </c>
      <c r="E174" t="s">
        <v>106</v>
      </c>
      <c r="F174" s="7" t="s">
        <v>52</v>
      </c>
      <c r="G174" t="s">
        <v>84</v>
      </c>
      <c r="J174">
        <v>72</v>
      </c>
      <c r="K174" t="s">
        <v>113</v>
      </c>
      <c r="L174" t="s">
        <v>24</v>
      </c>
      <c r="M174" t="s">
        <v>8</v>
      </c>
      <c r="N174" s="1">
        <v>749700000</v>
      </c>
      <c r="O174" s="1">
        <v>18980000</v>
      </c>
      <c r="P174" s="1">
        <v>2396000</v>
      </c>
      <c r="Q174" s="1">
        <v>13940000</v>
      </c>
      <c r="R174" s="1">
        <v>33790000</v>
      </c>
      <c r="S174" s="2">
        <f t="shared" ref="S174:S181" si="17">N174/$N$173</f>
        <v>2.3747228381374721</v>
      </c>
    </row>
    <row r="175" spans="1:19" hidden="1" x14ac:dyDescent="0.2">
      <c r="A175" t="s">
        <v>28</v>
      </c>
      <c r="B175" t="s">
        <v>91</v>
      </c>
      <c r="C175" s="12" t="s">
        <v>114</v>
      </c>
      <c r="D175" s="7" t="s">
        <v>52</v>
      </c>
      <c r="E175" t="s">
        <v>106</v>
      </c>
      <c r="F175" s="7" t="s">
        <v>52</v>
      </c>
      <c r="G175" t="s">
        <v>84</v>
      </c>
      <c r="J175">
        <v>72</v>
      </c>
      <c r="K175" t="s">
        <v>113</v>
      </c>
      <c r="L175" t="s">
        <v>25</v>
      </c>
      <c r="M175" t="s">
        <v>8</v>
      </c>
      <c r="N175" s="1">
        <v>630400000</v>
      </c>
      <c r="O175" s="1">
        <v>25620000</v>
      </c>
      <c r="P175" s="1">
        <v>8850000</v>
      </c>
      <c r="Q175" s="1">
        <v>15060000</v>
      </c>
      <c r="R175" s="1">
        <v>43730000</v>
      </c>
      <c r="S175" s="2">
        <f t="shared" si="17"/>
        <v>1.9968324358568261</v>
      </c>
    </row>
    <row r="176" spans="1:19" hidden="1" x14ac:dyDescent="0.2">
      <c r="A176" t="s">
        <v>34</v>
      </c>
      <c r="B176" t="s">
        <v>91</v>
      </c>
      <c r="C176" s="12" t="s">
        <v>114</v>
      </c>
      <c r="D176" s="7" t="s">
        <v>52</v>
      </c>
      <c r="E176" t="s">
        <v>106</v>
      </c>
      <c r="F176" s="7" t="s">
        <v>52</v>
      </c>
      <c r="G176" t="s">
        <v>84</v>
      </c>
      <c r="J176">
        <v>72</v>
      </c>
      <c r="K176" t="s">
        <v>113</v>
      </c>
      <c r="L176" t="s">
        <v>26</v>
      </c>
      <c r="M176" t="s">
        <v>8</v>
      </c>
      <c r="N176" s="1">
        <v>1201000000</v>
      </c>
      <c r="O176" s="1">
        <v>26580000</v>
      </c>
      <c r="P176" s="1">
        <v>6356000</v>
      </c>
      <c r="Q176" s="1">
        <v>15340000</v>
      </c>
      <c r="R176" s="1">
        <v>42830000</v>
      </c>
      <c r="S176" s="2">
        <f t="shared" si="17"/>
        <v>3.8042445359518529</v>
      </c>
    </row>
    <row r="177" spans="1:19" hidden="1" x14ac:dyDescent="0.2">
      <c r="A177" t="s">
        <v>15</v>
      </c>
      <c r="B177" t="s">
        <v>91</v>
      </c>
      <c r="C177" s="12" t="s">
        <v>114</v>
      </c>
      <c r="D177" s="7" t="s">
        <v>52</v>
      </c>
      <c r="E177" t="s">
        <v>106</v>
      </c>
      <c r="F177" s="7" t="s">
        <v>52</v>
      </c>
      <c r="G177" t="s">
        <v>84</v>
      </c>
      <c r="J177">
        <v>72</v>
      </c>
      <c r="K177" t="s">
        <v>113</v>
      </c>
      <c r="L177" t="s">
        <v>27</v>
      </c>
      <c r="M177" t="s">
        <v>8</v>
      </c>
      <c r="N177" s="1">
        <v>591200000</v>
      </c>
      <c r="O177" s="1">
        <v>21790000</v>
      </c>
      <c r="P177" s="1">
        <v>5493000</v>
      </c>
      <c r="Q177" s="1">
        <v>15340000</v>
      </c>
      <c r="R177" s="1">
        <v>38070000</v>
      </c>
      <c r="S177" s="2">
        <f t="shared" si="17"/>
        <v>1.8726639214444092</v>
      </c>
    </row>
    <row r="178" spans="1:19" hidden="1" x14ac:dyDescent="0.2">
      <c r="A178" t="s">
        <v>108</v>
      </c>
      <c r="B178" t="s">
        <v>91</v>
      </c>
      <c r="C178" s="12" t="s">
        <v>114</v>
      </c>
      <c r="D178" s="7" t="s">
        <v>52</v>
      </c>
      <c r="E178" t="s">
        <v>106</v>
      </c>
      <c r="F178" s="7" t="s">
        <v>52</v>
      </c>
      <c r="G178" t="s">
        <v>84</v>
      </c>
      <c r="J178">
        <v>72</v>
      </c>
      <c r="K178" t="s">
        <v>113</v>
      </c>
      <c r="L178" t="s">
        <v>29</v>
      </c>
      <c r="M178" t="s">
        <v>8</v>
      </c>
      <c r="N178" s="1">
        <v>901600000</v>
      </c>
      <c r="O178" s="1">
        <v>18930000</v>
      </c>
      <c r="P178" s="1">
        <v>2924000</v>
      </c>
      <c r="Q178" s="1">
        <v>12920000</v>
      </c>
      <c r="R178" s="1">
        <v>32610000</v>
      </c>
      <c r="S178" s="2">
        <f t="shared" si="17"/>
        <v>2.8558758314855877</v>
      </c>
    </row>
    <row r="179" spans="1:19" hidden="1" x14ac:dyDescent="0.2">
      <c r="A179" t="s">
        <v>97</v>
      </c>
      <c r="B179" t="s">
        <v>91</v>
      </c>
      <c r="C179" s="12" t="s">
        <v>114</v>
      </c>
      <c r="D179" s="7" t="s">
        <v>52</v>
      </c>
      <c r="E179" t="s">
        <v>106</v>
      </c>
      <c r="F179" s="7" t="s">
        <v>52</v>
      </c>
      <c r="G179" t="s">
        <v>84</v>
      </c>
      <c r="J179">
        <v>72</v>
      </c>
      <c r="K179" t="s">
        <v>113</v>
      </c>
      <c r="L179" t="s">
        <v>30</v>
      </c>
      <c r="M179" t="s">
        <v>8</v>
      </c>
      <c r="N179" s="1">
        <v>426400000</v>
      </c>
      <c r="O179" s="1">
        <v>17710000</v>
      </c>
      <c r="P179" s="1">
        <v>2118000</v>
      </c>
      <c r="Q179" s="1">
        <v>12710000</v>
      </c>
      <c r="R179" s="1">
        <v>29250000</v>
      </c>
      <c r="S179" s="2">
        <f t="shared" si="17"/>
        <v>1.3506493506493507</v>
      </c>
    </row>
    <row r="180" spans="1:19" hidden="1" x14ac:dyDescent="0.2">
      <c r="A180" t="s">
        <v>109</v>
      </c>
      <c r="B180" t="s">
        <v>91</v>
      </c>
      <c r="C180" s="12" t="s">
        <v>114</v>
      </c>
      <c r="D180" s="7" t="s">
        <v>52</v>
      </c>
      <c r="E180" t="s">
        <v>106</v>
      </c>
      <c r="F180" s="7" t="s">
        <v>52</v>
      </c>
      <c r="G180" t="s">
        <v>84</v>
      </c>
      <c r="J180">
        <v>72</v>
      </c>
      <c r="K180" t="s">
        <v>113</v>
      </c>
      <c r="L180" t="s">
        <v>31</v>
      </c>
      <c r="M180" t="s">
        <v>8</v>
      </c>
      <c r="N180" s="1">
        <v>512400000</v>
      </c>
      <c r="O180" s="1">
        <v>17710000</v>
      </c>
      <c r="P180" s="1">
        <v>1734000</v>
      </c>
      <c r="Q180" s="1">
        <v>12440000</v>
      </c>
      <c r="R180" s="1">
        <v>21700000</v>
      </c>
      <c r="S180" s="2">
        <f t="shared" si="17"/>
        <v>1.623059866962306</v>
      </c>
    </row>
    <row r="181" spans="1:19" hidden="1" x14ac:dyDescent="0.2">
      <c r="A181" t="s">
        <v>92</v>
      </c>
      <c r="B181" t="s">
        <v>91</v>
      </c>
      <c r="C181" s="12" t="s">
        <v>114</v>
      </c>
      <c r="D181" s="7" t="s">
        <v>52</v>
      </c>
      <c r="E181" t="s">
        <v>106</v>
      </c>
      <c r="F181" s="7" t="s">
        <v>52</v>
      </c>
      <c r="G181" t="s">
        <v>84</v>
      </c>
      <c r="J181">
        <v>72</v>
      </c>
      <c r="K181" t="s">
        <v>113</v>
      </c>
      <c r="L181" t="s">
        <v>32</v>
      </c>
      <c r="M181" t="s">
        <v>8</v>
      </c>
      <c r="N181" s="1">
        <v>1324000000</v>
      </c>
      <c r="O181" s="1">
        <v>20280000</v>
      </c>
      <c r="P181" s="1">
        <v>2958000</v>
      </c>
      <c r="Q181" s="1">
        <v>12710000</v>
      </c>
      <c r="R181" s="1">
        <v>31680000</v>
      </c>
      <c r="S181" s="2">
        <f t="shared" si="17"/>
        <v>4.1938549255622428</v>
      </c>
    </row>
  </sheetData>
  <autoFilter ref="A1:T181" xr:uid="{3881E1EF-0996-A140-BB10-137398A953EE}">
    <filterColumn colId="0">
      <filters>
        <filter val="kidney"/>
      </filters>
    </filterColumn>
    <filterColumn colId="9">
      <filters>
        <filter val="28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2023-04-23T14:44:23Z</dcterms:created>
  <dcterms:modified xsi:type="dcterms:W3CDTF">2023-05-27T16:58:15Z</dcterms:modified>
</cp:coreProperties>
</file>